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omercial05\Documents\Gerencie Carteira\Diário\"/>
    </mc:Choice>
  </mc:AlternateContent>
  <xr:revisionPtr revIDLastSave="0" documentId="13_ncr:1_{5CD862D4-DF5E-49F3-8C4D-3A938ED100D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Tabela Dinâmica" sheetId="7" r:id="rId1"/>
    <sheet name="E-Mail BD" sheetId="2" r:id="rId2"/>
    <sheet name="PROCV GERENTES BD" sheetId="4" r:id="rId3"/>
  </sheets>
  <definedNames>
    <definedName name="_xlnm._FilterDatabase" localSheetId="1" hidden="1">'E-Mail BD'!$A$1:$H$3001</definedName>
    <definedName name="_xlnm._FilterDatabase" localSheetId="2" hidden="1">'PROCV GERENTES BD'!$A$1:$G$316</definedName>
  </definedNames>
  <calcPr calcId="191029"/>
  <pivotCaches>
    <pivotCache cacheId="24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79" i="2" l="1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C318" i="4"/>
  <c r="D318" i="4"/>
  <c r="E318" i="4" s="1"/>
  <c r="E2957" i="2"/>
  <c r="E2958" i="2"/>
  <c r="G2958" i="2" s="1"/>
  <c r="E2959" i="2"/>
  <c r="G2959" i="2" s="1"/>
  <c r="E2960" i="2"/>
  <c r="G2960" i="2" s="1"/>
  <c r="E2961" i="2"/>
  <c r="E2962" i="2"/>
  <c r="E2963" i="2"/>
  <c r="G2963" i="2" s="1"/>
  <c r="E2964" i="2"/>
  <c r="G2964" i="2" s="1"/>
  <c r="E2965" i="2"/>
  <c r="E2966" i="2"/>
  <c r="G2966" i="2" s="1"/>
  <c r="E2967" i="2"/>
  <c r="E2968" i="2"/>
  <c r="G2968" i="2" s="1"/>
  <c r="E2969" i="2"/>
  <c r="E2970" i="2"/>
  <c r="E2971" i="2"/>
  <c r="G2971" i="2" s="1"/>
  <c r="E2972" i="2"/>
  <c r="G2972" i="2" s="1"/>
  <c r="E2973" i="2"/>
  <c r="E2974" i="2"/>
  <c r="G2974" i="2" s="1"/>
  <c r="E2975" i="2"/>
  <c r="G2975" i="2" s="1"/>
  <c r="E2976" i="2"/>
  <c r="G2976" i="2" s="1"/>
  <c r="E2977" i="2"/>
  <c r="E2978" i="2"/>
  <c r="G2978" i="2" s="1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G2957" i="2"/>
  <c r="G2961" i="2"/>
  <c r="G2962" i="2"/>
  <c r="G2965" i="2"/>
  <c r="G2967" i="2"/>
  <c r="G2969" i="2"/>
  <c r="G2970" i="2"/>
  <c r="G2973" i="2"/>
  <c r="G2977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G2950" i="2" s="1"/>
  <c r="E2951" i="2"/>
  <c r="G2951" i="2" s="1"/>
  <c r="E2952" i="2"/>
  <c r="G2952" i="2" s="1"/>
  <c r="E2953" i="2"/>
  <c r="G2953" i="2" s="1"/>
  <c r="E2954" i="2"/>
  <c r="G2954" i="2" s="1"/>
  <c r="E2955" i="2"/>
  <c r="G2955" i="2" s="1"/>
  <c r="E2956" i="2"/>
  <c r="G2956" i="2" s="1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C317" i="4"/>
  <c r="D317" i="4"/>
  <c r="E317" i="4" s="1"/>
  <c r="E2916" i="2"/>
  <c r="G2916" i="2" s="1"/>
  <c r="E2917" i="2"/>
  <c r="G2917" i="2" s="1"/>
  <c r="E2918" i="2"/>
  <c r="E2919" i="2"/>
  <c r="G2919" i="2" s="1"/>
  <c r="E2920" i="2"/>
  <c r="G2920" i="2" s="1"/>
  <c r="E2921" i="2"/>
  <c r="G2921" i="2" s="1"/>
  <c r="E2922" i="2"/>
  <c r="G2922" i="2" s="1"/>
  <c r="E2923" i="2"/>
  <c r="G2923" i="2" s="1"/>
  <c r="E2924" i="2"/>
  <c r="G2924" i="2" s="1"/>
  <c r="E2925" i="2"/>
  <c r="G2925" i="2" s="1"/>
  <c r="E2926" i="2"/>
  <c r="G2926" i="2" s="1"/>
  <c r="E2927" i="2"/>
  <c r="G2927" i="2" s="1"/>
  <c r="E2928" i="2"/>
  <c r="G2928" i="2" s="1"/>
  <c r="E2929" i="2"/>
  <c r="G2929" i="2" s="1"/>
  <c r="E2930" i="2"/>
  <c r="G2930" i="2" s="1"/>
  <c r="E2931" i="2"/>
  <c r="G2931" i="2" s="1"/>
  <c r="E2932" i="2"/>
  <c r="G2932" i="2" s="1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G2918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C80" i="4"/>
  <c r="D80" i="4"/>
  <c r="E80" i="4" s="1"/>
  <c r="E2893" i="2"/>
  <c r="G2893" i="2" s="1"/>
  <c r="E2894" i="2"/>
  <c r="G2894" i="2" s="1"/>
  <c r="E2895" i="2"/>
  <c r="G2895" i="2" s="1"/>
  <c r="E2896" i="2"/>
  <c r="G2896" i="2" s="1"/>
  <c r="E2897" i="2"/>
  <c r="G2897" i="2" s="1"/>
  <c r="E2898" i="2"/>
  <c r="G2898" i="2" s="1"/>
  <c r="E2899" i="2"/>
  <c r="G2899" i="2" s="1"/>
  <c r="E2900" i="2"/>
  <c r="G2900" i="2" s="1"/>
  <c r="E2901" i="2"/>
  <c r="G2901" i="2" s="1"/>
  <c r="E2902" i="2"/>
  <c r="G2902" i="2" s="1"/>
  <c r="E2903" i="2"/>
  <c r="E2904" i="2"/>
  <c r="G2904" i="2" s="1"/>
  <c r="E2905" i="2"/>
  <c r="G2905" i="2" s="1"/>
  <c r="E2906" i="2"/>
  <c r="G2906" i="2" s="1"/>
  <c r="E2907" i="2"/>
  <c r="G2907" i="2" s="1"/>
  <c r="E2908" i="2"/>
  <c r="G2908" i="2" s="1"/>
  <c r="E2909" i="2"/>
  <c r="G2909" i="2" s="1"/>
  <c r="E2910" i="2"/>
  <c r="G2910" i="2" s="1"/>
  <c r="E2911" i="2"/>
  <c r="G2911" i="2" s="1"/>
  <c r="E2912" i="2"/>
  <c r="G2912" i="2" s="1"/>
  <c r="E2913" i="2"/>
  <c r="G2913" i="2" s="1"/>
  <c r="E2914" i="2"/>
  <c r="G2914" i="2" s="1"/>
  <c r="E2915" i="2"/>
  <c r="G2915" i="2" s="1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G2903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C264" i="4"/>
  <c r="D264" i="4"/>
  <c r="E264" i="4" s="1"/>
  <c r="E2861" i="2"/>
  <c r="E2862" i="2"/>
  <c r="E2863" i="2"/>
  <c r="E2864" i="2"/>
  <c r="E2865" i="2"/>
  <c r="E2866" i="2"/>
  <c r="E2867" i="2"/>
  <c r="E2868" i="2"/>
  <c r="G2868" i="2" s="1"/>
  <c r="E2869" i="2"/>
  <c r="G2869" i="2" s="1"/>
  <c r="E2870" i="2"/>
  <c r="G2870" i="2" s="1"/>
  <c r="E2871" i="2"/>
  <c r="G2871" i="2" s="1"/>
  <c r="E2872" i="2"/>
  <c r="G2872" i="2" s="1"/>
  <c r="E2873" i="2"/>
  <c r="G2873" i="2" s="1"/>
  <c r="E2874" i="2"/>
  <c r="G2874" i="2" s="1"/>
  <c r="E2875" i="2"/>
  <c r="G2875" i="2" s="1"/>
  <c r="E2876" i="2"/>
  <c r="G2876" i="2" s="1"/>
  <c r="E2877" i="2"/>
  <c r="G2877" i="2" s="1"/>
  <c r="E2878" i="2"/>
  <c r="G2878" i="2" s="1"/>
  <c r="E2879" i="2"/>
  <c r="G2879" i="2" s="1"/>
  <c r="E2880" i="2"/>
  <c r="G2880" i="2" s="1"/>
  <c r="E2881" i="2"/>
  <c r="G2881" i="2" s="1"/>
  <c r="E2882" i="2"/>
  <c r="G2882" i="2" s="1"/>
  <c r="E2883" i="2"/>
  <c r="G2883" i="2" s="1"/>
  <c r="E2884" i="2"/>
  <c r="G2884" i="2" s="1"/>
  <c r="E2885" i="2"/>
  <c r="G2885" i="2" s="1"/>
  <c r="E2886" i="2"/>
  <c r="G2886" i="2" s="1"/>
  <c r="E2887" i="2"/>
  <c r="G2887" i="2" s="1"/>
  <c r="E2888" i="2"/>
  <c r="G2888" i="2" s="1"/>
  <c r="E2889" i="2"/>
  <c r="G2889" i="2" s="1"/>
  <c r="E2890" i="2"/>
  <c r="G2890" i="2" s="1"/>
  <c r="E2891" i="2"/>
  <c r="G2891" i="2" s="1"/>
  <c r="E2892" i="2"/>
  <c r="G2892" i="2" s="1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G2861" i="2"/>
  <c r="G2862" i="2"/>
  <c r="G2863" i="2"/>
  <c r="G2864" i="2"/>
  <c r="G2865" i="2"/>
  <c r="G2866" i="2"/>
  <c r="G2867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C298" i="4"/>
  <c r="D298" i="4"/>
  <c r="E298" i="4" s="1"/>
  <c r="E2839" i="2"/>
  <c r="E2840" i="2"/>
  <c r="E2841" i="2"/>
  <c r="E2842" i="2"/>
  <c r="E2843" i="2"/>
  <c r="E2844" i="2"/>
  <c r="E2845" i="2"/>
  <c r="G2845" i="2" s="1"/>
  <c r="E2846" i="2"/>
  <c r="G2846" i="2" s="1"/>
  <c r="E2847" i="2"/>
  <c r="G2847" i="2" s="1"/>
  <c r="E2848" i="2"/>
  <c r="G2848" i="2" s="1"/>
  <c r="E2849" i="2"/>
  <c r="G2849" i="2" s="1"/>
  <c r="E2850" i="2"/>
  <c r="G2850" i="2" s="1"/>
  <c r="E2851" i="2"/>
  <c r="G2851" i="2" s="1"/>
  <c r="E2852" i="2"/>
  <c r="G2852" i="2" s="1"/>
  <c r="E2853" i="2"/>
  <c r="G2853" i="2" s="1"/>
  <c r="E2854" i="2"/>
  <c r="G2854" i="2" s="1"/>
  <c r="E2855" i="2"/>
  <c r="G2855" i="2" s="1"/>
  <c r="E2856" i="2"/>
  <c r="G2856" i="2" s="1"/>
  <c r="E2857" i="2"/>
  <c r="G2857" i="2" s="1"/>
  <c r="E2858" i="2"/>
  <c r="G2858" i="2" s="1"/>
  <c r="E2859" i="2"/>
  <c r="G2859" i="2" s="1"/>
  <c r="E2860" i="2"/>
  <c r="G2860" i="2" s="1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G2839" i="2"/>
  <c r="G2840" i="2"/>
  <c r="G2841" i="2"/>
  <c r="G2842" i="2"/>
  <c r="G2843" i="2"/>
  <c r="G2844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C266" i="4"/>
  <c r="D266" i="4"/>
  <c r="E266" i="4" s="1"/>
  <c r="C3" i="4"/>
  <c r="D3" i="4"/>
  <c r="E3" i="4" s="1"/>
  <c r="E2829" i="2"/>
  <c r="G2829" i="2" s="1"/>
  <c r="E2830" i="2"/>
  <c r="G2830" i="2" s="1"/>
  <c r="E2831" i="2"/>
  <c r="G2831" i="2" s="1"/>
  <c r="E2832" i="2"/>
  <c r="G2832" i="2" s="1"/>
  <c r="E2833" i="2"/>
  <c r="G2833" i="2" s="1"/>
  <c r="E2834" i="2"/>
  <c r="G2834" i="2" s="1"/>
  <c r="E2835" i="2"/>
  <c r="G2835" i="2" s="1"/>
  <c r="E2836" i="2"/>
  <c r="G2836" i="2" s="1"/>
  <c r="E2837" i="2"/>
  <c r="G2837" i="2" s="1"/>
  <c r="E2838" i="2"/>
  <c r="G2838" i="2" s="1"/>
  <c r="F2829" i="2"/>
  <c r="F2830" i="2"/>
  <c r="F2831" i="2"/>
  <c r="F2832" i="2"/>
  <c r="F2833" i="2"/>
  <c r="F2834" i="2"/>
  <c r="F2835" i="2"/>
  <c r="F2836" i="2"/>
  <c r="F2837" i="2"/>
  <c r="F2838" i="2"/>
  <c r="H2829" i="2"/>
  <c r="H2830" i="2"/>
  <c r="H2831" i="2"/>
  <c r="H2832" i="2"/>
  <c r="H2833" i="2"/>
  <c r="H2834" i="2"/>
  <c r="H2835" i="2"/>
  <c r="H2836" i="2"/>
  <c r="H2837" i="2"/>
  <c r="H2838" i="2"/>
  <c r="I2829" i="2"/>
  <c r="I2830" i="2"/>
  <c r="I2831" i="2"/>
  <c r="I2832" i="2"/>
  <c r="I2833" i="2"/>
  <c r="I2834" i="2"/>
  <c r="I2835" i="2"/>
  <c r="I2836" i="2"/>
  <c r="I2837" i="2"/>
  <c r="I2838" i="2"/>
  <c r="J2829" i="2"/>
  <c r="J2830" i="2"/>
  <c r="J2831" i="2"/>
  <c r="J2832" i="2"/>
  <c r="J2833" i="2"/>
  <c r="J2834" i="2"/>
  <c r="J2835" i="2"/>
  <c r="J2836" i="2"/>
  <c r="J2837" i="2"/>
  <c r="J2838" i="2"/>
  <c r="I2828" i="2"/>
  <c r="F2828" i="2"/>
  <c r="E2825" i="2"/>
  <c r="G2825" i="2" s="1"/>
  <c r="E2821" i="2"/>
  <c r="G2821" i="2" s="1"/>
  <c r="E2817" i="2"/>
  <c r="G2817" i="2" s="1"/>
  <c r="E2811" i="2"/>
  <c r="G2811" i="2" s="1"/>
  <c r="E2812" i="2"/>
  <c r="G2812" i="2" s="1"/>
  <c r="E2814" i="2"/>
  <c r="G2814" i="2" s="1"/>
  <c r="E2815" i="2"/>
  <c r="G2815" i="2" s="1"/>
  <c r="E2816" i="2"/>
  <c r="G2816" i="2" s="1"/>
  <c r="E2818" i="2"/>
  <c r="G2818" i="2" s="1"/>
  <c r="E2819" i="2"/>
  <c r="G2819" i="2" s="1"/>
  <c r="E2820" i="2"/>
  <c r="G2820" i="2" s="1"/>
  <c r="E2822" i="2"/>
  <c r="G2822" i="2" s="1"/>
  <c r="E2823" i="2"/>
  <c r="G2823" i="2" s="1"/>
  <c r="E2824" i="2"/>
  <c r="G2824" i="2" s="1"/>
  <c r="E2826" i="2"/>
  <c r="G2826" i="2" s="1"/>
  <c r="E2827" i="2"/>
  <c r="G2827" i="2" s="1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H2811" i="2"/>
  <c r="H2812" i="2"/>
  <c r="H2814" i="2"/>
  <c r="H2815" i="2"/>
  <c r="H2816" i="2"/>
  <c r="H2818" i="2"/>
  <c r="H2819" i="2"/>
  <c r="H2820" i="2"/>
  <c r="H2822" i="2"/>
  <c r="H2823" i="2"/>
  <c r="H2824" i="2"/>
  <c r="H2826" i="2"/>
  <c r="H2827" i="2"/>
  <c r="I2811" i="2"/>
  <c r="I2812" i="2"/>
  <c r="I2813" i="2"/>
  <c r="I2815" i="2"/>
  <c r="I2816" i="2"/>
  <c r="I2817" i="2"/>
  <c r="I2819" i="2"/>
  <c r="I2820" i="2"/>
  <c r="I2821" i="2"/>
  <c r="I2823" i="2"/>
  <c r="I2824" i="2"/>
  <c r="I2825" i="2"/>
  <c r="I2827" i="2"/>
  <c r="J2811" i="2"/>
  <c r="J2812" i="2"/>
  <c r="J2813" i="2"/>
  <c r="J2815" i="2"/>
  <c r="J2816" i="2"/>
  <c r="J2817" i="2"/>
  <c r="J2819" i="2"/>
  <c r="J2820" i="2"/>
  <c r="J2821" i="2"/>
  <c r="J2823" i="2"/>
  <c r="J2824" i="2"/>
  <c r="J2825" i="2"/>
  <c r="J2827" i="2"/>
  <c r="C314" i="4"/>
  <c r="C21" i="4"/>
  <c r="C188" i="4"/>
  <c r="C228" i="4"/>
  <c r="C65" i="4"/>
  <c r="C25" i="4"/>
  <c r="C156" i="4"/>
  <c r="E2798" i="2"/>
  <c r="G2798" i="2" s="1"/>
  <c r="E2799" i="2"/>
  <c r="G2799" i="2" s="1"/>
  <c r="E2800" i="2"/>
  <c r="G2800" i="2" s="1"/>
  <c r="E2801" i="2"/>
  <c r="G2801" i="2" s="1"/>
  <c r="E2802" i="2"/>
  <c r="G2802" i="2" s="1"/>
  <c r="E2803" i="2"/>
  <c r="G2803" i="2" s="1"/>
  <c r="E2804" i="2"/>
  <c r="G2804" i="2" s="1"/>
  <c r="E2805" i="2"/>
  <c r="G2805" i="2" s="1"/>
  <c r="E2806" i="2"/>
  <c r="G2806" i="2" s="1"/>
  <c r="E2807" i="2"/>
  <c r="G2807" i="2" s="1"/>
  <c r="E2808" i="2"/>
  <c r="G2808" i="2" s="1"/>
  <c r="E2809" i="2"/>
  <c r="G2809" i="2" s="1"/>
  <c r="E2810" i="2"/>
  <c r="G2810" i="2" s="1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E2773" i="2"/>
  <c r="G2773" i="2" s="1"/>
  <c r="E2774" i="2"/>
  <c r="G2774" i="2" s="1"/>
  <c r="E2775" i="2"/>
  <c r="G2775" i="2" s="1"/>
  <c r="E2776" i="2"/>
  <c r="G2776" i="2" s="1"/>
  <c r="E2777" i="2"/>
  <c r="G2777" i="2" s="1"/>
  <c r="E2778" i="2"/>
  <c r="G2778" i="2" s="1"/>
  <c r="E2779" i="2"/>
  <c r="G2779" i="2" s="1"/>
  <c r="E2780" i="2"/>
  <c r="G2780" i="2" s="1"/>
  <c r="E2781" i="2"/>
  <c r="G2781" i="2" s="1"/>
  <c r="E2782" i="2"/>
  <c r="G2782" i="2" s="1"/>
  <c r="E2783" i="2"/>
  <c r="G2783" i="2" s="1"/>
  <c r="E2784" i="2"/>
  <c r="G2784" i="2" s="1"/>
  <c r="E2785" i="2"/>
  <c r="G2785" i="2" s="1"/>
  <c r="E2786" i="2"/>
  <c r="G2786" i="2" s="1"/>
  <c r="E2787" i="2"/>
  <c r="G2787" i="2" s="1"/>
  <c r="E2788" i="2"/>
  <c r="G2788" i="2" s="1"/>
  <c r="E2789" i="2"/>
  <c r="G2789" i="2" s="1"/>
  <c r="E2790" i="2"/>
  <c r="G2790" i="2" s="1"/>
  <c r="E2791" i="2"/>
  <c r="G2791" i="2" s="1"/>
  <c r="E2792" i="2"/>
  <c r="G2792" i="2" s="1"/>
  <c r="E2793" i="2"/>
  <c r="G2793" i="2" s="1"/>
  <c r="E2794" i="2"/>
  <c r="G2794" i="2" s="1"/>
  <c r="E2795" i="2"/>
  <c r="G2795" i="2" s="1"/>
  <c r="E2796" i="2"/>
  <c r="G2796" i="2" s="1"/>
  <c r="E2797" i="2"/>
  <c r="G2797" i="2" s="1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E2765" i="2"/>
  <c r="G2765" i="2" s="1"/>
  <c r="E2766" i="2"/>
  <c r="G2766" i="2" s="1"/>
  <c r="E2767" i="2"/>
  <c r="G2767" i="2" s="1"/>
  <c r="E2768" i="2"/>
  <c r="G2768" i="2" s="1"/>
  <c r="E2769" i="2"/>
  <c r="G2769" i="2" s="1"/>
  <c r="E2770" i="2"/>
  <c r="G2770" i="2" s="1"/>
  <c r="E2771" i="2"/>
  <c r="G2771" i="2" s="1"/>
  <c r="E2772" i="2"/>
  <c r="G2772" i="2" s="1"/>
  <c r="F2765" i="2"/>
  <c r="F2766" i="2"/>
  <c r="F2767" i="2"/>
  <c r="F2768" i="2"/>
  <c r="F2769" i="2"/>
  <c r="F2770" i="2"/>
  <c r="F2771" i="2"/>
  <c r="F2772" i="2"/>
  <c r="H2765" i="2"/>
  <c r="H2766" i="2"/>
  <c r="H2767" i="2"/>
  <c r="H2768" i="2"/>
  <c r="H2769" i="2"/>
  <c r="H2770" i="2"/>
  <c r="H2771" i="2"/>
  <c r="H2772" i="2"/>
  <c r="I2765" i="2"/>
  <c r="I2766" i="2"/>
  <c r="I2767" i="2"/>
  <c r="I2768" i="2"/>
  <c r="I2769" i="2"/>
  <c r="I2770" i="2"/>
  <c r="I2771" i="2"/>
  <c r="I2772" i="2"/>
  <c r="J2765" i="2"/>
  <c r="J2766" i="2"/>
  <c r="J2767" i="2"/>
  <c r="J2768" i="2"/>
  <c r="J2769" i="2"/>
  <c r="J2770" i="2"/>
  <c r="J2771" i="2"/>
  <c r="J2772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" i="2"/>
  <c r="D10" i="4"/>
  <c r="E10" i="4" s="1"/>
  <c r="D47" i="4"/>
  <c r="E47" i="4" s="1"/>
  <c r="D140" i="4"/>
  <c r="E140" i="4" s="1"/>
  <c r="D182" i="4"/>
  <c r="E182" i="4" s="1"/>
  <c r="D314" i="4"/>
  <c r="E314" i="4" s="1"/>
  <c r="D40" i="4"/>
  <c r="E40" i="4" s="1"/>
  <c r="D27" i="4"/>
  <c r="E27" i="4" s="1"/>
  <c r="D63" i="4"/>
  <c r="E63" i="4" s="1"/>
  <c r="D45" i="4"/>
  <c r="E45" i="4" s="1"/>
  <c r="D181" i="4"/>
  <c r="E181" i="4" s="1"/>
  <c r="D185" i="4"/>
  <c r="E185" i="4" s="1"/>
  <c r="D255" i="4"/>
  <c r="E255" i="4" s="1"/>
  <c r="D295" i="4"/>
  <c r="E295" i="4" s="1"/>
  <c r="D57" i="4"/>
  <c r="E57" i="4" s="1"/>
  <c r="D131" i="4"/>
  <c r="E131" i="4" s="1"/>
  <c r="D301" i="4"/>
  <c r="E301" i="4" s="1"/>
  <c r="D74" i="4"/>
  <c r="E74" i="4" s="1"/>
  <c r="D89" i="4"/>
  <c r="E89" i="4" s="1"/>
  <c r="D186" i="4"/>
  <c r="E186" i="4" s="1"/>
  <c r="D229" i="4"/>
  <c r="E229" i="4" s="1"/>
  <c r="D284" i="4"/>
  <c r="E284" i="4" s="1"/>
  <c r="D105" i="4"/>
  <c r="E105" i="4" s="1"/>
  <c r="D205" i="4"/>
  <c r="E205" i="4" s="1"/>
  <c r="D62" i="4"/>
  <c r="E62" i="4" s="1"/>
  <c r="D78" i="4"/>
  <c r="E78" i="4" s="1"/>
  <c r="D258" i="4"/>
  <c r="E258" i="4" s="1"/>
  <c r="D93" i="4"/>
  <c r="E93" i="4" s="1"/>
  <c r="D178" i="4"/>
  <c r="E178" i="4" s="1"/>
  <c r="D309" i="4"/>
  <c r="E309" i="4" s="1"/>
  <c r="D141" i="4"/>
  <c r="E141" i="4" s="1"/>
  <c r="D17" i="4"/>
  <c r="E17" i="4" s="1"/>
  <c r="D136" i="4"/>
  <c r="E136" i="4" s="1"/>
  <c r="D106" i="4"/>
  <c r="E106" i="4" s="1"/>
  <c r="D23" i="4"/>
  <c r="E23" i="4" s="1"/>
  <c r="D273" i="4"/>
  <c r="E273" i="4" s="1"/>
  <c r="D307" i="4"/>
  <c r="E307" i="4" s="1"/>
  <c r="D29" i="4"/>
  <c r="E29" i="4" s="1"/>
  <c r="D88" i="4"/>
  <c r="E88" i="4" s="1"/>
  <c r="D143" i="4"/>
  <c r="E143" i="4" s="1"/>
  <c r="D75" i="4"/>
  <c r="E75" i="4" s="1"/>
  <c r="D104" i="4"/>
  <c r="E104" i="4" s="1"/>
  <c r="D233" i="4"/>
  <c r="E233" i="4" s="1"/>
  <c r="D311" i="4"/>
  <c r="E311" i="4" s="1"/>
  <c r="D193" i="4"/>
  <c r="E193" i="4" s="1"/>
  <c r="D294" i="4"/>
  <c r="E294" i="4" s="1"/>
  <c r="D110" i="4"/>
  <c r="E110" i="4" s="1"/>
  <c r="D208" i="4"/>
  <c r="E208" i="4" s="1"/>
  <c r="D302" i="4"/>
  <c r="E302" i="4" s="1"/>
  <c r="D42" i="4"/>
  <c r="E42" i="4" s="1"/>
  <c r="D310" i="4"/>
  <c r="E310" i="4" s="1"/>
  <c r="D282" i="4"/>
  <c r="E282" i="4" s="1"/>
  <c r="D226" i="4"/>
  <c r="E226" i="4" s="1"/>
  <c r="D101" i="4"/>
  <c r="E101" i="4" s="1"/>
  <c r="D191" i="4"/>
  <c r="E191" i="4" s="1"/>
  <c r="D199" i="4"/>
  <c r="E199" i="4" s="1"/>
  <c r="D315" i="4"/>
  <c r="E315" i="4" s="1"/>
  <c r="D152" i="4"/>
  <c r="E152" i="4" s="1"/>
  <c r="D220" i="4"/>
  <c r="E220" i="4" s="1"/>
  <c r="D254" i="4"/>
  <c r="E254" i="4" s="1"/>
  <c r="D138" i="4"/>
  <c r="E138" i="4" s="1"/>
  <c r="D175" i="4"/>
  <c r="E175" i="4" s="1"/>
  <c r="D85" i="4"/>
  <c r="E85" i="4" s="1"/>
  <c r="D72" i="4"/>
  <c r="E72" i="4" s="1"/>
  <c r="D312" i="4"/>
  <c r="E312" i="4" s="1"/>
  <c r="D18" i="4"/>
  <c r="E18" i="4" s="1"/>
  <c r="D232" i="4"/>
  <c r="E232" i="4" s="1"/>
  <c r="D306" i="4"/>
  <c r="E306" i="4" s="1"/>
  <c r="D151" i="4"/>
  <c r="E151" i="4" s="1"/>
  <c r="D200" i="4"/>
  <c r="E200" i="4" s="1"/>
  <c r="D15" i="4"/>
  <c r="E15" i="4" s="1"/>
  <c r="D48" i="4"/>
  <c r="E48" i="4" s="1"/>
  <c r="D184" i="4"/>
  <c r="E184" i="4" s="1"/>
  <c r="D212" i="4"/>
  <c r="E212" i="4" s="1"/>
  <c r="D303" i="4"/>
  <c r="E303" i="4" s="1"/>
  <c r="D148" i="4"/>
  <c r="E148" i="4" s="1"/>
  <c r="D21" i="4"/>
  <c r="E21" i="4" s="1"/>
  <c r="D230" i="4"/>
  <c r="E230" i="4" s="1"/>
  <c r="D245" i="4"/>
  <c r="E245" i="4" s="1"/>
  <c r="D198" i="4"/>
  <c r="E198" i="4" s="1"/>
  <c r="D247" i="4"/>
  <c r="E247" i="4" s="1"/>
  <c r="D235" i="4"/>
  <c r="E235" i="4" s="1"/>
  <c r="D223" i="4"/>
  <c r="E223" i="4" s="1"/>
  <c r="D252" i="4"/>
  <c r="E252" i="4" s="1"/>
  <c r="D271" i="4"/>
  <c r="E271" i="4" s="1"/>
  <c r="D2" i="4"/>
  <c r="E2" i="4" s="1"/>
  <c r="D218" i="4"/>
  <c r="E218" i="4" s="1"/>
  <c r="D102" i="4"/>
  <c r="E102" i="4" s="1"/>
  <c r="D103" i="4"/>
  <c r="E103" i="4" s="1"/>
  <c r="D201" i="4"/>
  <c r="E201" i="4" s="1"/>
  <c r="D292" i="4"/>
  <c r="E292" i="4" s="1"/>
  <c r="D238" i="4"/>
  <c r="E238" i="4" s="1"/>
  <c r="D280" i="4"/>
  <c r="E280" i="4" s="1"/>
  <c r="D172" i="4"/>
  <c r="E172" i="4" s="1"/>
  <c r="D81" i="4"/>
  <c r="E81" i="4" s="1"/>
  <c r="D174" i="4"/>
  <c r="E174" i="4" s="1"/>
  <c r="D126" i="4"/>
  <c r="E126" i="4" s="1"/>
  <c r="D268" i="4"/>
  <c r="E268" i="4" s="1"/>
  <c r="D94" i="4"/>
  <c r="E94" i="4" s="1"/>
  <c r="D305" i="4"/>
  <c r="E305" i="4" s="1"/>
  <c r="D69" i="4"/>
  <c r="E69" i="4" s="1"/>
  <c r="D107" i="4"/>
  <c r="E107" i="4" s="1"/>
  <c r="D13" i="4"/>
  <c r="E13" i="4" s="1"/>
  <c r="D249" i="4"/>
  <c r="E249" i="4" s="1"/>
  <c r="D149" i="4"/>
  <c r="E149" i="4" s="1"/>
  <c r="D167" i="4"/>
  <c r="E167" i="4" s="1"/>
  <c r="D161" i="4"/>
  <c r="E161" i="4" s="1"/>
  <c r="D98" i="4"/>
  <c r="E98" i="4" s="1"/>
  <c r="D274" i="4"/>
  <c r="E274" i="4" s="1"/>
  <c r="D133" i="4"/>
  <c r="E133" i="4" s="1"/>
  <c r="D242" i="4"/>
  <c r="E242" i="4" s="1"/>
  <c r="D115" i="4"/>
  <c r="E115" i="4" s="1"/>
  <c r="D180" i="4"/>
  <c r="E180" i="4" s="1"/>
  <c r="D51" i="4"/>
  <c r="E51" i="4" s="1"/>
  <c r="D44" i="4"/>
  <c r="E44" i="4" s="1"/>
  <c r="D211" i="4"/>
  <c r="E211" i="4" s="1"/>
  <c r="D11" i="4"/>
  <c r="E11" i="4" s="1"/>
  <c r="D95" i="4"/>
  <c r="E95" i="4" s="1"/>
  <c r="D263" i="4"/>
  <c r="E263" i="4" s="1"/>
  <c r="D117" i="4"/>
  <c r="E117" i="4" s="1"/>
  <c r="D59" i="4"/>
  <c r="E59" i="4" s="1"/>
  <c r="D20" i="4"/>
  <c r="E20" i="4" s="1"/>
  <c r="D124" i="4"/>
  <c r="E124" i="4" s="1"/>
  <c r="D286" i="4"/>
  <c r="E286" i="4" s="1"/>
  <c r="D132" i="4"/>
  <c r="E132" i="4" s="1"/>
  <c r="D109" i="4"/>
  <c r="E109" i="4" s="1"/>
  <c r="D224" i="4"/>
  <c r="E224" i="4" s="1"/>
  <c r="D125" i="4"/>
  <c r="E125" i="4" s="1"/>
  <c r="D217" i="4"/>
  <c r="E217" i="4" s="1"/>
  <c r="D173" i="4"/>
  <c r="E173" i="4" s="1"/>
  <c r="D119" i="4"/>
  <c r="E119" i="4" s="1"/>
  <c r="D121" i="4"/>
  <c r="E121" i="4" s="1"/>
  <c r="D142" i="4"/>
  <c r="E142" i="4" s="1"/>
  <c r="D64" i="4"/>
  <c r="E64" i="4" s="1"/>
  <c r="D219" i="4"/>
  <c r="E219" i="4" s="1"/>
  <c r="D163" i="4"/>
  <c r="E163" i="4" s="1"/>
  <c r="D304" i="4"/>
  <c r="E304" i="4" s="1"/>
  <c r="D76" i="4"/>
  <c r="E76" i="4" s="1"/>
  <c r="D37" i="4"/>
  <c r="E37" i="4" s="1"/>
  <c r="D299" i="4"/>
  <c r="E299" i="4" s="1"/>
  <c r="D176" i="4"/>
  <c r="E176" i="4" s="1"/>
  <c r="D215" i="4"/>
  <c r="E215" i="4" s="1"/>
  <c r="D188" i="4"/>
  <c r="E188" i="4" s="1"/>
  <c r="D239" i="4"/>
  <c r="E239" i="4" s="1"/>
  <c r="D146" i="4"/>
  <c r="E146" i="4" s="1"/>
  <c r="D195" i="4"/>
  <c r="E195" i="4" s="1"/>
  <c r="D159" i="4"/>
  <c r="E159" i="4" s="1"/>
  <c r="D61" i="4"/>
  <c r="E61" i="4" s="1"/>
  <c r="D5" i="4"/>
  <c r="E5" i="4" s="1"/>
  <c r="D7" i="4"/>
  <c r="E7" i="4" s="1"/>
  <c r="D58" i="4"/>
  <c r="E58" i="4" s="1"/>
  <c r="D9" i="4"/>
  <c r="E9" i="4" s="1"/>
  <c r="D308" i="4"/>
  <c r="E308" i="4" s="1"/>
  <c r="D290" i="4"/>
  <c r="E290" i="4" s="1"/>
  <c r="D259" i="4"/>
  <c r="E259" i="4" s="1"/>
  <c r="D272" i="4"/>
  <c r="E272" i="4" s="1"/>
  <c r="D216" i="4"/>
  <c r="E216" i="4" s="1"/>
  <c r="D96" i="4"/>
  <c r="E96" i="4" s="1"/>
  <c r="D22" i="4"/>
  <c r="E22" i="4" s="1"/>
  <c r="D130" i="4"/>
  <c r="E130" i="4" s="1"/>
  <c r="D158" i="4"/>
  <c r="E158" i="4" s="1"/>
  <c r="D289" i="4"/>
  <c r="E289" i="4" s="1"/>
  <c r="D120" i="4"/>
  <c r="E120" i="4" s="1"/>
  <c r="D210" i="4"/>
  <c r="E210" i="4" s="1"/>
  <c r="D214" i="4"/>
  <c r="E214" i="4" s="1"/>
  <c r="D221" i="4"/>
  <c r="E221" i="4" s="1"/>
  <c r="D145" i="4"/>
  <c r="E145" i="4" s="1"/>
  <c r="D248" i="4"/>
  <c r="E248" i="4" s="1"/>
  <c r="D86" i="4"/>
  <c r="E86" i="4" s="1"/>
  <c r="D179" i="4"/>
  <c r="E179" i="4" s="1"/>
  <c r="D4" i="4"/>
  <c r="E4" i="4" s="1"/>
  <c r="D244" i="4"/>
  <c r="E244" i="4" s="1"/>
  <c r="D128" i="4"/>
  <c r="E128" i="4" s="1"/>
  <c r="D276" i="4"/>
  <c r="E276" i="4" s="1"/>
  <c r="D277" i="4"/>
  <c r="E277" i="4" s="1"/>
  <c r="D202" i="4"/>
  <c r="E202" i="4" s="1"/>
  <c r="D243" i="4"/>
  <c r="E243" i="4" s="1"/>
  <c r="D204" i="4"/>
  <c r="E204" i="4" s="1"/>
  <c r="D34" i="4"/>
  <c r="E34" i="4" s="1"/>
  <c r="D257" i="4"/>
  <c r="E257" i="4" s="1"/>
  <c r="D236" i="4"/>
  <c r="E236" i="4" s="1"/>
  <c r="D262" i="4"/>
  <c r="E262" i="4" s="1"/>
  <c r="D53" i="4"/>
  <c r="E53" i="4" s="1"/>
  <c r="D147" i="4"/>
  <c r="E147" i="4" s="1"/>
  <c r="D139" i="4"/>
  <c r="E139" i="4" s="1"/>
  <c r="D60" i="4"/>
  <c r="E60" i="4" s="1"/>
  <c r="D285" i="4"/>
  <c r="E285" i="4" s="1"/>
  <c r="D8" i="4"/>
  <c r="E8" i="4" s="1"/>
  <c r="D270" i="4"/>
  <c r="E270" i="4" s="1"/>
  <c r="D213" i="4"/>
  <c r="E213" i="4" s="1"/>
  <c r="D228" i="4"/>
  <c r="E228" i="4" s="1"/>
  <c r="D279" i="4"/>
  <c r="E279" i="4" s="1"/>
  <c r="D26" i="4"/>
  <c r="E26" i="4" s="1"/>
  <c r="D100" i="4"/>
  <c r="E100" i="4" s="1"/>
  <c r="D24" i="4"/>
  <c r="E24" i="4" s="1"/>
  <c r="D73" i="4"/>
  <c r="E73" i="4" s="1"/>
  <c r="D71" i="4"/>
  <c r="E71" i="4" s="1"/>
  <c r="D190" i="4"/>
  <c r="E190" i="4" s="1"/>
  <c r="D297" i="4"/>
  <c r="E297" i="4" s="1"/>
  <c r="D183" i="4"/>
  <c r="E183" i="4" s="1"/>
  <c r="D241" i="4"/>
  <c r="E241" i="4" s="1"/>
  <c r="D36" i="4"/>
  <c r="E36" i="4" s="1"/>
  <c r="D19" i="4"/>
  <c r="E19" i="4" s="1"/>
  <c r="D108" i="4"/>
  <c r="E108" i="4" s="1"/>
  <c r="D293" i="4"/>
  <c r="E293" i="4" s="1"/>
  <c r="D300" i="4"/>
  <c r="E300" i="4" s="1"/>
  <c r="D32" i="4"/>
  <c r="E32" i="4" s="1"/>
  <c r="D46" i="4"/>
  <c r="E46" i="4" s="1"/>
  <c r="D231" i="4"/>
  <c r="E231" i="4" s="1"/>
  <c r="D28" i="4"/>
  <c r="E28" i="4" s="1"/>
  <c r="D66" i="4"/>
  <c r="E66" i="4" s="1"/>
  <c r="D112" i="4"/>
  <c r="E112" i="4" s="1"/>
  <c r="D65" i="4"/>
  <c r="E65" i="4" s="1"/>
  <c r="D177" i="4"/>
  <c r="E177" i="4" s="1"/>
  <c r="D203" i="4"/>
  <c r="E203" i="4" s="1"/>
  <c r="D281" i="4"/>
  <c r="E281" i="4" s="1"/>
  <c r="D91" i="4"/>
  <c r="E91" i="4" s="1"/>
  <c r="D55" i="4"/>
  <c r="E55" i="4" s="1"/>
  <c r="D170" i="4"/>
  <c r="E170" i="4" s="1"/>
  <c r="D127" i="4"/>
  <c r="E127" i="4" s="1"/>
  <c r="D209" i="4"/>
  <c r="E209" i="4" s="1"/>
  <c r="D166" i="4"/>
  <c r="E166" i="4" s="1"/>
  <c r="D261" i="4"/>
  <c r="E261" i="4" s="1"/>
  <c r="D246" i="4"/>
  <c r="E246" i="4" s="1"/>
  <c r="D114" i="4"/>
  <c r="E114" i="4" s="1"/>
  <c r="D49" i="4"/>
  <c r="E49" i="4" s="1"/>
  <c r="D56" i="4"/>
  <c r="E56" i="4" s="1"/>
  <c r="D122" i="4"/>
  <c r="E122" i="4" s="1"/>
  <c r="D67" i="4"/>
  <c r="E67" i="4" s="1"/>
  <c r="D162" i="4"/>
  <c r="E162" i="4" s="1"/>
  <c r="D38" i="4"/>
  <c r="E38" i="4" s="1"/>
  <c r="D288" i="4"/>
  <c r="E288" i="4" s="1"/>
  <c r="D250" i="4"/>
  <c r="E250" i="4" s="1"/>
  <c r="D25" i="4"/>
  <c r="E25" i="4" s="1"/>
  <c r="D123" i="4"/>
  <c r="E123" i="4" s="1"/>
  <c r="D197" i="4"/>
  <c r="E197" i="4" s="1"/>
  <c r="D165" i="4"/>
  <c r="E165" i="4" s="1"/>
  <c r="D169" i="4"/>
  <c r="E169" i="4" s="1"/>
  <c r="D237" i="4"/>
  <c r="E237" i="4" s="1"/>
  <c r="D129" i="4"/>
  <c r="E129" i="4" s="1"/>
  <c r="D31" i="4"/>
  <c r="E31" i="4" s="1"/>
  <c r="D144" i="4"/>
  <c r="E144" i="4" s="1"/>
  <c r="D187" i="4"/>
  <c r="E187" i="4" s="1"/>
  <c r="D84" i="4"/>
  <c r="E84" i="4" s="1"/>
  <c r="D156" i="4"/>
  <c r="E156" i="4" s="1"/>
  <c r="D14" i="4"/>
  <c r="E14" i="4" s="1"/>
  <c r="D87" i="4"/>
  <c r="E87" i="4" s="1"/>
  <c r="D253" i="4"/>
  <c r="E253" i="4" s="1"/>
  <c r="D12" i="4"/>
  <c r="E12" i="4" s="1"/>
  <c r="D222" i="4"/>
  <c r="E222" i="4" s="1"/>
  <c r="D207" i="4"/>
  <c r="E207" i="4" s="1"/>
  <c r="D171" i="4"/>
  <c r="E171" i="4" s="1"/>
  <c r="D82" i="4"/>
  <c r="E82" i="4" s="1"/>
  <c r="D154" i="4"/>
  <c r="E154" i="4" s="1"/>
  <c r="D153" i="4"/>
  <c r="E153" i="4" s="1"/>
  <c r="D77" i="4"/>
  <c r="E77" i="4" s="1"/>
  <c r="D118" i="4"/>
  <c r="E118" i="4" s="1"/>
  <c r="D192" i="4"/>
  <c r="E192" i="4" s="1"/>
  <c r="D135" i="4"/>
  <c r="E135" i="4" s="1"/>
  <c r="D79" i="4"/>
  <c r="E79" i="4" s="1"/>
  <c r="D164" i="4"/>
  <c r="E164" i="4" s="1"/>
  <c r="D225" i="4"/>
  <c r="E225" i="4" s="1"/>
  <c r="D16" i="4"/>
  <c r="E16" i="4" s="1"/>
  <c r="D97" i="4"/>
  <c r="E97" i="4" s="1"/>
  <c r="D43" i="4"/>
  <c r="E43" i="4" s="1"/>
  <c r="D70" i="4"/>
  <c r="E70" i="4" s="1"/>
  <c r="D99" i="4"/>
  <c r="E99" i="4" s="1"/>
  <c r="D39" i="4"/>
  <c r="E39" i="4" s="1"/>
  <c r="D234" i="4"/>
  <c r="E234" i="4" s="1"/>
  <c r="D50" i="4"/>
  <c r="E50" i="4" s="1"/>
  <c r="D6" i="4"/>
  <c r="E6" i="4" s="1"/>
  <c r="D291" i="4"/>
  <c r="E291" i="4" s="1"/>
  <c r="D283" i="4"/>
  <c r="E283" i="4" s="1"/>
  <c r="D189" i="4"/>
  <c r="E189" i="4" s="1"/>
  <c r="D160" i="4"/>
  <c r="E160" i="4" s="1"/>
  <c r="D275" i="4"/>
  <c r="E275" i="4" s="1"/>
  <c r="D287" i="4"/>
  <c r="E287" i="4" s="1"/>
  <c r="E2747" i="2"/>
  <c r="G2747" i="2" s="1"/>
  <c r="E2748" i="2"/>
  <c r="G2748" i="2" s="1"/>
  <c r="E2749" i="2"/>
  <c r="G2749" i="2" s="1"/>
  <c r="E2750" i="2"/>
  <c r="G2750" i="2" s="1"/>
  <c r="E2751" i="2"/>
  <c r="G2751" i="2" s="1"/>
  <c r="E2752" i="2"/>
  <c r="G2752" i="2" s="1"/>
  <c r="E2753" i="2"/>
  <c r="G2753" i="2" s="1"/>
  <c r="E2754" i="2"/>
  <c r="G2754" i="2" s="1"/>
  <c r="E2755" i="2"/>
  <c r="G2755" i="2" s="1"/>
  <c r="E2756" i="2"/>
  <c r="G2756" i="2" s="1"/>
  <c r="E2757" i="2"/>
  <c r="G2757" i="2" s="1"/>
  <c r="E2758" i="2"/>
  <c r="G2758" i="2" s="1"/>
  <c r="E2759" i="2"/>
  <c r="G2759" i="2" s="1"/>
  <c r="E2760" i="2"/>
  <c r="G2760" i="2" s="1"/>
  <c r="E2761" i="2"/>
  <c r="G2761" i="2" s="1"/>
  <c r="E2762" i="2"/>
  <c r="G2762" i="2" s="1"/>
  <c r="E2763" i="2"/>
  <c r="G2763" i="2" s="1"/>
  <c r="E2764" i="2"/>
  <c r="G2764" i="2" s="1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E2735" i="2"/>
  <c r="G2735" i="2" s="1"/>
  <c r="E2736" i="2"/>
  <c r="G2736" i="2" s="1"/>
  <c r="E2737" i="2"/>
  <c r="G2737" i="2" s="1"/>
  <c r="E2738" i="2"/>
  <c r="G2738" i="2" s="1"/>
  <c r="E2739" i="2"/>
  <c r="G2739" i="2" s="1"/>
  <c r="E2740" i="2"/>
  <c r="G2740" i="2" s="1"/>
  <c r="E2741" i="2"/>
  <c r="G2741" i="2" s="1"/>
  <c r="E2742" i="2"/>
  <c r="G2742" i="2" s="1"/>
  <c r="E2743" i="2"/>
  <c r="G2743" i="2" s="1"/>
  <c r="E2744" i="2"/>
  <c r="G2744" i="2" s="1"/>
  <c r="E2745" i="2"/>
  <c r="G2745" i="2" s="1"/>
  <c r="E2746" i="2"/>
  <c r="G2746" i="2" s="1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E2722" i="2"/>
  <c r="G2722" i="2" s="1"/>
  <c r="E2723" i="2"/>
  <c r="G2723" i="2" s="1"/>
  <c r="E2724" i="2"/>
  <c r="G2724" i="2" s="1"/>
  <c r="E2725" i="2"/>
  <c r="G2725" i="2" s="1"/>
  <c r="E2726" i="2"/>
  <c r="G2726" i="2" s="1"/>
  <c r="E2727" i="2"/>
  <c r="G2727" i="2" s="1"/>
  <c r="E2728" i="2"/>
  <c r="G2728" i="2" s="1"/>
  <c r="E2729" i="2"/>
  <c r="G2729" i="2" s="1"/>
  <c r="E2730" i="2"/>
  <c r="G2730" i="2" s="1"/>
  <c r="E2731" i="2"/>
  <c r="G2731" i="2" s="1"/>
  <c r="E2732" i="2"/>
  <c r="G2732" i="2" s="1"/>
  <c r="E2733" i="2"/>
  <c r="G2733" i="2" s="1"/>
  <c r="E2734" i="2"/>
  <c r="G2734" i="2" s="1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D92" i="2"/>
  <c r="C140" i="4" s="1"/>
  <c r="D95" i="2"/>
  <c r="D103" i="2"/>
  <c r="D106" i="2"/>
  <c r="C75" i="4" s="1"/>
  <c r="D109" i="2"/>
  <c r="C301" i="4" s="1"/>
  <c r="D114" i="2"/>
  <c r="D269" i="2"/>
  <c r="D271" i="2"/>
  <c r="C303" i="4" s="1"/>
  <c r="D327" i="2"/>
  <c r="C235" i="4" s="1"/>
  <c r="D363" i="2"/>
  <c r="C35" i="4" l="1"/>
  <c r="C78" i="4"/>
  <c r="C81" i="4"/>
  <c r="C22" i="4"/>
  <c r="C71" i="4"/>
  <c r="C55" i="4"/>
  <c r="C169" i="4"/>
  <c r="D68" i="4"/>
  <c r="E68" i="4" s="1"/>
  <c r="D134" i="4"/>
  <c r="E134" i="4" s="1"/>
  <c r="D111" i="4"/>
  <c r="E111" i="4" s="1"/>
  <c r="D113" i="4"/>
  <c r="E113" i="4" s="1"/>
  <c r="D313" i="4"/>
  <c r="E313" i="4" s="1"/>
  <c r="D52" i="4"/>
  <c r="E52" i="4" s="1"/>
  <c r="D168" i="4"/>
  <c r="E168" i="4" s="1"/>
  <c r="D296" i="4"/>
  <c r="E296" i="4" s="1"/>
  <c r="D278" i="4"/>
  <c r="E278" i="4" s="1"/>
  <c r="D194" i="4"/>
  <c r="E194" i="4" s="1"/>
  <c r="D54" i="4"/>
  <c r="E54" i="4" s="1"/>
  <c r="D33" i="4"/>
  <c r="E33" i="4" s="1"/>
  <c r="D116" i="4"/>
  <c r="E116" i="4" s="1"/>
  <c r="D265" i="4"/>
  <c r="E265" i="4" s="1"/>
  <c r="D150" i="4"/>
  <c r="E150" i="4" s="1"/>
  <c r="D196" i="4"/>
  <c r="E196" i="4" s="1"/>
  <c r="D83" i="4"/>
  <c r="E83" i="4" s="1"/>
  <c r="D155" i="4"/>
  <c r="E155" i="4" s="1"/>
  <c r="D267" i="4"/>
  <c r="E267" i="4" s="1"/>
  <c r="D90" i="4"/>
  <c r="E90" i="4" s="1"/>
  <c r="D157" i="4"/>
  <c r="E157" i="4" s="1"/>
  <c r="D316" i="4"/>
  <c r="E316" i="4" s="1"/>
  <c r="D35" i="4"/>
  <c r="E35" i="4" s="1"/>
  <c r="D269" i="4"/>
  <c r="E269" i="4" s="1"/>
  <c r="D240" i="4"/>
  <c r="E240" i="4" s="1"/>
  <c r="D206" i="4"/>
  <c r="E206" i="4" s="1"/>
  <c r="D137" i="4"/>
  <c r="E137" i="4" s="1"/>
  <c r="D227" i="4"/>
  <c r="E227" i="4" s="1"/>
  <c r="D30" i="4"/>
  <c r="E30" i="4" s="1"/>
  <c r="D92" i="4"/>
  <c r="E92" i="4" s="1"/>
  <c r="D260" i="4"/>
  <c r="E260" i="4" s="1"/>
  <c r="D256" i="4"/>
  <c r="E256" i="4" s="1"/>
  <c r="C254" i="4"/>
  <c r="C53" i="4"/>
  <c r="C32" i="4"/>
  <c r="C67" i="4"/>
  <c r="C155" i="4"/>
  <c r="E2828" i="2"/>
  <c r="G2828" i="2" s="1"/>
  <c r="C137" i="4"/>
  <c r="C233" i="4"/>
  <c r="C242" i="4"/>
  <c r="C277" i="4"/>
  <c r="C36" i="4"/>
  <c r="C261" i="4"/>
  <c r="C144" i="4"/>
  <c r="D41" i="4"/>
  <c r="E41" i="4" s="1"/>
  <c r="C260" i="4"/>
  <c r="C224" i="4"/>
  <c r="D251" i="4"/>
  <c r="E251" i="4" s="1"/>
  <c r="H2828" i="2"/>
  <c r="C185" i="4"/>
  <c r="J2828" i="2"/>
  <c r="C220" i="4"/>
  <c r="C292" i="4"/>
  <c r="C89" i="4"/>
  <c r="C40" i="4"/>
  <c r="E2813" i="2"/>
  <c r="G2813" i="2" s="1"/>
  <c r="C87" i="4"/>
  <c r="C12" i="4"/>
  <c r="C207" i="4"/>
  <c r="C171" i="4"/>
  <c r="C154" i="4"/>
  <c r="C77" i="4"/>
  <c r="C192" i="4"/>
  <c r="C79" i="4"/>
  <c r="C225" i="4"/>
  <c r="C16" i="4"/>
  <c r="C43" i="4"/>
  <c r="C99" i="4"/>
  <c r="C234" i="4"/>
  <c r="C6" i="4"/>
  <c r="C160" i="4"/>
  <c r="C10" i="4"/>
  <c r="C27" i="4"/>
  <c r="C255" i="4"/>
  <c r="C74" i="4"/>
  <c r="C105" i="4"/>
  <c r="C258" i="4"/>
  <c r="C141" i="4"/>
  <c r="C23" i="4"/>
  <c r="C88" i="4"/>
  <c r="C311" i="4"/>
  <c r="C208" i="4"/>
  <c r="C282" i="4"/>
  <c r="C199" i="4"/>
  <c r="C138" i="4"/>
  <c r="C312" i="4"/>
  <c r="C151" i="4"/>
  <c r="C184" i="4"/>
  <c r="C230" i="4"/>
  <c r="C223" i="4"/>
  <c r="C218" i="4"/>
  <c r="C238" i="4"/>
  <c r="C174" i="4"/>
  <c r="C305" i="4"/>
  <c r="C249" i="4"/>
  <c r="C98" i="4"/>
  <c r="C115" i="4"/>
  <c r="C211" i="4"/>
  <c r="C117" i="4"/>
  <c r="C286" i="4"/>
  <c r="C125" i="4"/>
  <c r="C121" i="4"/>
  <c r="C163" i="4"/>
  <c r="C299" i="4"/>
  <c r="C239" i="4"/>
  <c r="C61" i="4"/>
  <c r="C9" i="4"/>
  <c r="C272" i="4"/>
  <c r="C130" i="4"/>
  <c r="C210" i="4"/>
  <c r="C248" i="4"/>
  <c r="C244" i="4"/>
  <c r="C202" i="4"/>
  <c r="C257" i="4"/>
  <c r="C147" i="4"/>
  <c r="C8" i="4"/>
  <c r="C279" i="4"/>
  <c r="C73" i="4"/>
  <c r="C183" i="4"/>
  <c r="C108" i="4"/>
  <c r="C46" i="4"/>
  <c r="C112" i="4"/>
  <c r="C281" i="4"/>
  <c r="C127" i="4"/>
  <c r="C246" i="4"/>
  <c r="C122" i="4"/>
  <c r="C288" i="4"/>
  <c r="C14" i="4"/>
  <c r="C253" i="4"/>
  <c r="C222" i="4"/>
  <c r="C82" i="4"/>
  <c r="C153" i="4"/>
  <c r="C118" i="4"/>
  <c r="C135" i="4"/>
  <c r="C164" i="4"/>
  <c r="C97" i="4"/>
  <c r="C70" i="4"/>
  <c r="C39" i="4"/>
  <c r="C50" i="4"/>
  <c r="C291" i="4"/>
  <c r="C283" i="4"/>
  <c r="C275" i="4"/>
  <c r="C47" i="4"/>
  <c r="C63" i="4"/>
  <c r="C295" i="4"/>
  <c r="C186" i="4"/>
  <c r="C205" i="4"/>
  <c r="C93" i="4"/>
  <c r="C17" i="4"/>
  <c r="C273" i="4"/>
  <c r="C143" i="4"/>
  <c r="C193" i="4"/>
  <c r="C302" i="4"/>
  <c r="C226" i="4"/>
  <c r="C315" i="4"/>
  <c r="C175" i="4"/>
  <c r="C18" i="4"/>
  <c r="C200" i="4"/>
  <c r="C212" i="4"/>
  <c r="C245" i="4"/>
  <c r="C252" i="4"/>
  <c r="C102" i="4"/>
  <c r="C280" i="4"/>
  <c r="C126" i="4"/>
  <c r="C69" i="4"/>
  <c r="C149" i="4"/>
  <c r="C274" i="4"/>
  <c r="C180" i="4"/>
  <c r="C11" i="4"/>
  <c r="C59" i="4"/>
  <c r="C132" i="4"/>
  <c r="C217" i="4"/>
  <c r="C142" i="4"/>
  <c r="C304" i="4"/>
  <c r="C176" i="4"/>
  <c r="C146" i="4"/>
  <c r="C5" i="4"/>
  <c r="C308" i="4"/>
  <c r="C216" i="4"/>
  <c r="C158" i="4"/>
  <c r="C214" i="4"/>
  <c r="C86" i="4"/>
  <c r="C128" i="4"/>
  <c r="C111" i="4"/>
  <c r="C113" i="4"/>
  <c r="C313" i="4"/>
  <c r="C52" i="4"/>
  <c r="C168" i="4"/>
  <c r="C296" i="4"/>
  <c r="C278" i="4"/>
  <c r="C194" i="4"/>
  <c r="C54" i="4"/>
  <c r="C33" i="4"/>
  <c r="C116" i="4"/>
  <c r="C265" i="4"/>
  <c r="C150" i="4"/>
  <c r="C196" i="4"/>
  <c r="C83" i="4"/>
  <c r="C182" i="4"/>
  <c r="C45" i="4"/>
  <c r="C57" i="4"/>
  <c r="C229" i="4"/>
  <c r="C62" i="4"/>
  <c r="C178" i="4"/>
  <c r="C136" i="4"/>
  <c r="C307" i="4"/>
  <c r="C104" i="4"/>
  <c r="C294" i="4"/>
  <c r="C42" i="4"/>
  <c r="C101" i="4"/>
  <c r="C152" i="4"/>
  <c r="C85" i="4"/>
  <c r="C232" i="4"/>
  <c r="C15" i="4"/>
  <c r="C148" i="4"/>
  <c r="C198" i="4"/>
  <c r="C271" i="4"/>
  <c r="C103" i="4"/>
  <c r="C172" i="4"/>
  <c r="C268" i="4"/>
  <c r="C107" i="4"/>
  <c r="C167" i="4"/>
  <c r="C133" i="4"/>
  <c r="C51" i="4"/>
  <c r="C95" i="4"/>
  <c r="C20" i="4"/>
  <c r="C109" i="4"/>
  <c r="C173" i="4"/>
  <c r="C64" i="4"/>
  <c r="C76" i="4"/>
  <c r="C215" i="4"/>
  <c r="C195" i="4"/>
  <c r="C7" i="4"/>
  <c r="C290" i="4"/>
  <c r="C96" i="4"/>
  <c r="C289" i="4"/>
  <c r="C221" i="4"/>
  <c r="C179" i="4"/>
  <c r="C276" i="4"/>
  <c r="C204" i="4"/>
  <c r="C262" i="4"/>
  <c r="C60" i="4"/>
  <c r="C213" i="4"/>
  <c r="I2814" i="2"/>
  <c r="J2814" i="2"/>
  <c r="I2818" i="2"/>
  <c r="J2818" i="2"/>
  <c r="I2822" i="2"/>
  <c r="J2822" i="2"/>
  <c r="I2826" i="2"/>
  <c r="J2826" i="2"/>
  <c r="C134" i="4"/>
  <c r="C68" i="4"/>
  <c r="C31" i="4"/>
  <c r="C165" i="4"/>
  <c r="C250" i="4"/>
  <c r="C56" i="4"/>
  <c r="C166" i="4"/>
  <c r="C91" i="4"/>
  <c r="C66" i="4"/>
  <c r="C300" i="4"/>
  <c r="C241" i="4"/>
  <c r="C24" i="4"/>
  <c r="C270" i="4"/>
  <c r="C236" i="4"/>
  <c r="C4" i="4"/>
  <c r="C259" i="4"/>
  <c r="C37" i="4"/>
  <c r="C124" i="4"/>
  <c r="C161" i="4"/>
  <c r="C201" i="4"/>
  <c r="C48" i="4"/>
  <c r="C191" i="4"/>
  <c r="C29" i="4"/>
  <c r="C284" i="4"/>
  <c r="C41" i="4"/>
  <c r="C92" i="4"/>
  <c r="C206" i="4"/>
  <c r="C316" i="4"/>
  <c r="C267" i="4"/>
  <c r="C84" i="4"/>
  <c r="C187" i="4"/>
  <c r="C129" i="4"/>
  <c r="C197" i="4"/>
  <c r="C38" i="4"/>
  <c r="C49" i="4"/>
  <c r="C209" i="4"/>
  <c r="C203" i="4"/>
  <c r="C28" i="4"/>
  <c r="C293" i="4"/>
  <c r="C297" i="4"/>
  <c r="C100" i="4"/>
  <c r="C285" i="4"/>
  <c r="C34" i="4"/>
  <c r="C145" i="4"/>
  <c r="C58" i="4"/>
  <c r="C219" i="4"/>
  <c r="C263" i="4"/>
  <c r="C13" i="4"/>
  <c r="C2" i="4"/>
  <c r="C306" i="4"/>
  <c r="C310" i="4"/>
  <c r="C106" i="4"/>
  <c r="C131" i="4"/>
  <c r="C189" i="4"/>
  <c r="C30" i="4"/>
  <c r="C240" i="4"/>
  <c r="C157" i="4"/>
  <c r="C251" i="4"/>
  <c r="C287" i="4"/>
  <c r="C237" i="4"/>
  <c r="C123" i="4"/>
  <c r="C162" i="4"/>
  <c r="C114" i="4"/>
  <c r="C170" i="4"/>
  <c r="C177" i="4"/>
  <c r="C231" i="4"/>
  <c r="C19" i="4"/>
  <c r="C190" i="4"/>
  <c r="C26" i="4"/>
  <c r="C139" i="4"/>
  <c r="C243" i="4"/>
  <c r="C120" i="4"/>
  <c r="C159" i="4"/>
  <c r="C119" i="4"/>
  <c r="C44" i="4"/>
  <c r="C94" i="4"/>
  <c r="C247" i="4"/>
  <c r="C72" i="4"/>
  <c r="C110" i="4"/>
  <c r="C309" i="4"/>
  <c r="C181" i="4"/>
  <c r="C256" i="4"/>
  <c r="C227" i="4"/>
  <c r="C269" i="4"/>
  <c r="C90" i="4"/>
  <c r="H2825" i="2"/>
  <c r="H2821" i="2"/>
  <c r="H2817" i="2"/>
  <c r="H2813" i="2"/>
  <c r="E2694" i="2"/>
  <c r="E2695" i="2"/>
  <c r="E2696" i="2"/>
  <c r="G2696" i="2" s="1"/>
  <c r="E2697" i="2"/>
  <c r="G2697" i="2" s="1"/>
  <c r="E2698" i="2"/>
  <c r="G2698" i="2" s="1"/>
  <c r="E2699" i="2"/>
  <c r="G2699" i="2" s="1"/>
  <c r="E2700" i="2"/>
  <c r="G2700" i="2" s="1"/>
  <c r="E2701" i="2"/>
  <c r="G2701" i="2" s="1"/>
  <c r="E2702" i="2"/>
  <c r="G2702" i="2" s="1"/>
  <c r="E2703" i="2"/>
  <c r="G2703" i="2" s="1"/>
  <c r="E2704" i="2"/>
  <c r="G2704" i="2" s="1"/>
  <c r="E2705" i="2"/>
  <c r="G2705" i="2" s="1"/>
  <c r="E2706" i="2"/>
  <c r="G2706" i="2" s="1"/>
  <c r="E2707" i="2"/>
  <c r="G2707" i="2" s="1"/>
  <c r="E2708" i="2"/>
  <c r="G2708" i="2" s="1"/>
  <c r="E2709" i="2"/>
  <c r="G2709" i="2" s="1"/>
  <c r="E2710" i="2"/>
  <c r="G2710" i="2" s="1"/>
  <c r="E2711" i="2"/>
  <c r="G2711" i="2" s="1"/>
  <c r="E2712" i="2"/>
  <c r="G2712" i="2" s="1"/>
  <c r="E2713" i="2"/>
  <c r="G2713" i="2" s="1"/>
  <c r="E2714" i="2"/>
  <c r="G2714" i="2" s="1"/>
  <c r="E2715" i="2"/>
  <c r="G2715" i="2" s="1"/>
  <c r="E2716" i="2"/>
  <c r="G2716" i="2" s="1"/>
  <c r="E2717" i="2"/>
  <c r="G2717" i="2" s="1"/>
  <c r="E2718" i="2"/>
  <c r="G2718" i="2" s="1"/>
  <c r="E2719" i="2"/>
  <c r="G2719" i="2" s="1"/>
  <c r="E2720" i="2"/>
  <c r="G2720" i="2" s="1"/>
  <c r="E2721" i="2"/>
  <c r="G2721" i="2" s="1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G2694" i="2"/>
  <c r="G2695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E2677" i="2"/>
  <c r="G2677" i="2" s="1"/>
  <c r="E2678" i="2"/>
  <c r="G2678" i="2" s="1"/>
  <c r="E2679" i="2"/>
  <c r="G2679" i="2" s="1"/>
  <c r="E2680" i="2"/>
  <c r="G2680" i="2" s="1"/>
  <c r="E2681" i="2"/>
  <c r="G2681" i="2" s="1"/>
  <c r="E2682" i="2"/>
  <c r="G2682" i="2" s="1"/>
  <c r="E2683" i="2"/>
  <c r="G2683" i="2" s="1"/>
  <c r="E2684" i="2"/>
  <c r="G2684" i="2" s="1"/>
  <c r="E2685" i="2"/>
  <c r="G2685" i="2" s="1"/>
  <c r="E2686" i="2"/>
  <c r="G2686" i="2" s="1"/>
  <c r="E2687" i="2"/>
  <c r="G2687" i="2" s="1"/>
  <c r="E2688" i="2"/>
  <c r="G2688" i="2" s="1"/>
  <c r="E2689" i="2"/>
  <c r="G2689" i="2" s="1"/>
  <c r="E2690" i="2"/>
  <c r="G2690" i="2" s="1"/>
  <c r="E2691" i="2"/>
  <c r="G2691" i="2" s="1"/>
  <c r="E2692" i="2"/>
  <c r="G2692" i="2" s="1"/>
  <c r="E2693" i="2"/>
  <c r="G2693" i="2" s="1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E2667" i="2"/>
  <c r="E2668" i="2"/>
  <c r="G2668" i="2" s="1"/>
  <c r="E2669" i="2"/>
  <c r="G2669" i="2" s="1"/>
  <c r="E2670" i="2"/>
  <c r="G2670" i="2" s="1"/>
  <c r="E2671" i="2"/>
  <c r="G2671" i="2" s="1"/>
  <c r="E2672" i="2"/>
  <c r="G2672" i="2" s="1"/>
  <c r="E2673" i="2"/>
  <c r="G2673" i="2" s="1"/>
  <c r="E2674" i="2"/>
  <c r="G2674" i="2" s="1"/>
  <c r="E2675" i="2"/>
  <c r="G2675" i="2" s="1"/>
  <c r="E2676" i="2"/>
  <c r="G2676" i="2" s="1"/>
  <c r="F2667" i="2"/>
  <c r="F2668" i="2"/>
  <c r="F2669" i="2"/>
  <c r="F2670" i="2"/>
  <c r="F2671" i="2"/>
  <c r="F2672" i="2"/>
  <c r="F2673" i="2"/>
  <c r="F2674" i="2"/>
  <c r="F2675" i="2"/>
  <c r="F2676" i="2"/>
  <c r="G2667" i="2"/>
  <c r="H2667" i="2"/>
  <c r="H2668" i="2"/>
  <c r="H2669" i="2"/>
  <c r="H2670" i="2"/>
  <c r="H2671" i="2"/>
  <c r="H2672" i="2"/>
  <c r="H2673" i="2"/>
  <c r="H2674" i="2"/>
  <c r="H2675" i="2"/>
  <c r="H2676" i="2"/>
  <c r="E2654" i="2"/>
  <c r="G2654" i="2" s="1"/>
  <c r="E2655" i="2"/>
  <c r="G2655" i="2" s="1"/>
  <c r="E2656" i="2"/>
  <c r="G2656" i="2" s="1"/>
  <c r="E2657" i="2"/>
  <c r="G2657" i="2" s="1"/>
  <c r="E2658" i="2"/>
  <c r="G2658" i="2" s="1"/>
  <c r="E2659" i="2"/>
  <c r="G2659" i="2" s="1"/>
  <c r="E2660" i="2"/>
  <c r="G2660" i="2" s="1"/>
  <c r="E2661" i="2"/>
  <c r="G2661" i="2" s="1"/>
  <c r="E2662" i="2"/>
  <c r="G2662" i="2" s="1"/>
  <c r="E2663" i="2"/>
  <c r="G2663" i="2" s="1"/>
  <c r="E2664" i="2"/>
  <c r="G2664" i="2" s="1"/>
  <c r="E2665" i="2"/>
  <c r="G2665" i="2" s="1"/>
  <c r="E2666" i="2"/>
  <c r="G2666" i="2" s="1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E2630" i="2"/>
  <c r="E2631" i="2"/>
  <c r="E2632" i="2"/>
  <c r="E2633" i="2"/>
  <c r="G2633" i="2" s="1"/>
  <c r="E2634" i="2"/>
  <c r="G2634" i="2" s="1"/>
  <c r="E2635" i="2"/>
  <c r="G2635" i="2" s="1"/>
  <c r="E2636" i="2"/>
  <c r="G2636" i="2" s="1"/>
  <c r="E2637" i="2"/>
  <c r="G2637" i="2" s="1"/>
  <c r="E2638" i="2"/>
  <c r="G2638" i="2" s="1"/>
  <c r="E2639" i="2"/>
  <c r="G2639" i="2" s="1"/>
  <c r="E2640" i="2"/>
  <c r="G2640" i="2" s="1"/>
  <c r="E2641" i="2"/>
  <c r="G2641" i="2" s="1"/>
  <c r="E2642" i="2"/>
  <c r="G2642" i="2" s="1"/>
  <c r="E2643" i="2"/>
  <c r="G2643" i="2" s="1"/>
  <c r="E2644" i="2"/>
  <c r="G2644" i="2" s="1"/>
  <c r="E2645" i="2"/>
  <c r="G2645" i="2" s="1"/>
  <c r="E2646" i="2"/>
  <c r="G2646" i="2" s="1"/>
  <c r="E2647" i="2"/>
  <c r="G2647" i="2" s="1"/>
  <c r="E2648" i="2"/>
  <c r="G2648" i="2" s="1"/>
  <c r="E2649" i="2"/>
  <c r="G2649" i="2" s="1"/>
  <c r="E2650" i="2"/>
  <c r="G2650" i="2" s="1"/>
  <c r="E2651" i="2"/>
  <c r="G2651" i="2" s="1"/>
  <c r="E2652" i="2"/>
  <c r="G2652" i="2" s="1"/>
  <c r="E2653" i="2"/>
  <c r="G2653" i="2" s="1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G2630" i="2"/>
  <c r="G2631" i="2"/>
  <c r="G2632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E2601" i="2"/>
  <c r="G2601" i="2" s="1"/>
  <c r="E2602" i="2"/>
  <c r="G2602" i="2" s="1"/>
  <c r="E2603" i="2"/>
  <c r="G2603" i="2" s="1"/>
  <c r="E2604" i="2"/>
  <c r="G2604" i="2" s="1"/>
  <c r="E2605" i="2"/>
  <c r="G2605" i="2" s="1"/>
  <c r="E2606" i="2"/>
  <c r="G2606" i="2" s="1"/>
  <c r="E2607" i="2"/>
  <c r="G2607" i="2" s="1"/>
  <c r="E2608" i="2"/>
  <c r="G2608" i="2" s="1"/>
  <c r="E2609" i="2"/>
  <c r="G2609" i="2" s="1"/>
  <c r="E2610" i="2"/>
  <c r="G2610" i="2" s="1"/>
  <c r="E2611" i="2"/>
  <c r="G2611" i="2" s="1"/>
  <c r="E2612" i="2"/>
  <c r="G2612" i="2" s="1"/>
  <c r="E2613" i="2"/>
  <c r="G2613" i="2" s="1"/>
  <c r="E2614" i="2"/>
  <c r="G2614" i="2" s="1"/>
  <c r="E2615" i="2"/>
  <c r="G2615" i="2" s="1"/>
  <c r="E2616" i="2"/>
  <c r="G2616" i="2" s="1"/>
  <c r="E2617" i="2"/>
  <c r="G2617" i="2" s="1"/>
  <c r="E2618" i="2"/>
  <c r="G2618" i="2" s="1"/>
  <c r="E2619" i="2"/>
  <c r="G2619" i="2" s="1"/>
  <c r="E2620" i="2"/>
  <c r="G2620" i="2" s="1"/>
  <c r="E2621" i="2"/>
  <c r="G2621" i="2" s="1"/>
  <c r="E2622" i="2"/>
  <c r="G2622" i="2" s="1"/>
  <c r="E2623" i="2"/>
  <c r="G2623" i="2" s="1"/>
  <c r="E2624" i="2"/>
  <c r="G2624" i="2" s="1"/>
  <c r="E2625" i="2"/>
  <c r="G2625" i="2" s="1"/>
  <c r="E2626" i="2"/>
  <c r="G2626" i="2" s="1"/>
  <c r="E2627" i="2"/>
  <c r="G2627" i="2" s="1"/>
  <c r="E2628" i="2"/>
  <c r="G2628" i="2" s="1"/>
  <c r="E2629" i="2"/>
  <c r="G2629" i="2" s="1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0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3" i="2"/>
  <c r="F112" i="2"/>
  <c r="F111" i="2"/>
  <c r="F110" i="2"/>
  <c r="F108" i="2"/>
  <c r="F107" i="2"/>
  <c r="F105" i="2"/>
  <c r="F104" i="2"/>
  <c r="F102" i="2"/>
  <c r="F101" i="2"/>
  <c r="F100" i="2"/>
  <c r="F99" i="2"/>
  <c r="F98" i="2"/>
  <c r="F97" i="2"/>
  <c r="F96" i="2"/>
  <c r="F94" i="2"/>
  <c r="F93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H2600" i="2"/>
  <c r="E2600" i="2"/>
  <c r="G2600" i="2" s="1"/>
  <c r="H2599" i="2"/>
  <c r="E2599" i="2"/>
  <c r="G2599" i="2" s="1"/>
  <c r="H2598" i="2"/>
  <c r="E2598" i="2"/>
  <c r="G2598" i="2" s="1"/>
  <c r="H2597" i="2"/>
  <c r="E2597" i="2"/>
  <c r="G2597" i="2" s="1"/>
  <c r="H2596" i="2"/>
  <c r="E2596" i="2"/>
  <c r="G2596" i="2" s="1"/>
  <c r="H2595" i="2"/>
  <c r="E2595" i="2"/>
  <c r="G2595" i="2" s="1"/>
  <c r="H2594" i="2"/>
  <c r="E2594" i="2"/>
  <c r="G2594" i="2" s="1"/>
  <c r="H2593" i="2"/>
  <c r="E2593" i="2"/>
  <c r="G2593" i="2" s="1"/>
  <c r="H2592" i="2"/>
  <c r="E2592" i="2"/>
  <c r="G2592" i="2" s="1"/>
  <c r="H2591" i="2"/>
  <c r="E2591" i="2"/>
  <c r="G2591" i="2" s="1"/>
  <c r="H2590" i="2"/>
  <c r="E2590" i="2"/>
  <c r="G2590" i="2" s="1"/>
  <c r="H2589" i="2"/>
  <c r="E2589" i="2"/>
  <c r="G2589" i="2" s="1"/>
  <c r="H2588" i="2"/>
  <c r="E2588" i="2"/>
  <c r="G2588" i="2" s="1"/>
  <c r="H2587" i="2"/>
  <c r="E2587" i="2"/>
  <c r="G2587" i="2" s="1"/>
  <c r="H2586" i="2"/>
  <c r="E2586" i="2"/>
  <c r="G2586" i="2" s="1"/>
  <c r="H2585" i="2"/>
  <c r="E2585" i="2"/>
  <c r="G2585" i="2" s="1"/>
  <c r="H2584" i="2"/>
  <c r="E2584" i="2"/>
  <c r="G2584" i="2" s="1"/>
  <c r="H2583" i="2"/>
  <c r="E2583" i="2"/>
  <c r="G2583" i="2" s="1"/>
  <c r="H2582" i="2"/>
  <c r="E2582" i="2"/>
  <c r="G2582" i="2" s="1"/>
  <c r="H2581" i="2"/>
  <c r="E2581" i="2"/>
  <c r="G2581" i="2" s="1"/>
  <c r="H2580" i="2"/>
  <c r="E2580" i="2"/>
  <c r="G2580" i="2" s="1"/>
  <c r="H2579" i="2"/>
  <c r="E2579" i="2"/>
  <c r="G2579" i="2" s="1"/>
  <c r="H2578" i="2"/>
  <c r="E2578" i="2"/>
  <c r="G2578" i="2" s="1"/>
  <c r="H2577" i="2"/>
  <c r="E2577" i="2"/>
  <c r="G2577" i="2" s="1"/>
  <c r="H2576" i="2"/>
  <c r="E2576" i="2"/>
  <c r="G2576" i="2" s="1"/>
  <c r="H2575" i="2"/>
  <c r="E2575" i="2"/>
  <c r="G2575" i="2" s="1"/>
  <c r="H2574" i="2"/>
  <c r="E2574" i="2"/>
  <c r="G2574" i="2" s="1"/>
  <c r="H2573" i="2"/>
  <c r="E2573" i="2"/>
  <c r="G2573" i="2" s="1"/>
  <c r="H2572" i="2"/>
  <c r="E2572" i="2"/>
  <c r="G2572" i="2" s="1"/>
  <c r="H2571" i="2"/>
  <c r="E2571" i="2"/>
  <c r="G2571" i="2" s="1"/>
  <c r="H2570" i="2"/>
  <c r="E2570" i="2"/>
  <c r="G2570" i="2" s="1"/>
  <c r="H2569" i="2"/>
  <c r="E2569" i="2"/>
  <c r="G2569" i="2" s="1"/>
  <c r="H2568" i="2"/>
  <c r="E2568" i="2"/>
  <c r="G2568" i="2" s="1"/>
  <c r="H2567" i="2"/>
  <c r="E2567" i="2"/>
  <c r="G2567" i="2" s="1"/>
  <c r="H2566" i="2"/>
  <c r="E2566" i="2"/>
  <c r="G2566" i="2" s="1"/>
  <c r="H2565" i="2"/>
  <c r="E2565" i="2"/>
  <c r="G2565" i="2" s="1"/>
  <c r="H2564" i="2"/>
  <c r="E2564" i="2"/>
  <c r="G2564" i="2" s="1"/>
  <c r="H2563" i="2"/>
  <c r="E2563" i="2"/>
  <c r="G2563" i="2" s="1"/>
  <c r="H2562" i="2"/>
  <c r="E2562" i="2"/>
  <c r="G2562" i="2" s="1"/>
  <c r="H2561" i="2"/>
  <c r="E2561" i="2"/>
  <c r="G2561" i="2" s="1"/>
  <c r="H2560" i="2"/>
  <c r="E2560" i="2"/>
  <c r="G2560" i="2" s="1"/>
  <c r="H2559" i="2"/>
  <c r="E2559" i="2"/>
  <c r="G2559" i="2" s="1"/>
  <c r="H2558" i="2"/>
  <c r="E2558" i="2"/>
  <c r="G2558" i="2" s="1"/>
  <c r="H2557" i="2"/>
  <c r="E2557" i="2"/>
  <c r="G2557" i="2" s="1"/>
  <c r="H2556" i="2"/>
  <c r="E2556" i="2"/>
  <c r="G2556" i="2" s="1"/>
  <c r="H2555" i="2"/>
  <c r="E2555" i="2"/>
  <c r="G2555" i="2" s="1"/>
  <c r="H2554" i="2"/>
  <c r="E2554" i="2"/>
  <c r="G2554" i="2" s="1"/>
  <c r="H2553" i="2"/>
  <c r="E2553" i="2"/>
  <c r="G2553" i="2" s="1"/>
  <c r="H2552" i="2"/>
  <c r="E2552" i="2"/>
  <c r="G2552" i="2" s="1"/>
  <c r="H2551" i="2"/>
  <c r="E2551" i="2"/>
  <c r="G2551" i="2" s="1"/>
  <c r="H2550" i="2"/>
  <c r="E2550" i="2"/>
  <c r="G2550" i="2" s="1"/>
  <c r="H2549" i="2"/>
  <c r="E2549" i="2"/>
  <c r="G2549" i="2" s="1"/>
  <c r="H2548" i="2"/>
  <c r="E2548" i="2"/>
  <c r="G2548" i="2" s="1"/>
  <c r="H2547" i="2"/>
  <c r="E2547" i="2"/>
  <c r="G2547" i="2" s="1"/>
  <c r="H2546" i="2"/>
  <c r="E2546" i="2"/>
  <c r="G2546" i="2" s="1"/>
  <c r="H2545" i="2"/>
  <c r="E2545" i="2"/>
  <c r="G2545" i="2" s="1"/>
  <c r="H2544" i="2"/>
  <c r="E2544" i="2"/>
  <c r="G2544" i="2" s="1"/>
  <c r="H2543" i="2"/>
  <c r="E2543" i="2"/>
  <c r="G2543" i="2" s="1"/>
  <c r="H2542" i="2"/>
  <c r="E2542" i="2"/>
  <c r="G2542" i="2" s="1"/>
  <c r="H2541" i="2"/>
  <c r="E2541" i="2"/>
  <c r="G2541" i="2" s="1"/>
  <c r="H2540" i="2"/>
  <c r="E2540" i="2"/>
  <c r="G2540" i="2" s="1"/>
  <c r="H2539" i="2"/>
  <c r="E2539" i="2"/>
  <c r="G2539" i="2" s="1"/>
  <c r="H2538" i="2"/>
  <c r="E2538" i="2"/>
  <c r="G2538" i="2" s="1"/>
  <c r="H2537" i="2"/>
  <c r="E2537" i="2"/>
  <c r="G2537" i="2" s="1"/>
  <c r="H2536" i="2"/>
  <c r="E2536" i="2"/>
  <c r="G2536" i="2" s="1"/>
  <c r="H2535" i="2"/>
  <c r="E2535" i="2"/>
  <c r="G2535" i="2" s="1"/>
  <c r="H2534" i="2"/>
  <c r="E2534" i="2"/>
  <c r="G2534" i="2" s="1"/>
  <c r="H2533" i="2"/>
  <c r="E2533" i="2"/>
  <c r="G2533" i="2" s="1"/>
  <c r="H2532" i="2"/>
  <c r="E2532" i="2"/>
  <c r="G2532" i="2" s="1"/>
  <c r="H2531" i="2"/>
  <c r="E2531" i="2"/>
  <c r="G2531" i="2" s="1"/>
  <c r="H2530" i="2"/>
  <c r="E2530" i="2"/>
  <c r="G2530" i="2" s="1"/>
  <c r="H2529" i="2"/>
  <c r="E2529" i="2"/>
  <c r="G2529" i="2" s="1"/>
  <c r="H2528" i="2"/>
  <c r="E2528" i="2"/>
  <c r="G2528" i="2" s="1"/>
  <c r="H2527" i="2"/>
  <c r="E2527" i="2"/>
  <c r="G2527" i="2" s="1"/>
  <c r="H2526" i="2"/>
  <c r="E2526" i="2"/>
  <c r="G2526" i="2" s="1"/>
  <c r="H2525" i="2"/>
  <c r="E2525" i="2"/>
  <c r="G2525" i="2" s="1"/>
  <c r="H2524" i="2"/>
  <c r="E2524" i="2"/>
  <c r="G2524" i="2" s="1"/>
  <c r="H2523" i="2"/>
  <c r="E2523" i="2"/>
  <c r="G2523" i="2" s="1"/>
  <c r="H2522" i="2"/>
  <c r="E2522" i="2"/>
  <c r="G2522" i="2" s="1"/>
  <c r="H2521" i="2"/>
  <c r="E2521" i="2"/>
  <c r="G2521" i="2" s="1"/>
  <c r="H2520" i="2"/>
  <c r="E2520" i="2"/>
  <c r="G2520" i="2" s="1"/>
  <c r="H2519" i="2"/>
  <c r="E2519" i="2"/>
  <c r="G2519" i="2" s="1"/>
  <c r="H2518" i="2"/>
  <c r="E2518" i="2"/>
  <c r="G2518" i="2" s="1"/>
  <c r="H2517" i="2"/>
  <c r="E2517" i="2"/>
  <c r="G2517" i="2" s="1"/>
  <c r="H2516" i="2"/>
  <c r="E2516" i="2"/>
  <c r="G2516" i="2" s="1"/>
  <c r="H2515" i="2"/>
  <c r="E2515" i="2"/>
  <c r="G2515" i="2" s="1"/>
  <c r="H2514" i="2"/>
  <c r="E2514" i="2"/>
  <c r="G2514" i="2" s="1"/>
  <c r="H2513" i="2"/>
  <c r="E2513" i="2"/>
  <c r="G2513" i="2" s="1"/>
  <c r="H2512" i="2"/>
  <c r="E2512" i="2"/>
  <c r="G2512" i="2" s="1"/>
  <c r="H2511" i="2"/>
  <c r="E2511" i="2"/>
  <c r="G2511" i="2" s="1"/>
  <c r="H2510" i="2"/>
  <c r="E2510" i="2"/>
  <c r="G2510" i="2" s="1"/>
  <c r="H2509" i="2"/>
  <c r="E2509" i="2"/>
  <c r="G2509" i="2" s="1"/>
  <c r="H2508" i="2"/>
  <c r="E2508" i="2"/>
  <c r="G2508" i="2" s="1"/>
  <c r="H2507" i="2"/>
  <c r="E2507" i="2"/>
  <c r="G2507" i="2" s="1"/>
  <c r="H2506" i="2"/>
  <c r="E2506" i="2"/>
  <c r="G2506" i="2" s="1"/>
  <c r="H2505" i="2"/>
  <c r="E2505" i="2"/>
  <c r="G2505" i="2" s="1"/>
  <c r="H2504" i="2"/>
  <c r="E2504" i="2"/>
  <c r="G2504" i="2" s="1"/>
  <c r="H2503" i="2"/>
  <c r="E2503" i="2"/>
  <c r="G2503" i="2" s="1"/>
  <c r="H2502" i="2"/>
  <c r="E2502" i="2"/>
  <c r="G2502" i="2" s="1"/>
  <c r="H2501" i="2"/>
  <c r="E2501" i="2"/>
  <c r="G2501" i="2" s="1"/>
  <c r="H2500" i="2"/>
  <c r="E2500" i="2"/>
  <c r="G2500" i="2" s="1"/>
  <c r="H2499" i="2"/>
  <c r="E2499" i="2"/>
  <c r="G2499" i="2" s="1"/>
  <c r="H2498" i="2"/>
  <c r="E2498" i="2"/>
  <c r="G2498" i="2" s="1"/>
  <c r="H2497" i="2"/>
  <c r="E2497" i="2"/>
  <c r="G2497" i="2" s="1"/>
  <c r="H2496" i="2"/>
  <c r="E2496" i="2"/>
  <c r="G2496" i="2" s="1"/>
  <c r="H2495" i="2"/>
  <c r="E2495" i="2"/>
  <c r="G2495" i="2" s="1"/>
  <c r="H2494" i="2"/>
  <c r="E2494" i="2"/>
  <c r="G2494" i="2" s="1"/>
  <c r="H2493" i="2"/>
  <c r="E2493" i="2"/>
  <c r="G2493" i="2" s="1"/>
  <c r="H2492" i="2"/>
  <c r="E2492" i="2"/>
  <c r="G2492" i="2" s="1"/>
  <c r="H2491" i="2"/>
  <c r="E2491" i="2"/>
  <c r="G2491" i="2" s="1"/>
  <c r="H2490" i="2"/>
  <c r="E2490" i="2"/>
  <c r="G2490" i="2" s="1"/>
  <c r="H2489" i="2"/>
  <c r="E2489" i="2"/>
  <c r="G2489" i="2" s="1"/>
  <c r="H2488" i="2"/>
  <c r="E2488" i="2"/>
  <c r="G2488" i="2" s="1"/>
  <c r="H2487" i="2"/>
  <c r="E2487" i="2"/>
  <c r="G2487" i="2" s="1"/>
  <c r="H2486" i="2"/>
  <c r="E2486" i="2"/>
  <c r="G2486" i="2" s="1"/>
  <c r="H2485" i="2"/>
  <c r="E2485" i="2"/>
  <c r="G2485" i="2" s="1"/>
  <c r="H2484" i="2"/>
  <c r="E2484" i="2"/>
  <c r="G2484" i="2" s="1"/>
  <c r="H2483" i="2"/>
  <c r="E2483" i="2"/>
  <c r="G2483" i="2" s="1"/>
  <c r="H2482" i="2"/>
  <c r="E2482" i="2"/>
  <c r="G2482" i="2" s="1"/>
  <c r="H2481" i="2"/>
  <c r="E2481" i="2"/>
  <c r="G2481" i="2" s="1"/>
  <c r="H2480" i="2"/>
  <c r="E2480" i="2"/>
  <c r="G2480" i="2" s="1"/>
  <c r="H2479" i="2"/>
  <c r="E2479" i="2"/>
  <c r="G2479" i="2" s="1"/>
  <c r="H2478" i="2"/>
  <c r="E2478" i="2"/>
  <c r="G2478" i="2" s="1"/>
  <c r="H2477" i="2"/>
  <c r="E2477" i="2"/>
  <c r="G2477" i="2" s="1"/>
  <c r="H2476" i="2"/>
  <c r="E2476" i="2"/>
  <c r="G2476" i="2" s="1"/>
  <c r="H2475" i="2"/>
  <c r="E2475" i="2"/>
  <c r="G2475" i="2" s="1"/>
  <c r="H2474" i="2"/>
  <c r="E2474" i="2"/>
  <c r="G2474" i="2" s="1"/>
  <c r="H2473" i="2"/>
  <c r="E2473" i="2"/>
  <c r="G2473" i="2" s="1"/>
  <c r="H2472" i="2"/>
  <c r="E2472" i="2"/>
  <c r="G2472" i="2" s="1"/>
  <c r="H2471" i="2"/>
  <c r="E2471" i="2"/>
  <c r="G2471" i="2" s="1"/>
  <c r="H2470" i="2"/>
  <c r="E2470" i="2"/>
  <c r="G2470" i="2" s="1"/>
  <c r="H2469" i="2"/>
  <c r="E2469" i="2"/>
  <c r="G2469" i="2" s="1"/>
  <c r="H2468" i="2"/>
  <c r="E2468" i="2"/>
  <c r="G2468" i="2" s="1"/>
  <c r="H2467" i="2"/>
  <c r="E2467" i="2"/>
  <c r="G2467" i="2" s="1"/>
  <c r="H2466" i="2"/>
  <c r="E2466" i="2"/>
  <c r="G2466" i="2" s="1"/>
  <c r="H2465" i="2"/>
  <c r="E2465" i="2"/>
  <c r="G2465" i="2" s="1"/>
  <c r="H2464" i="2"/>
  <c r="E2464" i="2"/>
  <c r="G2464" i="2" s="1"/>
  <c r="H2463" i="2"/>
  <c r="E2463" i="2"/>
  <c r="G2463" i="2" s="1"/>
  <c r="H2462" i="2"/>
  <c r="E2462" i="2"/>
  <c r="G2462" i="2" s="1"/>
  <c r="H2461" i="2"/>
  <c r="E2461" i="2"/>
  <c r="G2461" i="2" s="1"/>
  <c r="H2460" i="2"/>
  <c r="E2460" i="2"/>
  <c r="G2460" i="2" s="1"/>
  <c r="H2459" i="2"/>
  <c r="E2459" i="2"/>
  <c r="G2459" i="2" s="1"/>
  <c r="H2458" i="2"/>
  <c r="E2458" i="2"/>
  <c r="G2458" i="2" s="1"/>
  <c r="H2457" i="2"/>
  <c r="E2457" i="2"/>
  <c r="G2457" i="2" s="1"/>
  <c r="H2456" i="2"/>
  <c r="E2456" i="2"/>
  <c r="G2456" i="2" s="1"/>
  <c r="H2455" i="2"/>
  <c r="E2455" i="2"/>
  <c r="G2455" i="2" s="1"/>
  <c r="H2454" i="2"/>
  <c r="E2454" i="2"/>
  <c r="G2454" i="2" s="1"/>
  <c r="H2453" i="2"/>
  <c r="E2453" i="2"/>
  <c r="G2453" i="2" s="1"/>
  <c r="H2452" i="2"/>
  <c r="E2452" i="2"/>
  <c r="G2452" i="2" s="1"/>
  <c r="H2451" i="2"/>
  <c r="E2451" i="2"/>
  <c r="G2451" i="2" s="1"/>
  <c r="H2450" i="2"/>
  <c r="E2450" i="2"/>
  <c r="G2450" i="2" s="1"/>
  <c r="H2449" i="2"/>
  <c r="E2449" i="2"/>
  <c r="G2449" i="2" s="1"/>
  <c r="H2448" i="2"/>
  <c r="E2448" i="2"/>
  <c r="G2448" i="2" s="1"/>
  <c r="H2447" i="2"/>
  <c r="E2447" i="2"/>
  <c r="G2447" i="2" s="1"/>
  <c r="H2446" i="2"/>
  <c r="E2446" i="2"/>
  <c r="G2446" i="2" s="1"/>
  <c r="H2445" i="2"/>
  <c r="E2445" i="2"/>
  <c r="G2445" i="2" s="1"/>
  <c r="H2444" i="2"/>
  <c r="E2444" i="2"/>
  <c r="G2444" i="2" s="1"/>
  <c r="H2443" i="2"/>
  <c r="E2443" i="2"/>
  <c r="G2443" i="2" s="1"/>
  <c r="H2442" i="2"/>
  <c r="E2442" i="2"/>
  <c r="G2442" i="2" s="1"/>
  <c r="H2441" i="2"/>
  <c r="E2441" i="2"/>
  <c r="G2441" i="2" s="1"/>
  <c r="H2440" i="2"/>
  <c r="E2440" i="2"/>
  <c r="G2440" i="2" s="1"/>
  <c r="H2439" i="2"/>
  <c r="E2439" i="2"/>
  <c r="G2439" i="2" s="1"/>
  <c r="H2438" i="2"/>
  <c r="E2438" i="2"/>
  <c r="G2438" i="2" s="1"/>
  <c r="H2437" i="2"/>
  <c r="E2437" i="2"/>
  <c r="G2437" i="2" s="1"/>
  <c r="H2436" i="2"/>
  <c r="E2436" i="2"/>
  <c r="G2436" i="2" s="1"/>
  <c r="H2435" i="2"/>
  <c r="E2435" i="2"/>
  <c r="G2435" i="2" s="1"/>
  <c r="H2434" i="2"/>
  <c r="E2434" i="2"/>
  <c r="G2434" i="2" s="1"/>
  <c r="H2433" i="2"/>
  <c r="E2433" i="2"/>
  <c r="G2433" i="2" s="1"/>
  <c r="H2432" i="2"/>
  <c r="E2432" i="2"/>
  <c r="G2432" i="2" s="1"/>
  <c r="H2431" i="2"/>
  <c r="E2431" i="2"/>
  <c r="G2431" i="2" s="1"/>
  <c r="H2430" i="2"/>
  <c r="E2430" i="2"/>
  <c r="G2430" i="2" s="1"/>
  <c r="H2429" i="2"/>
  <c r="E2429" i="2"/>
  <c r="G2429" i="2" s="1"/>
  <c r="H2428" i="2"/>
  <c r="E2428" i="2"/>
  <c r="G2428" i="2" s="1"/>
  <c r="H2427" i="2"/>
  <c r="E2427" i="2"/>
  <c r="G2427" i="2" s="1"/>
  <c r="H2426" i="2"/>
  <c r="E2426" i="2"/>
  <c r="G2426" i="2" s="1"/>
  <c r="H2425" i="2"/>
  <c r="E2425" i="2"/>
  <c r="G2425" i="2" s="1"/>
  <c r="H2424" i="2"/>
  <c r="E2424" i="2"/>
  <c r="G2424" i="2" s="1"/>
  <c r="H2423" i="2"/>
  <c r="E2423" i="2"/>
  <c r="G2423" i="2" s="1"/>
  <c r="H2422" i="2"/>
  <c r="E2422" i="2"/>
  <c r="G2422" i="2" s="1"/>
  <c r="H2421" i="2"/>
  <c r="E2421" i="2"/>
  <c r="G2421" i="2" s="1"/>
  <c r="H2420" i="2"/>
  <c r="E2420" i="2"/>
  <c r="G2420" i="2" s="1"/>
  <c r="H2419" i="2"/>
  <c r="E2419" i="2"/>
  <c r="G2419" i="2" s="1"/>
  <c r="H2418" i="2"/>
  <c r="E2418" i="2"/>
  <c r="G2418" i="2" s="1"/>
  <c r="H2417" i="2"/>
  <c r="E2417" i="2"/>
  <c r="G2417" i="2" s="1"/>
  <c r="H2416" i="2"/>
  <c r="E2416" i="2"/>
  <c r="G2416" i="2" s="1"/>
  <c r="H2415" i="2"/>
  <c r="E2415" i="2"/>
  <c r="G2415" i="2" s="1"/>
  <c r="H2414" i="2"/>
  <c r="E2414" i="2"/>
  <c r="G2414" i="2" s="1"/>
  <c r="H2413" i="2"/>
  <c r="E2413" i="2"/>
  <c r="G2413" i="2" s="1"/>
  <c r="H2412" i="2"/>
  <c r="E2412" i="2"/>
  <c r="G2412" i="2" s="1"/>
  <c r="H2411" i="2"/>
  <c r="E2411" i="2"/>
  <c r="G2411" i="2" s="1"/>
  <c r="H2410" i="2"/>
  <c r="E2410" i="2"/>
  <c r="G2410" i="2" s="1"/>
  <c r="H2409" i="2"/>
  <c r="E2409" i="2"/>
  <c r="G2409" i="2" s="1"/>
  <c r="H2408" i="2"/>
  <c r="E2408" i="2"/>
  <c r="G2408" i="2" s="1"/>
  <c r="H2407" i="2"/>
  <c r="E2407" i="2"/>
  <c r="G2407" i="2" s="1"/>
  <c r="H2406" i="2"/>
  <c r="E2406" i="2"/>
  <c r="G2406" i="2" s="1"/>
  <c r="H2405" i="2"/>
  <c r="E2405" i="2"/>
  <c r="G2405" i="2" s="1"/>
  <c r="H2404" i="2"/>
  <c r="E2404" i="2"/>
  <c r="G2404" i="2" s="1"/>
  <c r="H2403" i="2"/>
  <c r="E2403" i="2"/>
  <c r="G2403" i="2" s="1"/>
  <c r="H2402" i="2"/>
  <c r="E2402" i="2"/>
  <c r="G2402" i="2" s="1"/>
  <c r="H2401" i="2"/>
  <c r="E2401" i="2"/>
  <c r="G2401" i="2" s="1"/>
  <c r="H2400" i="2"/>
  <c r="E2400" i="2"/>
  <c r="G2400" i="2" s="1"/>
  <c r="H2399" i="2"/>
  <c r="E2399" i="2"/>
  <c r="G2399" i="2" s="1"/>
  <c r="H2398" i="2"/>
  <c r="E2398" i="2"/>
  <c r="G2398" i="2" s="1"/>
  <c r="H2397" i="2"/>
  <c r="E2397" i="2"/>
  <c r="G2397" i="2" s="1"/>
  <c r="H2396" i="2"/>
  <c r="E2396" i="2"/>
  <c r="G2396" i="2" s="1"/>
  <c r="H2395" i="2"/>
  <c r="E2395" i="2"/>
  <c r="G2395" i="2" s="1"/>
  <c r="H2394" i="2"/>
  <c r="E2394" i="2"/>
  <c r="G2394" i="2" s="1"/>
  <c r="H2393" i="2"/>
  <c r="E2393" i="2"/>
  <c r="G2393" i="2" s="1"/>
  <c r="H2392" i="2"/>
  <c r="E2392" i="2"/>
  <c r="G2392" i="2" s="1"/>
  <c r="H2391" i="2"/>
  <c r="E2391" i="2"/>
  <c r="G2391" i="2" s="1"/>
  <c r="H2390" i="2"/>
  <c r="E2390" i="2"/>
  <c r="G2390" i="2" s="1"/>
  <c r="H2389" i="2"/>
  <c r="E2389" i="2"/>
  <c r="G2389" i="2" s="1"/>
  <c r="H2388" i="2"/>
  <c r="E2388" i="2"/>
  <c r="G2388" i="2" s="1"/>
  <c r="H2387" i="2"/>
  <c r="E2387" i="2"/>
  <c r="G2387" i="2" s="1"/>
  <c r="H2386" i="2"/>
  <c r="E2386" i="2"/>
  <c r="G2386" i="2" s="1"/>
  <c r="H2385" i="2"/>
  <c r="E2385" i="2"/>
  <c r="G2385" i="2" s="1"/>
  <c r="H2384" i="2"/>
  <c r="E2384" i="2"/>
  <c r="G2384" i="2" s="1"/>
  <c r="H2383" i="2"/>
  <c r="E2383" i="2"/>
  <c r="G2383" i="2" s="1"/>
  <c r="H2382" i="2"/>
  <c r="E2382" i="2"/>
  <c r="G2382" i="2" s="1"/>
  <c r="H2381" i="2"/>
  <c r="E2381" i="2"/>
  <c r="G2381" i="2" s="1"/>
  <c r="H2380" i="2"/>
  <c r="E2380" i="2"/>
  <c r="G2380" i="2" s="1"/>
  <c r="H2379" i="2"/>
  <c r="E2379" i="2"/>
  <c r="G2379" i="2" s="1"/>
  <c r="H2378" i="2"/>
  <c r="E2378" i="2"/>
  <c r="G2378" i="2" s="1"/>
  <c r="H2377" i="2"/>
  <c r="E2377" i="2"/>
  <c r="G2377" i="2" s="1"/>
  <c r="H2376" i="2"/>
  <c r="E2376" i="2"/>
  <c r="G2376" i="2" s="1"/>
  <c r="H2375" i="2"/>
  <c r="E2375" i="2"/>
  <c r="G2375" i="2" s="1"/>
  <c r="H2374" i="2"/>
  <c r="E2374" i="2"/>
  <c r="G2374" i="2" s="1"/>
  <c r="H2373" i="2"/>
  <c r="E2373" i="2"/>
  <c r="G2373" i="2" s="1"/>
  <c r="H2372" i="2"/>
  <c r="E2372" i="2"/>
  <c r="G2372" i="2" s="1"/>
  <c r="H2371" i="2"/>
  <c r="E2371" i="2"/>
  <c r="G2371" i="2" s="1"/>
  <c r="H2370" i="2"/>
  <c r="E2370" i="2"/>
  <c r="G2370" i="2" s="1"/>
  <c r="H2369" i="2"/>
  <c r="E2369" i="2"/>
  <c r="G2369" i="2" s="1"/>
  <c r="H2368" i="2"/>
  <c r="E2368" i="2"/>
  <c r="G2368" i="2" s="1"/>
  <c r="H2367" i="2"/>
  <c r="E2367" i="2"/>
  <c r="G2367" i="2" s="1"/>
  <c r="H2366" i="2"/>
  <c r="E2366" i="2"/>
  <c r="G2366" i="2" s="1"/>
  <c r="H2365" i="2"/>
  <c r="E2365" i="2"/>
  <c r="G2365" i="2" s="1"/>
  <c r="H2364" i="2"/>
  <c r="E2364" i="2"/>
  <c r="G2364" i="2" s="1"/>
  <c r="H2363" i="2"/>
  <c r="E2363" i="2"/>
  <c r="G2363" i="2" s="1"/>
  <c r="H2362" i="2"/>
  <c r="E2362" i="2"/>
  <c r="G2362" i="2" s="1"/>
  <c r="H2361" i="2"/>
  <c r="E2361" i="2"/>
  <c r="G2361" i="2" s="1"/>
  <c r="H2360" i="2"/>
  <c r="E2360" i="2"/>
  <c r="G2360" i="2" s="1"/>
  <c r="H2359" i="2"/>
  <c r="E2359" i="2"/>
  <c r="G2359" i="2" s="1"/>
  <c r="H2358" i="2"/>
  <c r="E2358" i="2"/>
  <c r="G2358" i="2" s="1"/>
  <c r="H2357" i="2"/>
  <c r="E2357" i="2"/>
  <c r="G2357" i="2" s="1"/>
  <c r="H2356" i="2"/>
  <c r="E2356" i="2"/>
  <c r="G2356" i="2" s="1"/>
  <c r="H2355" i="2"/>
  <c r="E2355" i="2"/>
  <c r="G2355" i="2" s="1"/>
  <c r="H2354" i="2"/>
  <c r="E2354" i="2"/>
  <c r="G2354" i="2" s="1"/>
  <c r="H2353" i="2"/>
  <c r="E2353" i="2"/>
  <c r="G2353" i="2" s="1"/>
  <c r="H2352" i="2"/>
  <c r="E2352" i="2"/>
  <c r="G2352" i="2" s="1"/>
  <c r="H2351" i="2"/>
  <c r="E2351" i="2"/>
  <c r="G2351" i="2" s="1"/>
  <c r="H2350" i="2"/>
  <c r="E2350" i="2"/>
  <c r="G2350" i="2" s="1"/>
  <c r="H2349" i="2"/>
  <c r="E2349" i="2"/>
  <c r="G2349" i="2" s="1"/>
  <c r="H2348" i="2"/>
  <c r="E2348" i="2"/>
  <c r="G2348" i="2" s="1"/>
  <c r="H2347" i="2"/>
  <c r="E2347" i="2"/>
  <c r="G2347" i="2" s="1"/>
  <c r="H2346" i="2"/>
  <c r="E2346" i="2"/>
  <c r="G2346" i="2" s="1"/>
  <c r="H2345" i="2"/>
  <c r="E2345" i="2"/>
  <c r="G2345" i="2" s="1"/>
  <c r="H2344" i="2"/>
  <c r="E2344" i="2"/>
  <c r="G2344" i="2" s="1"/>
  <c r="H2343" i="2"/>
  <c r="E2343" i="2"/>
  <c r="G2343" i="2" s="1"/>
  <c r="H2342" i="2"/>
  <c r="E2342" i="2"/>
  <c r="G2342" i="2" s="1"/>
  <c r="H2341" i="2"/>
  <c r="E2341" i="2"/>
  <c r="G2341" i="2" s="1"/>
  <c r="H2340" i="2"/>
  <c r="E2340" i="2"/>
  <c r="G2340" i="2" s="1"/>
  <c r="H2339" i="2"/>
  <c r="E2339" i="2"/>
  <c r="G2339" i="2" s="1"/>
  <c r="H2338" i="2"/>
  <c r="E2338" i="2"/>
  <c r="G2338" i="2" s="1"/>
  <c r="H2337" i="2"/>
  <c r="E2337" i="2"/>
  <c r="G2337" i="2" s="1"/>
  <c r="H2336" i="2"/>
  <c r="E2336" i="2"/>
  <c r="G2336" i="2" s="1"/>
  <c r="H2335" i="2"/>
  <c r="E2335" i="2"/>
  <c r="G2335" i="2" s="1"/>
  <c r="H2334" i="2"/>
  <c r="E2334" i="2"/>
  <c r="G2334" i="2" s="1"/>
  <c r="H2333" i="2"/>
  <c r="E2333" i="2"/>
  <c r="G2333" i="2" s="1"/>
  <c r="H2332" i="2"/>
  <c r="E2332" i="2"/>
  <c r="G2332" i="2" s="1"/>
  <c r="H2331" i="2"/>
  <c r="E2331" i="2"/>
  <c r="G2331" i="2" s="1"/>
  <c r="H2330" i="2"/>
  <c r="E2330" i="2"/>
  <c r="G2330" i="2" s="1"/>
  <c r="H2329" i="2"/>
  <c r="E2329" i="2"/>
  <c r="G2329" i="2" s="1"/>
  <c r="H2328" i="2"/>
  <c r="E2328" i="2"/>
  <c r="G2328" i="2" s="1"/>
  <c r="H2327" i="2"/>
  <c r="E2327" i="2"/>
  <c r="G2327" i="2" s="1"/>
  <c r="H2326" i="2"/>
  <c r="E2326" i="2"/>
  <c r="G2326" i="2" s="1"/>
  <c r="H2325" i="2"/>
  <c r="E2325" i="2"/>
  <c r="G2325" i="2" s="1"/>
  <c r="H2324" i="2"/>
  <c r="E2324" i="2"/>
  <c r="G2324" i="2" s="1"/>
  <c r="H2323" i="2"/>
  <c r="E2323" i="2"/>
  <c r="G2323" i="2" s="1"/>
  <c r="H2322" i="2"/>
  <c r="E2322" i="2"/>
  <c r="G2322" i="2" s="1"/>
  <c r="H2321" i="2"/>
  <c r="E2321" i="2"/>
  <c r="G2321" i="2" s="1"/>
  <c r="H2320" i="2"/>
  <c r="E2320" i="2"/>
  <c r="G2320" i="2" s="1"/>
  <c r="H2319" i="2"/>
  <c r="E2319" i="2"/>
  <c r="G2319" i="2" s="1"/>
  <c r="H2318" i="2"/>
  <c r="E2318" i="2"/>
  <c r="G2318" i="2" s="1"/>
  <c r="H2317" i="2"/>
  <c r="E2317" i="2"/>
  <c r="G2317" i="2" s="1"/>
  <c r="H2316" i="2"/>
  <c r="E2316" i="2"/>
  <c r="G2316" i="2" s="1"/>
  <c r="H2315" i="2"/>
  <c r="E2315" i="2"/>
  <c r="G2315" i="2" s="1"/>
  <c r="H2314" i="2"/>
  <c r="E2314" i="2"/>
  <c r="G2314" i="2" s="1"/>
  <c r="H2313" i="2"/>
  <c r="E2313" i="2"/>
  <c r="G2313" i="2" s="1"/>
  <c r="H2312" i="2"/>
  <c r="E2312" i="2"/>
  <c r="G2312" i="2" s="1"/>
  <c r="H2311" i="2"/>
  <c r="E2311" i="2"/>
  <c r="G2311" i="2" s="1"/>
  <c r="H2310" i="2"/>
  <c r="E2310" i="2"/>
  <c r="G2310" i="2" s="1"/>
  <c r="H2309" i="2"/>
  <c r="E2309" i="2"/>
  <c r="G2309" i="2" s="1"/>
  <c r="H2308" i="2"/>
  <c r="E2308" i="2"/>
  <c r="G2308" i="2" s="1"/>
  <c r="H2307" i="2"/>
  <c r="E2307" i="2"/>
  <c r="G2307" i="2" s="1"/>
  <c r="H2306" i="2"/>
  <c r="E2306" i="2"/>
  <c r="G2306" i="2" s="1"/>
  <c r="H2305" i="2"/>
  <c r="E2305" i="2"/>
  <c r="G2305" i="2" s="1"/>
  <c r="H2304" i="2"/>
  <c r="E2304" i="2"/>
  <c r="G2304" i="2" s="1"/>
  <c r="H2303" i="2"/>
  <c r="E2303" i="2"/>
  <c r="G2303" i="2" s="1"/>
  <c r="H2302" i="2"/>
  <c r="E2302" i="2"/>
  <c r="G2302" i="2" s="1"/>
  <c r="H2301" i="2"/>
  <c r="E2301" i="2"/>
  <c r="G2301" i="2" s="1"/>
  <c r="H2300" i="2"/>
  <c r="E2300" i="2"/>
  <c r="G2300" i="2" s="1"/>
  <c r="H2299" i="2"/>
  <c r="E2299" i="2"/>
  <c r="G2299" i="2" s="1"/>
  <c r="H2298" i="2"/>
  <c r="E2298" i="2"/>
  <c r="G2298" i="2" s="1"/>
  <c r="H2297" i="2"/>
  <c r="E2297" i="2"/>
  <c r="G2297" i="2" s="1"/>
  <c r="H2296" i="2"/>
  <c r="E2296" i="2"/>
  <c r="G2296" i="2" s="1"/>
  <c r="H2295" i="2"/>
  <c r="E2295" i="2"/>
  <c r="G2295" i="2" s="1"/>
  <c r="H2294" i="2"/>
  <c r="E2294" i="2"/>
  <c r="G2294" i="2" s="1"/>
  <c r="H2293" i="2"/>
  <c r="E2293" i="2"/>
  <c r="G2293" i="2" s="1"/>
  <c r="H2292" i="2"/>
  <c r="E2292" i="2"/>
  <c r="G2292" i="2" s="1"/>
  <c r="H2291" i="2"/>
  <c r="E2291" i="2"/>
  <c r="G2291" i="2" s="1"/>
  <c r="H2290" i="2"/>
  <c r="E2290" i="2"/>
  <c r="G2290" i="2" s="1"/>
  <c r="H2289" i="2"/>
  <c r="E2289" i="2"/>
  <c r="G2289" i="2" s="1"/>
  <c r="H2288" i="2"/>
  <c r="E2288" i="2"/>
  <c r="G2288" i="2" s="1"/>
  <c r="H2287" i="2"/>
  <c r="E2287" i="2"/>
  <c r="G2287" i="2" s="1"/>
  <c r="H2286" i="2"/>
  <c r="E2286" i="2"/>
  <c r="G2286" i="2" s="1"/>
  <c r="H2285" i="2"/>
  <c r="E2285" i="2"/>
  <c r="G2285" i="2" s="1"/>
  <c r="H2284" i="2"/>
  <c r="E2284" i="2"/>
  <c r="G2284" i="2" s="1"/>
  <c r="H2283" i="2"/>
  <c r="E2283" i="2"/>
  <c r="G2283" i="2" s="1"/>
  <c r="H2282" i="2"/>
  <c r="E2282" i="2"/>
  <c r="G2282" i="2" s="1"/>
  <c r="H2281" i="2"/>
  <c r="E2281" i="2"/>
  <c r="G2281" i="2" s="1"/>
  <c r="H2280" i="2"/>
  <c r="E2280" i="2"/>
  <c r="G2280" i="2" s="1"/>
  <c r="H2279" i="2"/>
  <c r="E2279" i="2"/>
  <c r="G2279" i="2" s="1"/>
  <c r="H2278" i="2"/>
  <c r="E2278" i="2"/>
  <c r="G2278" i="2" s="1"/>
  <c r="H2277" i="2"/>
  <c r="E2277" i="2"/>
  <c r="G2277" i="2" s="1"/>
  <c r="H2276" i="2"/>
  <c r="E2276" i="2"/>
  <c r="G2276" i="2" s="1"/>
  <c r="H2275" i="2"/>
  <c r="E2275" i="2"/>
  <c r="G2275" i="2" s="1"/>
  <c r="H2274" i="2"/>
  <c r="E2274" i="2"/>
  <c r="G2274" i="2" s="1"/>
  <c r="H2273" i="2"/>
  <c r="E2273" i="2"/>
  <c r="G2273" i="2" s="1"/>
  <c r="H2272" i="2"/>
  <c r="E2272" i="2"/>
  <c r="G2272" i="2" s="1"/>
  <c r="H2271" i="2"/>
  <c r="E2271" i="2"/>
  <c r="G2271" i="2" s="1"/>
  <c r="H2270" i="2"/>
  <c r="E2270" i="2"/>
  <c r="G2270" i="2" s="1"/>
  <c r="H2269" i="2"/>
  <c r="E2269" i="2"/>
  <c r="G2269" i="2" s="1"/>
  <c r="H2268" i="2"/>
  <c r="E2268" i="2"/>
  <c r="G2268" i="2" s="1"/>
  <c r="H2267" i="2"/>
  <c r="E2267" i="2"/>
  <c r="G2267" i="2" s="1"/>
  <c r="H2266" i="2"/>
  <c r="E2266" i="2"/>
  <c r="G2266" i="2" s="1"/>
  <c r="H2265" i="2"/>
  <c r="E2265" i="2"/>
  <c r="G2265" i="2" s="1"/>
  <c r="H2264" i="2"/>
  <c r="E2264" i="2"/>
  <c r="G2264" i="2" s="1"/>
  <c r="H2263" i="2"/>
  <c r="E2263" i="2"/>
  <c r="G2263" i="2" s="1"/>
  <c r="H2262" i="2"/>
  <c r="E2262" i="2"/>
  <c r="G2262" i="2" s="1"/>
  <c r="H2261" i="2"/>
  <c r="E2261" i="2"/>
  <c r="G2261" i="2" s="1"/>
  <c r="H2260" i="2"/>
  <c r="E2260" i="2"/>
  <c r="G2260" i="2" s="1"/>
  <c r="H2259" i="2"/>
  <c r="E2259" i="2"/>
  <c r="G2259" i="2" s="1"/>
  <c r="H2258" i="2"/>
  <c r="E2258" i="2"/>
  <c r="G2258" i="2" s="1"/>
  <c r="H2257" i="2"/>
  <c r="E2257" i="2"/>
  <c r="G2257" i="2" s="1"/>
  <c r="H2256" i="2"/>
  <c r="E2256" i="2"/>
  <c r="G2256" i="2" s="1"/>
  <c r="H2255" i="2"/>
  <c r="E2255" i="2"/>
  <c r="G2255" i="2" s="1"/>
  <c r="H2254" i="2"/>
  <c r="E2254" i="2"/>
  <c r="G2254" i="2" s="1"/>
  <c r="H2253" i="2"/>
  <c r="E2253" i="2"/>
  <c r="G2253" i="2" s="1"/>
  <c r="H2252" i="2"/>
  <c r="E2252" i="2"/>
  <c r="G2252" i="2" s="1"/>
  <c r="H2251" i="2"/>
  <c r="E2251" i="2"/>
  <c r="G2251" i="2" s="1"/>
  <c r="H2250" i="2"/>
  <c r="E2250" i="2"/>
  <c r="G2250" i="2" s="1"/>
  <c r="H2249" i="2"/>
  <c r="E2249" i="2"/>
  <c r="G2249" i="2" s="1"/>
  <c r="H2248" i="2"/>
  <c r="E2248" i="2"/>
  <c r="G2248" i="2" s="1"/>
  <c r="H2247" i="2"/>
  <c r="E2247" i="2"/>
  <c r="G2247" i="2" s="1"/>
  <c r="H2246" i="2"/>
  <c r="E2246" i="2"/>
  <c r="G2246" i="2" s="1"/>
  <c r="H2245" i="2"/>
  <c r="E2245" i="2"/>
  <c r="G2245" i="2" s="1"/>
  <c r="H2244" i="2"/>
  <c r="E2244" i="2"/>
  <c r="G2244" i="2" s="1"/>
  <c r="H2243" i="2"/>
  <c r="E2243" i="2"/>
  <c r="G2243" i="2" s="1"/>
  <c r="H2242" i="2"/>
  <c r="E2242" i="2"/>
  <c r="G2242" i="2" s="1"/>
  <c r="H2241" i="2"/>
  <c r="E2241" i="2"/>
  <c r="G2241" i="2" s="1"/>
  <c r="H2240" i="2"/>
  <c r="E2240" i="2"/>
  <c r="G2240" i="2" s="1"/>
  <c r="H2239" i="2"/>
  <c r="E2239" i="2"/>
  <c r="G2239" i="2" s="1"/>
  <c r="H2238" i="2"/>
  <c r="E2238" i="2"/>
  <c r="G2238" i="2" s="1"/>
  <c r="H2237" i="2"/>
  <c r="E2237" i="2"/>
  <c r="G2237" i="2" s="1"/>
  <c r="H2236" i="2"/>
  <c r="E2236" i="2"/>
  <c r="G2236" i="2" s="1"/>
  <c r="H2235" i="2"/>
  <c r="E2235" i="2"/>
  <c r="G2235" i="2" s="1"/>
  <c r="H2234" i="2"/>
  <c r="E2234" i="2"/>
  <c r="G2234" i="2" s="1"/>
  <c r="H2233" i="2"/>
  <c r="E2233" i="2"/>
  <c r="G2233" i="2" s="1"/>
  <c r="H2232" i="2"/>
  <c r="E2232" i="2"/>
  <c r="G2232" i="2" s="1"/>
  <c r="H2231" i="2"/>
  <c r="E2231" i="2"/>
  <c r="G2231" i="2" s="1"/>
  <c r="H2230" i="2"/>
  <c r="E2230" i="2"/>
  <c r="G2230" i="2" s="1"/>
  <c r="H2229" i="2"/>
  <c r="E2229" i="2"/>
  <c r="G2229" i="2" s="1"/>
  <c r="H2228" i="2"/>
  <c r="E2228" i="2"/>
  <c r="G2228" i="2" s="1"/>
  <c r="H2227" i="2"/>
  <c r="E2227" i="2"/>
  <c r="G2227" i="2" s="1"/>
  <c r="H2226" i="2"/>
  <c r="E2226" i="2"/>
  <c r="G2226" i="2" s="1"/>
  <c r="H2225" i="2"/>
  <c r="E2225" i="2"/>
  <c r="G2225" i="2" s="1"/>
  <c r="H2224" i="2"/>
  <c r="E2224" i="2"/>
  <c r="G2224" i="2" s="1"/>
  <c r="H2223" i="2"/>
  <c r="E2223" i="2"/>
  <c r="G2223" i="2" s="1"/>
  <c r="H2222" i="2"/>
  <c r="E2222" i="2"/>
  <c r="G2222" i="2" s="1"/>
  <c r="H2221" i="2"/>
  <c r="E2221" i="2"/>
  <c r="G2221" i="2" s="1"/>
  <c r="H2220" i="2"/>
  <c r="E2220" i="2"/>
  <c r="G2220" i="2" s="1"/>
  <c r="H2219" i="2"/>
  <c r="E2219" i="2"/>
  <c r="G2219" i="2" s="1"/>
  <c r="H2218" i="2"/>
  <c r="E2218" i="2"/>
  <c r="G2218" i="2" s="1"/>
  <c r="H2217" i="2"/>
  <c r="E2217" i="2"/>
  <c r="G2217" i="2" s="1"/>
  <c r="H2216" i="2"/>
  <c r="E2216" i="2"/>
  <c r="G2216" i="2" s="1"/>
  <c r="H2215" i="2"/>
  <c r="E2215" i="2"/>
  <c r="G2215" i="2" s="1"/>
  <c r="H2214" i="2"/>
  <c r="E2214" i="2"/>
  <c r="G2214" i="2" s="1"/>
  <c r="H2213" i="2"/>
  <c r="E2213" i="2"/>
  <c r="G2213" i="2" s="1"/>
  <c r="H2212" i="2"/>
  <c r="E2212" i="2"/>
  <c r="G2212" i="2" s="1"/>
  <c r="H2211" i="2"/>
  <c r="E2211" i="2"/>
  <c r="G2211" i="2" s="1"/>
  <c r="H2210" i="2"/>
  <c r="E2210" i="2"/>
  <c r="G2210" i="2" s="1"/>
  <c r="H2209" i="2"/>
  <c r="E2209" i="2"/>
  <c r="G2209" i="2" s="1"/>
  <c r="H2208" i="2"/>
  <c r="E2208" i="2"/>
  <c r="G2208" i="2" s="1"/>
  <c r="H2207" i="2"/>
  <c r="E2207" i="2"/>
  <c r="G2207" i="2" s="1"/>
  <c r="H2206" i="2"/>
  <c r="E2206" i="2"/>
  <c r="G2206" i="2" s="1"/>
  <c r="H2205" i="2"/>
  <c r="E2205" i="2"/>
  <c r="G2205" i="2" s="1"/>
  <c r="H2204" i="2"/>
  <c r="E2204" i="2"/>
  <c r="G2204" i="2" s="1"/>
  <c r="H2203" i="2"/>
  <c r="E2203" i="2"/>
  <c r="G2203" i="2" s="1"/>
  <c r="H2202" i="2"/>
  <c r="E2202" i="2"/>
  <c r="G2202" i="2" s="1"/>
  <c r="H2201" i="2"/>
  <c r="E2201" i="2"/>
  <c r="G2201" i="2" s="1"/>
  <c r="H2200" i="2"/>
  <c r="E2200" i="2"/>
  <c r="G2200" i="2" s="1"/>
  <c r="H2199" i="2"/>
  <c r="E2199" i="2"/>
  <c r="G2199" i="2" s="1"/>
  <c r="H2198" i="2"/>
  <c r="E2198" i="2"/>
  <c r="G2198" i="2" s="1"/>
  <c r="H2197" i="2"/>
  <c r="E2197" i="2"/>
  <c r="G2197" i="2" s="1"/>
  <c r="H2196" i="2"/>
  <c r="E2196" i="2"/>
  <c r="G2196" i="2" s="1"/>
  <c r="H2195" i="2"/>
  <c r="E2195" i="2"/>
  <c r="G2195" i="2" s="1"/>
  <c r="H2194" i="2"/>
  <c r="E2194" i="2"/>
  <c r="G2194" i="2" s="1"/>
  <c r="H2193" i="2"/>
  <c r="E2193" i="2"/>
  <c r="G2193" i="2" s="1"/>
  <c r="H2192" i="2"/>
  <c r="E2192" i="2"/>
  <c r="G2192" i="2" s="1"/>
  <c r="H2191" i="2"/>
  <c r="E2191" i="2"/>
  <c r="G2191" i="2" s="1"/>
  <c r="H2190" i="2"/>
  <c r="E2190" i="2"/>
  <c r="G2190" i="2" s="1"/>
  <c r="H2189" i="2"/>
  <c r="E2189" i="2"/>
  <c r="G2189" i="2" s="1"/>
  <c r="H2188" i="2"/>
  <c r="E2188" i="2"/>
  <c r="G2188" i="2" s="1"/>
  <c r="H2187" i="2"/>
  <c r="E2187" i="2"/>
  <c r="G2187" i="2" s="1"/>
  <c r="H2186" i="2"/>
  <c r="E2186" i="2"/>
  <c r="G2186" i="2" s="1"/>
  <c r="H2185" i="2"/>
  <c r="E2185" i="2"/>
  <c r="G2185" i="2" s="1"/>
  <c r="H2184" i="2"/>
  <c r="E2184" i="2"/>
  <c r="G2184" i="2" s="1"/>
  <c r="H2183" i="2"/>
  <c r="E2183" i="2"/>
  <c r="G2183" i="2" s="1"/>
  <c r="H2182" i="2"/>
  <c r="E2182" i="2"/>
  <c r="G2182" i="2" s="1"/>
  <c r="H2181" i="2"/>
  <c r="E2181" i="2"/>
  <c r="G2181" i="2" s="1"/>
  <c r="H2180" i="2"/>
  <c r="E2180" i="2"/>
  <c r="G2180" i="2" s="1"/>
  <c r="H2179" i="2"/>
  <c r="E2179" i="2"/>
  <c r="G2179" i="2" s="1"/>
  <c r="H2178" i="2"/>
  <c r="E2178" i="2"/>
  <c r="G2178" i="2" s="1"/>
  <c r="H2177" i="2"/>
  <c r="E2177" i="2"/>
  <c r="G2177" i="2" s="1"/>
  <c r="H2176" i="2"/>
  <c r="E2176" i="2"/>
  <c r="G2176" i="2" s="1"/>
  <c r="H2175" i="2"/>
  <c r="E2175" i="2"/>
  <c r="G2175" i="2" s="1"/>
  <c r="H2174" i="2"/>
  <c r="E2174" i="2"/>
  <c r="G2174" i="2" s="1"/>
  <c r="H2173" i="2"/>
  <c r="E2173" i="2"/>
  <c r="G2173" i="2" s="1"/>
  <c r="H2172" i="2"/>
  <c r="E2172" i="2"/>
  <c r="G2172" i="2" s="1"/>
  <c r="H2171" i="2"/>
  <c r="E2171" i="2"/>
  <c r="G2171" i="2" s="1"/>
  <c r="H2170" i="2"/>
  <c r="E2170" i="2"/>
  <c r="G2170" i="2" s="1"/>
  <c r="H2169" i="2"/>
  <c r="E2169" i="2"/>
  <c r="G2169" i="2" s="1"/>
  <c r="H2168" i="2"/>
  <c r="E2168" i="2"/>
  <c r="G2168" i="2" s="1"/>
  <c r="H2167" i="2"/>
  <c r="E2167" i="2"/>
  <c r="G2167" i="2" s="1"/>
  <c r="H2166" i="2"/>
  <c r="E2166" i="2"/>
  <c r="G2166" i="2" s="1"/>
  <c r="H2165" i="2"/>
  <c r="E2165" i="2"/>
  <c r="G2165" i="2" s="1"/>
  <c r="H2164" i="2"/>
  <c r="E2164" i="2"/>
  <c r="G2164" i="2" s="1"/>
  <c r="H2163" i="2"/>
  <c r="E2163" i="2"/>
  <c r="G2163" i="2" s="1"/>
  <c r="H2162" i="2"/>
  <c r="E2162" i="2"/>
  <c r="G2162" i="2" s="1"/>
  <c r="H2161" i="2"/>
  <c r="E2161" i="2"/>
  <c r="G2161" i="2" s="1"/>
  <c r="H2160" i="2"/>
  <c r="E2160" i="2"/>
  <c r="G2160" i="2" s="1"/>
  <c r="H2159" i="2"/>
  <c r="E2159" i="2"/>
  <c r="G2159" i="2" s="1"/>
  <c r="H2158" i="2"/>
  <c r="E2158" i="2"/>
  <c r="G2158" i="2" s="1"/>
  <c r="H2157" i="2"/>
  <c r="E2157" i="2"/>
  <c r="G2157" i="2" s="1"/>
  <c r="H2156" i="2"/>
  <c r="E2156" i="2"/>
  <c r="G2156" i="2" s="1"/>
  <c r="H2155" i="2"/>
  <c r="E2155" i="2"/>
  <c r="G2155" i="2" s="1"/>
  <c r="H2154" i="2"/>
  <c r="E2154" i="2"/>
  <c r="G2154" i="2" s="1"/>
  <c r="H2153" i="2"/>
  <c r="E2153" i="2"/>
  <c r="G2153" i="2" s="1"/>
  <c r="H2152" i="2"/>
  <c r="E2152" i="2"/>
  <c r="G2152" i="2" s="1"/>
  <c r="H2151" i="2"/>
  <c r="E2151" i="2"/>
  <c r="G2151" i="2" s="1"/>
  <c r="H2150" i="2"/>
  <c r="E2150" i="2"/>
  <c r="G2150" i="2" s="1"/>
  <c r="H2149" i="2"/>
  <c r="E2149" i="2"/>
  <c r="G2149" i="2" s="1"/>
  <c r="H2148" i="2"/>
  <c r="E2148" i="2"/>
  <c r="G2148" i="2" s="1"/>
  <c r="H2147" i="2"/>
  <c r="E2147" i="2"/>
  <c r="G2147" i="2" s="1"/>
  <c r="H2146" i="2"/>
  <c r="E2146" i="2"/>
  <c r="G2146" i="2" s="1"/>
  <c r="H2145" i="2"/>
  <c r="E2145" i="2"/>
  <c r="G2145" i="2" s="1"/>
  <c r="H2144" i="2"/>
  <c r="E2144" i="2"/>
  <c r="G2144" i="2" s="1"/>
  <c r="H2143" i="2"/>
  <c r="E2143" i="2"/>
  <c r="G2143" i="2" s="1"/>
  <c r="H2142" i="2"/>
  <c r="E2142" i="2"/>
  <c r="G2142" i="2" s="1"/>
  <c r="H2141" i="2"/>
  <c r="E2141" i="2"/>
  <c r="G2141" i="2" s="1"/>
  <c r="H2140" i="2"/>
  <c r="E2140" i="2"/>
  <c r="G2140" i="2" s="1"/>
  <c r="H2139" i="2"/>
  <c r="E2139" i="2"/>
  <c r="G2139" i="2" s="1"/>
  <c r="H2138" i="2"/>
  <c r="E2138" i="2"/>
  <c r="G2138" i="2" s="1"/>
  <c r="H2137" i="2"/>
  <c r="E2137" i="2"/>
  <c r="G2137" i="2" s="1"/>
  <c r="H2136" i="2"/>
  <c r="E2136" i="2"/>
  <c r="G2136" i="2" s="1"/>
  <c r="H2135" i="2"/>
  <c r="E2135" i="2"/>
  <c r="G2135" i="2" s="1"/>
  <c r="H2134" i="2"/>
  <c r="G2134" i="2"/>
  <c r="H2133" i="2"/>
  <c r="E2133" i="2"/>
  <c r="G2133" i="2" s="1"/>
  <c r="H2132" i="2"/>
  <c r="E2132" i="2"/>
  <c r="G2132" i="2" s="1"/>
  <c r="H2131" i="2"/>
  <c r="E2131" i="2"/>
  <c r="G2131" i="2" s="1"/>
  <c r="H2130" i="2"/>
  <c r="E2130" i="2"/>
  <c r="G2130" i="2" s="1"/>
  <c r="H2129" i="2"/>
  <c r="E2129" i="2"/>
  <c r="G2129" i="2" s="1"/>
  <c r="H2128" i="2"/>
  <c r="E2128" i="2"/>
  <c r="G2128" i="2" s="1"/>
  <c r="H2127" i="2"/>
  <c r="E2127" i="2"/>
  <c r="G2127" i="2" s="1"/>
  <c r="H2126" i="2"/>
  <c r="E2126" i="2"/>
  <c r="G2126" i="2" s="1"/>
  <c r="H2125" i="2"/>
  <c r="E2125" i="2"/>
  <c r="G2125" i="2" s="1"/>
  <c r="H2124" i="2"/>
  <c r="E2124" i="2"/>
  <c r="G2124" i="2" s="1"/>
  <c r="H2123" i="2"/>
  <c r="E2123" i="2"/>
  <c r="G2123" i="2" s="1"/>
  <c r="H2122" i="2"/>
  <c r="E2122" i="2"/>
  <c r="G2122" i="2" s="1"/>
  <c r="H2121" i="2"/>
  <c r="E2121" i="2"/>
  <c r="G2121" i="2" s="1"/>
  <c r="H2120" i="2"/>
  <c r="E2120" i="2"/>
  <c r="G2120" i="2" s="1"/>
  <c r="H2119" i="2"/>
  <c r="E2119" i="2"/>
  <c r="G2119" i="2" s="1"/>
  <c r="H2118" i="2"/>
  <c r="G2118" i="2"/>
  <c r="H2117" i="2"/>
  <c r="G2117" i="2"/>
  <c r="H2116" i="2"/>
  <c r="E2116" i="2"/>
  <c r="G2116" i="2" s="1"/>
  <c r="H2115" i="2"/>
  <c r="E2115" i="2"/>
  <c r="G2115" i="2" s="1"/>
  <c r="H2114" i="2"/>
  <c r="E2114" i="2"/>
  <c r="G2114" i="2" s="1"/>
  <c r="H2113" i="2"/>
  <c r="E2113" i="2"/>
  <c r="G2113" i="2" s="1"/>
  <c r="H2112" i="2"/>
  <c r="E2112" i="2"/>
  <c r="G2112" i="2" s="1"/>
  <c r="H2111" i="2"/>
  <c r="E2111" i="2"/>
  <c r="G2111" i="2" s="1"/>
  <c r="H2110" i="2"/>
  <c r="E2110" i="2"/>
  <c r="G2110" i="2" s="1"/>
  <c r="H2109" i="2"/>
  <c r="E2109" i="2"/>
  <c r="G2109" i="2" s="1"/>
  <c r="H2108" i="2"/>
  <c r="E2108" i="2"/>
  <c r="G2108" i="2" s="1"/>
  <c r="H2107" i="2"/>
  <c r="E2107" i="2"/>
  <c r="G2107" i="2" s="1"/>
  <c r="H2106" i="2"/>
  <c r="E2106" i="2"/>
  <c r="G2106" i="2" s="1"/>
  <c r="H2105" i="2"/>
  <c r="E2105" i="2"/>
  <c r="G2105" i="2" s="1"/>
  <c r="H2104" i="2"/>
  <c r="E2104" i="2"/>
  <c r="G2104" i="2" s="1"/>
  <c r="H2103" i="2"/>
  <c r="E2103" i="2"/>
  <c r="G2103" i="2" s="1"/>
  <c r="H2102" i="2"/>
  <c r="E2102" i="2"/>
  <c r="G2102" i="2" s="1"/>
  <c r="H2101" i="2"/>
  <c r="E2101" i="2"/>
  <c r="G2101" i="2" s="1"/>
  <c r="H2100" i="2"/>
  <c r="E2100" i="2"/>
  <c r="G2100" i="2" s="1"/>
  <c r="H2099" i="2"/>
  <c r="E2099" i="2"/>
  <c r="G2099" i="2" s="1"/>
  <c r="H2098" i="2"/>
  <c r="E2098" i="2"/>
  <c r="G2098" i="2" s="1"/>
  <c r="H2097" i="2"/>
  <c r="E2097" i="2"/>
  <c r="G2097" i="2" s="1"/>
  <c r="H2096" i="2"/>
  <c r="E2096" i="2"/>
  <c r="G2096" i="2" s="1"/>
  <c r="H2095" i="2"/>
  <c r="G2095" i="2"/>
  <c r="H2094" i="2"/>
  <c r="G2094" i="2"/>
  <c r="H2093" i="2"/>
  <c r="G2093" i="2"/>
  <c r="H2092" i="2"/>
  <c r="E2092" i="2"/>
  <c r="G2092" i="2" s="1"/>
  <c r="H2091" i="2"/>
  <c r="E2091" i="2"/>
  <c r="G2091" i="2" s="1"/>
  <c r="H2090" i="2"/>
  <c r="E2090" i="2"/>
  <c r="G2090" i="2" s="1"/>
  <c r="H2089" i="2"/>
  <c r="E2089" i="2"/>
  <c r="G2089" i="2" s="1"/>
  <c r="H2088" i="2"/>
  <c r="E2088" i="2"/>
  <c r="G2088" i="2" s="1"/>
  <c r="H2087" i="2"/>
  <c r="E2087" i="2"/>
  <c r="G2087" i="2" s="1"/>
  <c r="H2086" i="2"/>
  <c r="E2086" i="2"/>
  <c r="G2086" i="2" s="1"/>
  <c r="H2085" i="2"/>
  <c r="E2085" i="2"/>
  <c r="G2085" i="2" s="1"/>
  <c r="H2084" i="2"/>
  <c r="E2084" i="2"/>
  <c r="G2084" i="2" s="1"/>
  <c r="H2083" i="2"/>
  <c r="E2083" i="2"/>
  <c r="G2083" i="2" s="1"/>
  <c r="H2082" i="2"/>
  <c r="E2082" i="2"/>
  <c r="G2082" i="2" s="1"/>
  <c r="H2081" i="2"/>
  <c r="E2081" i="2"/>
  <c r="G2081" i="2" s="1"/>
  <c r="H2080" i="2"/>
  <c r="E2080" i="2"/>
  <c r="G2080" i="2" s="1"/>
  <c r="H2079" i="2"/>
  <c r="E2079" i="2"/>
  <c r="G2079" i="2" s="1"/>
  <c r="H2078" i="2"/>
  <c r="E2078" i="2"/>
  <c r="G2078" i="2" s="1"/>
  <c r="H2077" i="2"/>
  <c r="E2077" i="2"/>
  <c r="G2077" i="2" s="1"/>
  <c r="H2076" i="2"/>
  <c r="E2076" i="2"/>
  <c r="G2076" i="2" s="1"/>
  <c r="H2075" i="2"/>
  <c r="E2075" i="2"/>
  <c r="G2075" i="2" s="1"/>
  <c r="H2074" i="2"/>
  <c r="E2074" i="2"/>
  <c r="G2074" i="2" s="1"/>
  <c r="H2073" i="2"/>
  <c r="E2073" i="2"/>
  <c r="G2073" i="2" s="1"/>
  <c r="H2072" i="2"/>
  <c r="E2072" i="2"/>
  <c r="G2072" i="2" s="1"/>
  <c r="H2071" i="2"/>
  <c r="E2071" i="2"/>
  <c r="G2071" i="2" s="1"/>
  <c r="H2070" i="2"/>
  <c r="E2070" i="2"/>
  <c r="G2070" i="2" s="1"/>
  <c r="H2069" i="2"/>
  <c r="G2069" i="2"/>
  <c r="H2068" i="2"/>
  <c r="E2068" i="2"/>
  <c r="G2068" i="2" s="1"/>
  <c r="H2067" i="2"/>
  <c r="E2067" i="2"/>
  <c r="G2067" i="2" s="1"/>
  <c r="H2066" i="2"/>
  <c r="E2066" i="2"/>
  <c r="G2066" i="2" s="1"/>
  <c r="H2065" i="2"/>
  <c r="E2065" i="2"/>
  <c r="G2065" i="2" s="1"/>
  <c r="H2064" i="2"/>
  <c r="E2064" i="2"/>
  <c r="G2064" i="2" s="1"/>
  <c r="H2063" i="2"/>
  <c r="E2063" i="2"/>
  <c r="G2063" i="2" s="1"/>
  <c r="H2062" i="2"/>
  <c r="E2062" i="2"/>
  <c r="G2062" i="2" s="1"/>
  <c r="H2061" i="2"/>
  <c r="E2061" i="2"/>
  <c r="G2061" i="2" s="1"/>
  <c r="H2060" i="2"/>
  <c r="E2060" i="2"/>
  <c r="G2060" i="2" s="1"/>
  <c r="H2059" i="2"/>
  <c r="E2059" i="2"/>
  <c r="G2059" i="2" s="1"/>
  <c r="H2058" i="2"/>
  <c r="E2058" i="2"/>
  <c r="G2058" i="2" s="1"/>
  <c r="H2057" i="2"/>
  <c r="E2057" i="2"/>
  <c r="G2057" i="2" s="1"/>
  <c r="H2056" i="2"/>
  <c r="E2056" i="2"/>
  <c r="G2056" i="2" s="1"/>
  <c r="H2055" i="2"/>
  <c r="E2055" i="2"/>
  <c r="G2055" i="2" s="1"/>
  <c r="H2054" i="2"/>
  <c r="E2054" i="2"/>
  <c r="G2054" i="2" s="1"/>
  <c r="H2053" i="2"/>
  <c r="E2053" i="2"/>
  <c r="G2053" i="2" s="1"/>
  <c r="H2052" i="2"/>
  <c r="E2052" i="2"/>
  <c r="G2052" i="2" s="1"/>
  <c r="H2051" i="2"/>
  <c r="E2051" i="2"/>
  <c r="G2051" i="2" s="1"/>
  <c r="H2050" i="2"/>
  <c r="E2050" i="2"/>
  <c r="G2050" i="2" s="1"/>
  <c r="H2049" i="2"/>
  <c r="E2049" i="2"/>
  <c r="G2049" i="2" s="1"/>
  <c r="H2048" i="2"/>
  <c r="E2048" i="2"/>
  <c r="G2048" i="2" s="1"/>
  <c r="H2047" i="2"/>
  <c r="E2047" i="2"/>
  <c r="G2047" i="2" s="1"/>
  <c r="H2046" i="2"/>
  <c r="E2046" i="2"/>
  <c r="G2046" i="2" s="1"/>
  <c r="H2045" i="2"/>
  <c r="E2045" i="2"/>
  <c r="G2045" i="2" s="1"/>
  <c r="H2044" i="2"/>
  <c r="E2044" i="2"/>
  <c r="G2044" i="2" s="1"/>
  <c r="H2043" i="2"/>
  <c r="E2043" i="2"/>
  <c r="G2043" i="2" s="1"/>
  <c r="H2042" i="2"/>
  <c r="E2042" i="2"/>
  <c r="G2042" i="2" s="1"/>
  <c r="H2041" i="2"/>
  <c r="E2041" i="2"/>
  <c r="G2041" i="2" s="1"/>
  <c r="H2040" i="2"/>
  <c r="E2040" i="2"/>
  <c r="G2040" i="2" s="1"/>
  <c r="H2039" i="2"/>
  <c r="E2039" i="2"/>
  <c r="G2039" i="2" s="1"/>
  <c r="H2038" i="2"/>
  <c r="E2038" i="2"/>
  <c r="G2038" i="2" s="1"/>
  <c r="H2037" i="2"/>
  <c r="E2037" i="2"/>
  <c r="G2037" i="2" s="1"/>
  <c r="H2036" i="2"/>
  <c r="E2036" i="2"/>
  <c r="G2036" i="2" s="1"/>
  <c r="H2035" i="2"/>
  <c r="E2035" i="2"/>
  <c r="G2035" i="2" s="1"/>
  <c r="H2034" i="2"/>
  <c r="E2034" i="2"/>
  <c r="G2034" i="2" s="1"/>
  <c r="H2033" i="2"/>
  <c r="E2033" i="2"/>
  <c r="G2033" i="2" s="1"/>
  <c r="H2032" i="2"/>
  <c r="E2032" i="2"/>
  <c r="G2032" i="2" s="1"/>
  <c r="H2031" i="2"/>
  <c r="E2031" i="2"/>
  <c r="G2031" i="2" s="1"/>
  <c r="H2030" i="2"/>
  <c r="E2030" i="2"/>
  <c r="G2030" i="2" s="1"/>
  <c r="H2029" i="2"/>
  <c r="E2029" i="2"/>
  <c r="G2029" i="2" s="1"/>
  <c r="H2028" i="2"/>
  <c r="G2028" i="2"/>
  <c r="H2027" i="2"/>
  <c r="G2027" i="2"/>
  <c r="H2026" i="2"/>
  <c r="E2026" i="2"/>
  <c r="G2026" i="2" s="1"/>
  <c r="H2025" i="2"/>
  <c r="E2025" i="2"/>
  <c r="G2025" i="2" s="1"/>
  <c r="H2024" i="2"/>
  <c r="E2024" i="2"/>
  <c r="G2024" i="2" s="1"/>
  <c r="H2023" i="2"/>
  <c r="E2023" i="2"/>
  <c r="G2023" i="2" s="1"/>
  <c r="H2022" i="2"/>
  <c r="E2022" i="2"/>
  <c r="G2022" i="2" s="1"/>
  <c r="H2021" i="2"/>
  <c r="E2021" i="2"/>
  <c r="G2021" i="2" s="1"/>
  <c r="H2020" i="2"/>
  <c r="E2020" i="2"/>
  <c r="G2020" i="2" s="1"/>
  <c r="H2019" i="2"/>
  <c r="E2019" i="2"/>
  <c r="G2019" i="2" s="1"/>
  <c r="H2018" i="2"/>
  <c r="E2018" i="2"/>
  <c r="G2018" i="2" s="1"/>
  <c r="H2017" i="2"/>
  <c r="E2017" i="2"/>
  <c r="G2017" i="2" s="1"/>
  <c r="H2016" i="2"/>
  <c r="E2016" i="2"/>
  <c r="G2016" i="2" s="1"/>
  <c r="H2015" i="2"/>
  <c r="E2015" i="2"/>
  <c r="G2015" i="2" s="1"/>
  <c r="H2014" i="2"/>
  <c r="E2014" i="2"/>
  <c r="G2014" i="2" s="1"/>
  <c r="H2013" i="2"/>
  <c r="E2013" i="2"/>
  <c r="G2013" i="2" s="1"/>
  <c r="H2012" i="2"/>
  <c r="E2012" i="2"/>
  <c r="G2012" i="2" s="1"/>
  <c r="H2011" i="2"/>
  <c r="E2011" i="2"/>
  <c r="G2011" i="2" s="1"/>
  <c r="H2010" i="2"/>
  <c r="E2010" i="2"/>
  <c r="G2010" i="2" s="1"/>
  <c r="H2009" i="2"/>
  <c r="E2009" i="2"/>
  <c r="G2009" i="2" s="1"/>
  <c r="H2008" i="2"/>
  <c r="E2008" i="2"/>
  <c r="G2008" i="2" s="1"/>
  <c r="H2007" i="2"/>
  <c r="E2007" i="2"/>
  <c r="G2007" i="2" s="1"/>
  <c r="H2006" i="2"/>
  <c r="E2006" i="2"/>
  <c r="G2006" i="2" s="1"/>
  <c r="H2005" i="2"/>
  <c r="E2005" i="2"/>
  <c r="G2005" i="2" s="1"/>
  <c r="H2004" i="2"/>
  <c r="E2004" i="2"/>
  <c r="G2004" i="2" s="1"/>
  <c r="H2003" i="2"/>
  <c r="E2003" i="2"/>
  <c r="G2003" i="2" s="1"/>
  <c r="H2002" i="2"/>
  <c r="E2002" i="2"/>
  <c r="G2002" i="2" s="1"/>
  <c r="H2001" i="2"/>
  <c r="E2001" i="2"/>
  <c r="G2001" i="2" s="1"/>
  <c r="H2000" i="2"/>
  <c r="E2000" i="2"/>
  <c r="G2000" i="2" s="1"/>
  <c r="H1999" i="2"/>
  <c r="E1999" i="2"/>
  <c r="G1999" i="2" s="1"/>
  <c r="H1998" i="2"/>
  <c r="E1998" i="2"/>
  <c r="G1998" i="2" s="1"/>
  <c r="H1997" i="2"/>
  <c r="E1997" i="2"/>
  <c r="G1997" i="2" s="1"/>
  <c r="H1996" i="2"/>
  <c r="E1996" i="2"/>
  <c r="G1996" i="2" s="1"/>
  <c r="H1995" i="2"/>
  <c r="E1995" i="2"/>
  <c r="G1995" i="2" s="1"/>
  <c r="H1994" i="2"/>
  <c r="E1994" i="2"/>
  <c r="G1994" i="2" s="1"/>
  <c r="H1993" i="2"/>
  <c r="E1993" i="2"/>
  <c r="G1993" i="2" s="1"/>
  <c r="H1992" i="2"/>
  <c r="E1992" i="2"/>
  <c r="G1992" i="2" s="1"/>
  <c r="H1991" i="2"/>
  <c r="E1991" i="2"/>
  <c r="G1991" i="2" s="1"/>
  <c r="H1990" i="2"/>
  <c r="E1990" i="2"/>
  <c r="G1990" i="2" s="1"/>
  <c r="H1989" i="2"/>
  <c r="E1989" i="2"/>
  <c r="G1989" i="2" s="1"/>
  <c r="H1988" i="2"/>
  <c r="E1988" i="2"/>
  <c r="G1988" i="2" s="1"/>
  <c r="H1987" i="2"/>
  <c r="E1987" i="2"/>
  <c r="G1987" i="2" s="1"/>
  <c r="H1986" i="2"/>
  <c r="E1986" i="2"/>
  <c r="G1986" i="2" s="1"/>
  <c r="H1985" i="2"/>
  <c r="E1985" i="2"/>
  <c r="G1985" i="2" s="1"/>
  <c r="H1984" i="2"/>
  <c r="E1984" i="2"/>
  <c r="G1984" i="2" s="1"/>
  <c r="H1983" i="2"/>
  <c r="E1983" i="2"/>
  <c r="G1983" i="2" s="1"/>
  <c r="H1982" i="2"/>
  <c r="E1982" i="2"/>
  <c r="G1982" i="2" s="1"/>
  <c r="H1981" i="2"/>
  <c r="G1981" i="2"/>
  <c r="H1980" i="2"/>
  <c r="G1980" i="2"/>
  <c r="H1979" i="2"/>
  <c r="E1979" i="2"/>
  <c r="G1979" i="2" s="1"/>
  <c r="H1978" i="2"/>
  <c r="E1978" i="2"/>
  <c r="G1978" i="2" s="1"/>
  <c r="H1977" i="2"/>
  <c r="E1977" i="2"/>
  <c r="G1977" i="2" s="1"/>
  <c r="H1976" i="2"/>
  <c r="E1976" i="2"/>
  <c r="G1976" i="2" s="1"/>
  <c r="H1975" i="2"/>
  <c r="E1975" i="2"/>
  <c r="G1975" i="2" s="1"/>
  <c r="H1974" i="2"/>
  <c r="E1974" i="2"/>
  <c r="G1974" i="2" s="1"/>
  <c r="H1973" i="2"/>
  <c r="E1973" i="2"/>
  <c r="G1973" i="2" s="1"/>
  <c r="H1972" i="2"/>
  <c r="E1972" i="2"/>
  <c r="G1972" i="2" s="1"/>
  <c r="H1971" i="2"/>
  <c r="E1971" i="2"/>
  <c r="G1971" i="2" s="1"/>
  <c r="H1970" i="2"/>
  <c r="E1970" i="2"/>
  <c r="G1970" i="2" s="1"/>
  <c r="H1969" i="2"/>
  <c r="E1969" i="2"/>
  <c r="G1969" i="2" s="1"/>
  <c r="H1968" i="2"/>
  <c r="E1968" i="2"/>
  <c r="G1968" i="2" s="1"/>
  <c r="H1967" i="2"/>
  <c r="E1967" i="2"/>
  <c r="G1967" i="2" s="1"/>
  <c r="H1966" i="2"/>
  <c r="E1966" i="2"/>
  <c r="G1966" i="2" s="1"/>
  <c r="H1965" i="2"/>
  <c r="E1965" i="2"/>
  <c r="G1965" i="2" s="1"/>
  <c r="H1964" i="2"/>
  <c r="E1964" i="2"/>
  <c r="G1964" i="2" s="1"/>
  <c r="H1963" i="2"/>
  <c r="E1963" i="2"/>
  <c r="G1963" i="2" s="1"/>
  <c r="H1962" i="2"/>
  <c r="E1962" i="2"/>
  <c r="G1962" i="2" s="1"/>
  <c r="H1961" i="2"/>
  <c r="E1961" i="2"/>
  <c r="G1961" i="2" s="1"/>
  <c r="H1960" i="2"/>
  <c r="E1960" i="2"/>
  <c r="G1960" i="2" s="1"/>
  <c r="H1959" i="2"/>
  <c r="E1959" i="2"/>
  <c r="G1959" i="2" s="1"/>
  <c r="H1958" i="2"/>
  <c r="E1958" i="2"/>
  <c r="G1958" i="2" s="1"/>
  <c r="H1957" i="2"/>
  <c r="E1957" i="2"/>
  <c r="G1957" i="2" s="1"/>
  <c r="H1956" i="2"/>
  <c r="E1956" i="2"/>
  <c r="G1956" i="2" s="1"/>
  <c r="H1955" i="2"/>
  <c r="E1955" i="2"/>
  <c r="G1955" i="2" s="1"/>
  <c r="H1954" i="2"/>
  <c r="E1954" i="2"/>
  <c r="G1954" i="2" s="1"/>
  <c r="H1953" i="2"/>
  <c r="E1953" i="2"/>
  <c r="G1953" i="2" s="1"/>
  <c r="H1952" i="2"/>
  <c r="E1952" i="2"/>
  <c r="G1952" i="2" s="1"/>
  <c r="H1951" i="2"/>
  <c r="E1951" i="2"/>
  <c r="G1951" i="2" s="1"/>
  <c r="H1950" i="2"/>
  <c r="E1950" i="2"/>
  <c r="G1950" i="2" s="1"/>
  <c r="H1949" i="2"/>
  <c r="E1949" i="2"/>
  <c r="G1949" i="2" s="1"/>
  <c r="H1948" i="2"/>
  <c r="E1948" i="2"/>
  <c r="G1948" i="2" s="1"/>
  <c r="H1947" i="2"/>
  <c r="E1947" i="2"/>
  <c r="G1947" i="2" s="1"/>
  <c r="H1946" i="2"/>
  <c r="E1946" i="2"/>
  <c r="G1946" i="2" s="1"/>
  <c r="H1945" i="2"/>
  <c r="E1945" i="2"/>
  <c r="G1945" i="2" s="1"/>
  <c r="H1944" i="2"/>
  <c r="E1944" i="2"/>
  <c r="G1944" i="2" s="1"/>
  <c r="H1943" i="2"/>
  <c r="E1943" i="2"/>
  <c r="G1943" i="2" s="1"/>
  <c r="H1942" i="2"/>
  <c r="E1942" i="2"/>
  <c r="G1942" i="2" s="1"/>
  <c r="H1941" i="2"/>
  <c r="E1941" i="2"/>
  <c r="G1941" i="2" s="1"/>
  <c r="H1940" i="2"/>
  <c r="E1940" i="2"/>
  <c r="G1940" i="2" s="1"/>
  <c r="H1939" i="2"/>
  <c r="E1939" i="2"/>
  <c r="G1939" i="2" s="1"/>
  <c r="H1938" i="2"/>
  <c r="E1938" i="2"/>
  <c r="G1938" i="2" s="1"/>
  <c r="H1937" i="2"/>
  <c r="E1937" i="2"/>
  <c r="G1937" i="2" s="1"/>
  <c r="H1936" i="2"/>
  <c r="E1936" i="2"/>
  <c r="G1936" i="2" s="1"/>
  <c r="H1935" i="2"/>
  <c r="E1935" i="2"/>
  <c r="G1935" i="2" s="1"/>
  <c r="H1934" i="2"/>
  <c r="E1934" i="2"/>
  <c r="G1934" i="2" s="1"/>
  <c r="H1933" i="2"/>
  <c r="E1933" i="2"/>
  <c r="G1933" i="2" s="1"/>
  <c r="H1932" i="2"/>
  <c r="G1932" i="2"/>
  <c r="H1931" i="2"/>
  <c r="E1931" i="2"/>
  <c r="G1931" i="2" s="1"/>
  <c r="H1930" i="2"/>
  <c r="E1930" i="2"/>
  <c r="G1930" i="2" s="1"/>
  <c r="H1929" i="2"/>
  <c r="E1929" i="2"/>
  <c r="G1929" i="2" s="1"/>
  <c r="H1928" i="2"/>
  <c r="E1928" i="2"/>
  <c r="G1928" i="2" s="1"/>
  <c r="H1927" i="2"/>
  <c r="E1927" i="2"/>
  <c r="G1927" i="2" s="1"/>
  <c r="H1926" i="2"/>
  <c r="E1926" i="2"/>
  <c r="G1926" i="2" s="1"/>
  <c r="H1925" i="2"/>
  <c r="E1925" i="2"/>
  <c r="G1925" i="2" s="1"/>
  <c r="H1924" i="2"/>
  <c r="E1924" i="2"/>
  <c r="G1924" i="2" s="1"/>
  <c r="H1923" i="2"/>
  <c r="E1923" i="2"/>
  <c r="G1923" i="2" s="1"/>
  <c r="H1922" i="2"/>
  <c r="E1922" i="2"/>
  <c r="G1922" i="2" s="1"/>
  <c r="H1921" i="2"/>
  <c r="E1921" i="2"/>
  <c r="G1921" i="2" s="1"/>
  <c r="H1920" i="2"/>
  <c r="E1920" i="2"/>
  <c r="G1920" i="2" s="1"/>
  <c r="H1919" i="2"/>
  <c r="E1919" i="2"/>
  <c r="G1919" i="2" s="1"/>
  <c r="H1918" i="2"/>
  <c r="E1918" i="2"/>
  <c r="G1918" i="2" s="1"/>
  <c r="H1917" i="2"/>
  <c r="E1917" i="2"/>
  <c r="G1917" i="2" s="1"/>
  <c r="H1916" i="2"/>
  <c r="E1916" i="2"/>
  <c r="G1916" i="2" s="1"/>
  <c r="H1915" i="2"/>
  <c r="E1915" i="2"/>
  <c r="G1915" i="2" s="1"/>
  <c r="H1914" i="2"/>
  <c r="E1914" i="2"/>
  <c r="G1914" i="2" s="1"/>
  <c r="H1913" i="2"/>
  <c r="E1913" i="2"/>
  <c r="G1913" i="2" s="1"/>
  <c r="H1912" i="2"/>
  <c r="E1912" i="2"/>
  <c r="G1912" i="2" s="1"/>
  <c r="H1911" i="2"/>
  <c r="E1911" i="2"/>
  <c r="G1911" i="2" s="1"/>
  <c r="H1910" i="2"/>
  <c r="E1910" i="2"/>
  <c r="G1910" i="2" s="1"/>
  <c r="H1909" i="2"/>
  <c r="E1909" i="2"/>
  <c r="G1909" i="2" s="1"/>
  <c r="H1908" i="2"/>
  <c r="E1908" i="2"/>
  <c r="G1908" i="2" s="1"/>
  <c r="H1907" i="2"/>
  <c r="E1907" i="2"/>
  <c r="G1907" i="2" s="1"/>
  <c r="H1906" i="2"/>
  <c r="E1906" i="2"/>
  <c r="G1906" i="2" s="1"/>
  <c r="H1905" i="2"/>
  <c r="E1905" i="2"/>
  <c r="G1905" i="2" s="1"/>
  <c r="H1904" i="2"/>
  <c r="G1904" i="2"/>
  <c r="H1903" i="2"/>
  <c r="E1903" i="2"/>
  <c r="G1903" i="2" s="1"/>
  <c r="H1902" i="2"/>
  <c r="E1902" i="2"/>
  <c r="G1902" i="2" s="1"/>
  <c r="H1901" i="2"/>
  <c r="E1901" i="2"/>
  <c r="G1901" i="2" s="1"/>
  <c r="H1900" i="2"/>
  <c r="E1900" i="2"/>
  <c r="G1900" i="2" s="1"/>
  <c r="H1899" i="2"/>
  <c r="E1899" i="2"/>
  <c r="G1899" i="2" s="1"/>
  <c r="H1898" i="2"/>
  <c r="E1898" i="2"/>
  <c r="G1898" i="2" s="1"/>
  <c r="H1897" i="2"/>
  <c r="E1897" i="2"/>
  <c r="G1897" i="2" s="1"/>
  <c r="H1896" i="2"/>
  <c r="E1896" i="2"/>
  <c r="G1896" i="2" s="1"/>
  <c r="H1895" i="2"/>
  <c r="E1895" i="2"/>
  <c r="G1895" i="2" s="1"/>
  <c r="H1894" i="2"/>
  <c r="E1894" i="2"/>
  <c r="G1894" i="2" s="1"/>
  <c r="H1893" i="2"/>
  <c r="E1893" i="2"/>
  <c r="G1893" i="2" s="1"/>
  <c r="H1892" i="2"/>
  <c r="E1892" i="2"/>
  <c r="G1892" i="2" s="1"/>
  <c r="H1891" i="2"/>
  <c r="E1891" i="2"/>
  <c r="G1891" i="2" s="1"/>
  <c r="H1890" i="2"/>
  <c r="E1890" i="2"/>
  <c r="G1890" i="2" s="1"/>
  <c r="H1889" i="2"/>
  <c r="E1889" i="2"/>
  <c r="G1889" i="2" s="1"/>
  <c r="H1888" i="2"/>
  <c r="E1888" i="2"/>
  <c r="G1888" i="2" s="1"/>
  <c r="H1887" i="2"/>
  <c r="E1887" i="2"/>
  <c r="G1887" i="2" s="1"/>
  <c r="H1886" i="2"/>
  <c r="E1886" i="2"/>
  <c r="G1886" i="2" s="1"/>
  <c r="H1885" i="2"/>
  <c r="E1885" i="2"/>
  <c r="G1885" i="2" s="1"/>
  <c r="H1884" i="2"/>
  <c r="G1884" i="2"/>
  <c r="H1883" i="2"/>
  <c r="E1883" i="2"/>
  <c r="G1883" i="2" s="1"/>
  <c r="H1882" i="2"/>
  <c r="E1882" i="2"/>
  <c r="G1882" i="2" s="1"/>
  <c r="H1881" i="2"/>
  <c r="E1881" i="2"/>
  <c r="G1881" i="2" s="1"/>
  <c r="H1880" i="2"/>
  <c r="E1880" i="2"/>
  <c r="G1880" i="2" s="1"/>
  <c r="H1879" i="2"/>
  <c r="E1879" i="2"/>
  <c r="G1879" i="2" s="1"/>
  <c r="H1878" i="2"/>
  <c r="E1878" i="2"/>
  <c r="G1878" i="2" s="1"/>
  <c r="H1877" i="2"/>
  <c r="E1877" i="2"/>
  <c r="G1877" i="2" s="1"/>
  <c r="H1876" i="2"/>
  <c r="E1876" i="2"/>
  <c r="G1876" i="2" s="1"/>
  <c r="H1875" i="2"/>
  <c r="E1875" i="2"/>
  <c r="G1875" i="2" s="1"/>
  <c r="H1874" i="2"/>
  <c r="E1874" i="2"/>
  <c r="G1874" i="2" s="1"/>
  <c r="H1873" i="2"/>
  <c r="E1873" i="2"/>
  <c r="G1873" i="2" s="1"/>
  <c r="H1872" i="2"/>
  <c r="E1872" i="2"/>
  <c r="G1872" i="2" s="1"/>
  <c r="H1871" i="2"/>
  <c r="E1871" i="2"/>
  <c r="G1871" i="2" s="1"/>
  <c r="H1870" i="2"/>
  <c r="E1870" i="2"/>
  <c r="G1870" i="2" s="1"/>
  <c r="H1869" i="2"/>
  <c r="E1869" i="2"/>
  <c r="G1869" i="2" s="1"/>
  <c r="H1868" i="2"/>
  <c r="E1868" i="2"/>
  <c r="G1868" i="2" s="1"/>
  <c r="H1867" i="2"/>
  <c r="G1867" i="2"/>
  <c r="H1866" i="2"/>
  <c r="G1866" i="2"/>
  <c r="H1865" i="2"/>
  <c r="E1865" i="2"/>
  <c r="G1865" i="2" s="1"/>
  <c r="H1864" i="2"/>
  <c r="E1864" i="2"/>
  <c r="G1864" i="2" s="1"/>
  <c r="H1863" i="2"/>
  <c r="E1863" i="2"/>
  <c r="G1863" i="2" s="1"/>
  <c r="H1862" i="2"/>
  <c r="E1862" i="2"/>
  <c r="G1862" i="2" s="1"/>
  <c r="H1861" i="2"/>
  <c r="E1861" i="2"/>
  <c r="G1861" i="2" s="1"/>
  <c r="H1860" i="2"/>
  <c r="E1860" i="2"/>
  <c r="G1860" i="2" s="1"/>
  <c r="H1859" i="2"/>
  <c r="E1859" i="2"/>
  <c r="G1859" i="2" s="1"/>
  <c r="H1858" i="2"/>
  <c r="E1858" i="2"/>
  <c r="G1858" i="2" s="1"/>
  <c r="H1857" i="2"/>
  <c r="E1857" i="2"/>
  <c r="G1857" i="2" s="1"/>
  <c r="H1856" i="2"/>
  <c r="E1856" i="2"/>
  <c r="G1856" i="2" s="1"/>
  <c r="H1855" i="2"/>
  <c r="E1855" i="2"/>
  <c r="G1855" i="2" s="1"/>
  <c r="H1854" i="2"/>
  <c r="E1854" i="2"/>
  <c r="G1854" i="2" s="1"/>
  <c r="H1853" i="2"/>
  <c r="E1853" i="2"/>
  <c r="G1853" i="2" s="1"/>
  <c r="H1852" i="2"/>
  <c r="E1852" i="2"/>
  <c r="G1852" i="2" s="1"/>
  <c r="H1851" i="2"/>
  <c r="G1851" i="2"/>
  <c r="H1850" i="2"/>
  <c r="G1850" i="2"/>
  <c r="H1849" i="2"/>
  <c r="E1849" i="2"/>
  <c r="G1849" i="2" s="1"/>
  <c r="H1848" i="2"/>
  <c r="E1848" i="2"/>
  <c r="G1848" i="2" s="1"/>
  <c r="H1847" i="2"/>
  <c r="E1847" i="2"/>
  <c r="G1847" i="2" s="1"/>
  <c r="H1846" i="2"/>
  <c r="E1846" i="2"/>
  <c r="G1846" i="2" s="1"/>
  <c r="H1845" i="2"/>
  <c r="E1845" i="2"/>
  <c r="G1845" i="2" s="1"/>
  <c r="H1844" i="2"/>
  <c r="E1844" i="2"/>
  <c r="G1844" i="2" s="1"/>
  <c r="H1843" i="2"/>
  <c r="E1843" i="2"/>
  <c r="G1843" i="2" s="1"/>
  <c r="H1842" i="2"/>
  <c r="E1842" i="2"/>
  <c r="G1842" i="2" s="1"/>
  <c r="H1841" i="2"/>
  <c r="E1841" i="2"/>
  <c r="G1841" i="2" s="1"/>
  <c r="H1840" i="2"/>
  <c r="E1840" i="2"/>
  <c r="G1840" i="2" s="1"/>
  <c r="H1839" i="2"/>
  <c r="E1839" i="2"/>
  <c r="G1839" i="2" s="1"/>
  <c r="H1838" i="2"/>
  <c r="E1838" i="2"/>
  <c r="G1838" i="2" s="1"/>
  <c r="H1837" i="2"/>
  <c r="E1837" i="2"/>
  <c r="G1837" i="2" s="1"/>
  <c r="H1836" i="2"/>
  <c r="E1836" i="2"/>
  <c r="G1836" i="2" s="1"/>
  <c r="H1835" i="2"/>
  <c r="E1835" i="2"/>
  <c r="G1835" i="2" s="1"/>
  <c r="H1834" i="2"/>
  <c r="G1834" i="2"/>
  <c r="H1833" i="2"/>
  <c r="G1833" i="2"/>
  <c r="H1832" i="2"/>
  <c r="E1832" i="2"/>
  <c r="G1832" i="2" s="1"/>
  <c r="H1831" i="2"/>
  <c r="E1831" i="2"/>
  <c r="G1831" i="2" s="1"/>
  <c r="H1830" i="2"/>
  <c r="E1830" i="2"/>
  <c r="G1830" i="2" s="1"/>
  <c r="H1829" i="2"/>
  <c r="E1829" i="2"/>
  <c r="G1829" i="2" s="1"/>
  <c r="H1828" i="2"/>
  <c r="E1828" i="2"/>
  <c r="G1828" i="2" s="1"/>
  <c r="H1827" i="2"/>
  <c r="E1827" i="2"/>
  <c r="G1827" i="2" s="1"/>
  <c r="H1826" i="2"/>
  <c r="E1826" i="2"/>
  <c r="G1826" i="2" s="1"/>
  <c r="H1825" i="2"/>
  <c r="E1825" i="2"/>
  <c r="G1825" i="2" s="1"/>
  <c r="H1824" i="2"/>
  <c r="E1824" i="2"/>
  <c r="G1824" i="2" s="1"/>
  <c r="H1823" i="2"/>
  <c r="E1823" i="2"/>
  <c r="G1823" i="2" s="1"/>
  <c r="H1822" i="2"/>
  <c r="E1822" i="2"/>
  <c r="G1822" i="2" s="1"/>
  <c r="H1821" i="2"/>
  <c r="E1821" i="2"/>
  <c r="G1821" i="2" s="1"/>
  <c r="H1820" i="2"/>
  <c r="E1820" i="2"/>
  <c r="G1820" i="2" s="1"/>
  <c r="H1819" i="2"/>
  <c r="E1819" i="2"/>
  <c r="G1819" i="2" s="1"/>
  <c r="H1818" i="2"/>
  <c r="E1818" i="2"/>
  <c r="G1818" i="2" s="1"/>
  <c r="H1817" i="2"/>
  <c r="E1817" i="2"/>
  <c r="G1817" i="2" s="1"/>
  <c r="H1816" i="2"/>
  <c r="E1816" i="2"/>
  <c r="G1816" i="2" s="1"/>
  <c r="H1815" i="2"/>
  <c r="E1815" i="2"/>
  <c r="G1815" i="2" s="1"/>
  <c r="H1814" i="2"/>
  <c r="E1814" i="2"/>
  <c r="G1814" i="2" s="1"/>
  <c r="H1813" i="2"/>
  <c r="E1813" i="2"/>
  <c r="G1813" i="2" s="1"/>
  <c r="H1812" i="2"/>
  <c r="G1812" i="2"/>
  <c r="H1811" i="2"/>
  <c r="E1811" i="2"/>
  <c r="G1811" i="2" s="1"/>
  <c r="H1810" i="2"/>
  <c r="E1810" i="2"/>
  <c r="G1810" i="2" s="1"/>
  <c r="H1809" i="2"/>
  <c r="E1809" i="2"/>
  <c r="G1809" i="2" s="1"/>
  <c r="H1808" i="2"/>
  <c r="E1808" i="2"/>
  <c r="G1808" i="2" s="1"/>
  <c r="H1807" i="2"/>
  <c r="E1807" i="2"/>
  <c r="G1807" i="2" s="1"/>
  <c r="H1806" i="2"/>
  <c r="E1806" i="2"/>
  <c r="G1806" i="2" s="1"/>
  <c r="H1805" i="2"/>
  <c r="E1805" i="2"/>
  <c r="G1805" i="2" s="1"/>
  <c r="H1804" i="2"/>
  <c r="E1804" i="2"/>
  <c r="G1804" i="2" s="1"/>
  <c r="H1803" i="2"/>
  <c r="E1803" i="2"/>
  <c r="G1803" i="2" s="1"/>
  <c r="H1802" i="2"/>
  <c r="E1802" i="2"/>
  <c r="G1802" i="2" s="1"/>
  <c r="H1801" i="2"/>
  <c r="E1801" i="2"/>
  <c r="G1801" i="2" s="1"/>
  <c r="H1800" i="2"/>
  <c r="E1800" i="2"/>
  <c r="G1800" i="2" s="1"/>
  <c r="H1799" i="2"/>
  <c r="E1799" i="2"/>
  <c r="G1799" i="2" s="1"/>
  <c r="H1798" i="2"/>
  <c r="E1798" i="2"/>
  <c r="G1798" i="2" s="1"/>
  <c r="H1797" i="2"/>
  <c r="E1797" i="2"/>
  <c r="G1797" i="2" s="1"/>
  <c r="H1796" i="2"/>
  <c r="E1796" i="2"/>
  <c r="G1796" i="2" s="1"/>
  <c r="H1795" i="2"/>
  <c r="E1795" i="2"/>
  <c r="G1795" i="2" s="1"/>
  <c r="H1794" i="2"/>
  <c r="E1794" i="2"/>
  <c r="G1794" i="2" s="1"/>
  <c r="H1793" i="2"/>
  <c r="E1793" i="2"/>
  <c r="G1793" i="2" s="1"/>
  <c r="H1792" i="2"/>
  <c r="G1792" i="2"/>
  <c r="H1791" i="2"/>
  <c r="G1791" i="2"/>
  <c r="H1790" i="2"/>
  <c r="E1790" i="2"/>
  <c r="G1790" i="2" s="1"/>
  <c r="H1789" i="2"/>
  <c r="E1789" i="2"/>
  <c r="G1789" i="2" s="1"/>
  <c r="H1788" i="2"/>
  <c r="E1788" i="2"/>
  <c r="G1788" i="2" s="1"/>
  <c r="H1787" i="2"/>
  <c r="E1787" i="2"/>
  <c r="G1787" i="2" s="1"/>
  <c r="H1786" i="2"/>
  <c r="E1786" i="2"/>
  <c r="G1786" i="2" s="1"/>
  <c r="H1785" i="2"/>
  <c r="E1785" i="2"/>
  <c r="G1785" i="2" s="1"/>
  <c r="H1784" i="2"/>
  <c r="E1784" i="2"/>
  <c r="G1784" i="2" s="1"/>
  <c r="H1783" i="2"/>
  <c r="E1783" i="2"/>
  <c r="G1783" i="2" s="1"/>
  <c r="H1782" i="2"/>
  <c r="E1782" i="2"/>
  <c r="G1782" i="2" s="1"/>
  <c r="H1781" i="2"/>
  <c r="E1781" i="2"/>
  <c r="G1781" i="2" s="1"/>
  <c r="H1780" i="2"/>
  <c r="E1780" i="2"/>
  <c r="G1780" i="2" s="1"/>
  <c r="H1779" i="2"/>
  <c r="E1779" i="2"/>
  <c r="G1779" i="2" s="1"/>
  <c r="H1778" i="2"/>
  <c r="E1778" i="2"/>
  <c r="G1778" i="2" s="1"/>
  <c r="H1777" i="2"/>
  <c r="E1777" i="2"/>
  <c r="G1777" i="2" s="1"/>
  <c r="H1776" i="2"/>
  <c r="E1776" i="2"/>
  <c r="G1776" i="2" s="1"/>
  <c r="H1775" i="2"/>
  <c r="E1775" i="2"/>
  <c r="G1775" i="2" s="1"/>
  <c r="H1774" i="2"/>
  <c r="E1774" i="2"/>
  <c r="G1774" i="2" s="1"/>
  <c r="H1773" i="2"/>
  <c r="G1773" i="2"/>
  <c r="H1772" i="2"/>
  <c r="E1772" i="2"/>
  <c r="G1772" i="2" s="1"/>
  <c r="H1771" i="2"/>
  <c r="E1771" i="2"/>
  <c r="G1771" i="2" s="1"/>
  <c r="H1770" i="2"/>
  <c r="E1770" i="2"/>
  <c r="G1770" i="2" s="1"/>
  <c r="H1769" i="2"/>
  <c r="E1769" i="2"/>
  <c r="G1769" i="2" s="1"/>
  <c r="H1768" i="2"/>
  <c r="E1768" i="2"/>
  <c r="G1768" i="2" s="1"/>
  <c r="H1767" i="2"/>
  <c r="E1767" i="2"/>
  <c r="G1767" i="2" s="1"/>
  <c r="H1766" i="2"/>
  <c r="E1766" i="2"/>
  <c r="G1766" i="2" s="1"/>
  <c r="H1765" i="2"/>
  <c r="E1765" i="2"/>
  <c r="G1765" i="2" s="1"/>
  <c r="H1764" i="2"/>
  <c r="E1764" i="2"/>
  <c r="G1764" i="2" s="1"/>
  <c r="H1763" i="2"/>
  <c r="E1763" i="2"/>
  <c r="G1763" i="2" s="1"/>
  <c r="H1762" i="2"/>
  <c r="E1762" i="2"/>
  <c r="G1762" i="2" s="1"/>
  <c r="H1761" i="2"/>
  <c r="G1761" i="2"/>
  <c r="H1760" i="2"/>
  <c r="E1760" i="2"/>
  <c r="G1760" i="2" s="1"/>
  <c r="H1759" i="2"/>
  <c r="E1759" i="2"/>
  <c r="G1759" i="2" s="1"/>
  <c r="H1758" i="2"/>
  <c r="E1758" i="2"/>
  <c r="G1758" i="2" s="1"/>
  <c r="H1757" i="2"/>
  <c r="E1757" i="2"/>
  <c r="G1757" i="2" s="1"/>
  <c r="H1756" i="2"/>
  <c r="E1756" i="2"/>
  <c r="G1756" i="2" s="1"/>
  <c r="H1755" i="2"/>
  <c r="E1755" i="2"/>
  <c r="G1755" i="2" s="1"/>
  <c r="H1754" i="2"/>
  <c r="G1754" i="2"/>
  <c r="H1753" i="2"/>
  <c r="E1753" i="2"/>
  <c r="G1753" i="2" s="1"/>
  <c r="H1752" i="2"/>
  <c r="E1752" i="2"/>
  <c r="G1752" i="2" s="1"/>
  <c r="H1751" i="2"/>
  <c r="E1751" i="2"/>
  <c r="G1751" i="2" s="1"/>
  <c r="H1750" i="2"/>
  <c r="E1750" i="2"/>
  <c r="G1750" i="2" s="1"/>
  <c r="H1749" i="2"/>
  <c r="E1749" i="2"/>
  <c r="G1749" i="2" s="1"/>
  <c r="H1748" i="2"/>
  <c r="E1748" i="2"/>
  <c r="G1748" i="2" s="1"/>
  <c r="H1747" i="2"/>
  <c r="E1747" i="2"/>
  <c r="G1747" i="2" s="1"/>
  <c r="H1746" i="2"/>
  <c r="E1746" i="2"/>
  <c r="G1746" i="2" s="1"/>
  <c r="H1745" i="2"/>
  <c r="E1745" i="2"/>
  <c r="G1745" i="2" s="1"/>
  <c r="H1744" i="2"/>
  <c r="E1744" i="2"/>
  <c r="G1744" i="2" s="1"/>
  <c r="H1743" i="2"/>
  <c r="E1743" i="2"/>
  <c r="G1743" i="2" s="1"/>
  <c r="H1742" i="2"/>
  <c r="E1742" i="2"/>
  <c r="G1742" i="2" s="1"/>
  <c r="H1741" i="2"/>
  <c r="E1741" i="2"/>
  <c r="G1741" i="2" s="1"/>
  <c r="H1740" i="2"/>
  <c r="E1740" i="2"/>
  <c r="G1740" i="2" s="1"/>
  <c r="H1739" i="2"/>
  <c r="E1739" i="2"/>
  <c r="G1739" i="2" s="1"/>
  <c r="H1738" i="2"/>
  <c r="E1738" i="2"/>
  <c r="G1738" i="2" s="1"/>
  <c r="H1737" i="2"/>
  <c r="E1737" i="2"/>
  <c r="G1737" i="2" s="1"/>
  <c r="H1736" i="2"/>
  <c r="E1736" i="2"/>
  <c r="G1736" i="2" s="1"/>
  <c r="H1735" i="2"/>
  <c r="E1735" i="2"/>
  <c r="G1735" i="2" s="1"/>
  <c r="H1734" i="2"/>
  <c r="G1734" i="2"/>
  <c r="H1733" i="2"/>
  <c r="E1733" i="2"/>
  <c r="G1733" i="2" s="1"/>
  <c r="H1732" i="2"/>
  <c r="E1732" i="2"/>
  <c r="G1732" i="2" s="1"/>
  <c r="H1731" i="2"/>
  <c r="E1731" i="2"/>
  <c r="G1731" i="2" s="1"/>
  <c r="H1730" i="2"/>
  <c r="E1730" i="2"/>
  <c r="G1730" i="2" s="1"/>
  <c r="H1729" i="2"/>
  <c r="E1729" i="2"/>
  <c r="G1729" i="2" s="1"/>
  <c r="H1728" i="2"/>
  <c r="E1728" i="2"/>
  <c r="G1728" i="2" s="1"/>
  <c r="H1727" i="2"/>
  <c r="E1727" i="2"/>
  <c r="G1727" i="2" s="1"/>
  <c r="H1726" i="2"/>
  <c r="E1726" i="2"/>
  <c r="G1726" i="2" s="1"/>
  <c r="H1725" i="2"/>
  <c r="E1725" i="2"/>
  <c r="G1725" i="2" s="1"/>
  <c r="H1724" i="2"/>
  <c r="E1724" i="2"/>
  <c r="G1724" i="2" s="1"/>
  <c r="H1723" i="2"/>
  <c r="E1723" i="2"/>
  <c r="G1723" i="2" s="1"/>
  <c r="H1722" i="2"/>
  <c r="E1722" i="2"/>
  <c r="G1722" i="2" s="1"/>
  <c r="H1721" i="2"/>
  <c r="E1721" i="2"/>
  <c r="G1721" i="2" s="1"/>
  <c r="H1720" i="2"/>
  <c r="E1720" i="2"/>
  <c r="G1720" i="2" s="1"/>
  <c r="H1719" i="2"/>
  <c r="E1719" i="2"/>
  <c r="G1719" i="2" s="1"/>
  <c r="H1718" i="2"/>
  <c r="E1718" i="2"/>
  <c r="G1718" i="2" s="1"/>
  <c r="H1717" i="2"/>
  <c r="E1717" i="2"/>
  <c r="G1717" i="2" s="1"/>
  <c r="H1716" i="2"/>
  <c r="E1716" i="2"/>
  <c r="G1716" i="2" s="1"/>
  <c r="H1715" i="2"/>
  <c r="E1715" i="2"/>
  <c r="G1715" i="2" s="1"/>
  <c r="H1714" i="2"/>
  <c r="E1714" i="2"/>
  <c r="G1714" i="2" s="1"/>
  <c r="H1713" i="2"/>
  <c r="E1713" i="2"/>
  <c r="G1713" i="2" s="1"/>
  <c r="H1712" i="2"/>
  <c r="E1712" i="2"/>
  <c r="G1712" i="2" s="1"/>
  <c r="H1711" i="2"/>
  <c r="G1711" i="2"/>
  <c r="H1710" i="2"/>
  <c r="G1710" i="2"/>
  <c r="H1709" i="2"/>
  <c r="E1709" i="2"/>
  <c r="G1709" i="2" s="1"/>
  <c r="H1708" i="2"/>
  <c r="E1708" i="2"/>
  <c r="G1708" i="2" s="1"/>
  <c r="H1707" i="2"/>
  <c r="E1707" i="2"/>
  <c r="G1707" i="2" s="1"/>
  <c r="H1706" i="2"/>
  <c r="E1706" i="2"/>
  <c r="G1706" i="2" s="1"/>
  <c r="H1705" i="2"/>
  <c r="E1705" i="2"/>
  <c r="G1705" i="2" s="1"/>
  <c r="H1704" i="2"/>
  <c r="E1704" i="2"/>
  <c r="G1704" i="2" s="1"/>
  <c r="H1703" i="2"/>
  <c r="E1703" i="2"/>
  <c r="G1703" i="2" s="1"/>
  <c r="H1702" i="2"/>
  <c r="E1702" i="2"/>
  <c r="G1702" i="2" s="1"/>
  <c r="H1701" i="2"/>
  <c r="E1701" i="2"/>
  <c r="G1701" i="2" s="1"/>
  <c r="H1700" i="2"/>
  <c r="E1700" i="2"/>
  <c r="G1700" i="2" s="1"/>
  <c r="H1699" i="2"/>
  <c r="E1699" i="2"/>
  <c r="G1699" i="2" s="1"/>
  <c r="H1698" i="2"/>
  <c r="E1698" i="2"/>
  <c r="G1698" i="2" s="1"/>
  <c r="H1697" i="2"/>
  <c r="E1697" i="2"/>
  <c r="G1697" i="2" s="1"/>
  <c r="H1696" i="2"/>
  <c r="E1696" i="2"/>
  <c r="G1696" i="2" s="1"/>
  <c r="H1695" i="2"/>
  <c r="E1695" i="2"/>
  <c r="G1695" i="2" s="1"/>
  <c r="H1694" i="2"/>
  <c r="E1694" i="2"/>
  <c r="G1694" i="2" s="1"/>
  <c r="H1693" i="2"/>
  <c r="E1693" i="2"/>
  <c r="G1693" i="2" s="1"/>
  <c r="H1692" i="2"/>
  <c r="E1692" i="2"/>
  <c r="G1692" i="2" s="1"/>
  <c r="H1691" i="2"/>
  <c r="E1691" i="2"/>
  <c r="G1691" i="2" s="1"/>
  <c r="H1690" i="2"/>
  <c r="E1690" i="2"/>
  <c r="G1690" i="2" s="1"/>
  <c r="H1689" i="2"/>
  <c r="E1689" i="2"/>
  <c r="G1689" i="2" s="1"/>
  <c r="H1688" i="2"/>
  <c r="E1688" i="2"/>
  <c r="G1688" i="2" s="1"/>
  <c r="H1687" i="2"/>
  <c r="G1687" i="2"/>
  <c r="H1686" i="2"/>
  <c r="E1686" i="2"/>
  <c r="G1686" i="2" s="1"/>
  <c r="H1685" i="2"/>
  <c r="E1685" i="2"/>
  <c r="G1685" i="2" s="1"/>
  <c r="H1684" i="2"/>
  <c r="E1684" i="2"/>
  <c r="G1684" i="2" s="1"/>
  <c r="H1683" i="2"/>
  <c r="E1683" i="2"/>
  <c r="G1683" i="2" s="1"/>
  <c r="H1682" i="2"/>
  <c r="E1682" i="2"/>
  <c r="G1682" i="2" s="1"/>
  <c r="H1681" i="2"/>
  <c r="E1681" i="2"/>
  <c r="G1681" i="2" s="1"/>
  <c r="H1680" i="2"/>
  <c r="E1680" i="2"/>
  <c r="G1680" i="2" s="1"/>
  <c r="H1679" i="2"/>
  <c r="E1679" i="2"/>
  <c r="G1679" i="2" s="1"/>
  <c r="H1678" i="2"/>
  <c r="E1678" i="2"/>
  <c r="G1678" i="2" s="1"/>
  <c r="H1677" i="2"/>
  <c r="E1677" i="2"/>
  <c r="G1677" i="2" s="1"/>
  <c r="H1676" i="2"/>
  <c r="E1676" i="2"/>
  <c r="G1676" i="2" s="1"/>
  <c r="H1675" i="2"/>
  <c r="G1675" i="2"/>
  <c r="H1674" i="2"/>
  <c r="G1674" i="2"/>
  <c r="H1673" i="2"/>
  <c r="G1673" i="2"/>
  <c r="H1672" i="2"/>
  <c r="G1672" i="2"/>
  <c r="H1671" i="2"/>
  <c r="G1671" i="2"/>
  <c r="H1670" i="2"/>
  <c r="G1670" i="2"/>
  <c r="H1669" i="2"/>
  <c r="E1669" i="2"/>
  <c r="G1669" i="2" s="1"/>
  <c r="H1668" i="2"/>
  <c r="E1668" i="2"/>
  <c r="G1668" i="2" s="1"/>
  <c r="H1667" i="2"/>
  <c r="E1667" i="2"/>
  <c r="G1667" i="2" s="1"/>
  <c r="H1666" i="2"/>
  <c r="E1666" i="2"/>
  <c r="G1666" i="2" s="1"/>
  <c r="H1665" i="2"/>
  <c r="E1665" i="2"/>
  <c r="G1665" i="2" s="1"/>
  <c r="H1664" i="2"/>
  <c r="E1664" i="2"/>
  <c r="G1664" i="2" s="1"/>
  <c r="H1663" i="2"/>
  <c r="E1663" i="2"/>
  <c r="G1663" i="2" s="1"/>
  <c r="H1662" i="2"/>
  <c r="E1662" i="2"/>
  <c r="G1662" i="2" s="1"/>
  <c r="H1661" i="2"/>
  <c r="E1661" i="2"/>
  <c r="G1661" i="2" s="1"/>
  <c r="H1660" i="2"/>
  <c r="E1660" i="2"/>
  <c r="G1660" i="2" s="1"/>
  <c r="H1659" i="2"/>
  <c r="E1659" i="2"/>
  <c r="G1659" i="2" s="1"/>
  <c r="H1658" i="2"/>
  <c r="E1658" i="2"/>
  <c r="G1658" i="2" s="1"/>
  <c r="H1657" i="2"/>
  <c r="E1657" i="2"/>
  <c r="G1657" i="2" s="1"/>
  <c r="H1656" i="2"/>
  <c r="E1656" i="2"/>
  <c r="G1656" i="2" s="1"/>
  <c r="H1655" i="2"/>
  <c r="E1655" i="2"/>
  <c r="G1655" i="2" s="1"/>
  <c r="H1654" i="2"/>
  <c r="E1654" i="2"/>
  <c r="G1654" i="2" s="1"/>
  <c r="H1653" i="2"/>
  <c r="E1653" i="2"/>
  <c r="G1653" i="2" s="1"/>
  <c r="H1652" i="2"/>
  <c r="E1652" i="2"/>
  <c r="G1652" i="2" s="1"/>
  <c r="H1651" i="2"/>
  <c r="E1651" i="2"/>
  <c r="G1651" i="2" s="1"/>
  <c r="H1650" i="2"/>
  <c r="E1650" i="2"/>
  <c r="G1650" i="2" s="1"/>
  <c r="H1649" i="2"/>
  <c r="E1649" i="2"/>
  <c r="G1649" i="2" s="1"/>
  <c r="H1648" i="2"/>
  <c r="E1648" i="2"/>
  <c r="G1648" i="2" s="1"/>
  <c r="H1647" i="2"/>
  <c r="E1647" i="2"/>
  <c r="G1647" i="2" s="1"/>
  <c r="H1646" i="2"/>
  <c r="E1646" i="2"/>
  <c r="G1646" i="2" s="1"/>
  <c r="H1645" i="2"/>
  <c r="E1645" i="2"/>
  <c r="G1645" i="2" s="1"/>
  <c r="H1644" i="2"/>
  <c r="E1644" i="2"/>
  <c r="G1644" i="2" s="1"/>
  <c r="H1643" i="2"/>
  <c r="E1643" i="2"/>
  <c r="G1643" i="2" s="1"/>
  <c r="H1642" i="2"/>
  <c r="E1642" i="2"/>
  <c r="G1642" i="2" s="1"/>
  <c r="H1641" i="2"/>
  <c r="E1641" i="2"/>
  <c r="G1641" i="2" s="1"/>
  <c r="H1640" i="2"/>
  <c r="E1640" i="2"/>
  <c r="G1640" i="2" s="1"/>
  <c r="H1639" i="2"/>
  <c r="E1639" i="2"/>
  <c r="G1639" i="2" s="1"/>
  <c r="H1638" i="2"/>
  <c r="E1638" i="2"/>
  <c r="G1638" i="2" s="1"/>
  <c r="H1637" i="2"/>
  <c r="E1637" i="2"/>
  <c r="G1637" i="2" s="1"/>
  <c r="H1636" i="2"/>
  <c r="E1636" i="2"/>
  <c r="G1636" i="2" s="1"/>
  <c r="H1635" i="2"/>
  <c r="G1635" i="2"/>
  <c r="H1634" i="2"/>
  <c r="G1634" i="2"/>
  <c r="H1633" i="2"/>
  <c r="G1633" i="2"/>
  <c r="H1632" i="2"/>
  <c r="G1632" i="2"/>
  <c r="H1631" i="2"/>
  <c r="G1631" i="2"/>
  <c r="H1630" i="2"/>
  <c r="G1630" i="2"/>
  <c r="H1629" i="2"/>
  <c r="G1629" i="2"/>
  <c r="H1628" i="2"/>
  <c r="G1628" i="2"/>
  <c r="H1627" i="2"/>
  <c r="G1627" i="2"/>
  <c r="H1626" i="2"/>
  <c r="G1626" i="2"/>
  <c r="H1625" i="2"/>
  <c r="G1625" i="2"/>
  <c r="H1624" i="2"/>
  <c r="G1624" i="2"/>
  <c r="H1623" i="2"/>
  <c r="G1623" i="2"/>
  <c r="H1622" i="2"/>
  <c r="G1622" i="2"/>
  <c r="H1621" i="2"/>
  <c r="G1621" i="2"/>
  <c r="H1620" i="2"/>
  <c r="G1620" i="2"/>
  <c r="H1619" i="2"/>
  <c r="G1619" i="2"/>
  <c r="H1618" i="2"/>
  <c r="G1618" i="2"/>
  <c r="H1617" i="2"/>
  <c r="G1617" i="2"/>
  <c r="H1616" i="2"/>
  <c r="G1616" i="2"/>
  <c r="H1615" i="2"/>
  <c r="G1615" i="2"/>
  <c r="H1614" i="2"/>
  <c r="G1614" i="2"/>
  <c r="H1613" i="2"/>
  <c r="E1613" i="2"/>
  <c r="G1613" i="2" s="1"/>
  <c r="H1612" i="2"/>
  <c r="E1612" i="2"/>
  <c r="G1612" i="2" s="1"/>
  <c r="H1611" i="2"/>
  <c r="E1611" i="2"/>
  <c r="G1611" i="2" s="1"/>
  <c r="H1610" i="2"/>
  <c r="G1610" i="2"/>
  <c r="H1609" i="2"/>
  <c r="G1609" i="2"/>
  <c r="H1608" i="2"/>
  <c r="G1608" i="2"/>
  <c r="H1607" i="2"/>
  <c r="G1607" i="2"/>
  <c r="H1606" i="2"/>
  <c r="G1606" i="2"/>
  <c r="H1605" i="2"/>
  <c r="G1605" i="2"/>
  <c r="H1604" i="2"/>
  <c r="G1604" i="2"/>
  <c r="H1603" i="2"/>
  <c r="G1603" i="2"/>
  <c r="H1602" i="2"/>
  <c r="G1602" i="2"/>
  <c r="H1601" i="2"/>
  <c r="G1601" i="2"/>
  <c r="H1600" i="2"/>
  <c r="G1600" i="2"/>
  <c r="H1599" i="2"/>
  <c r="G1599" i="2"/>
  <c r="H1598" i="2"/>
  <c r="G1598" i="2"/>
  <c r="H1597" i="2"/>
  <c r="G1597" i="2"/>
  <c r="H1596" i="2"/>
  <c r="G1596" i="2"/>
  <c r="H1595" i="2"/>
  <c r="E1595" i="2"/>
  <c r="G1595" i="2" s="1"/>
  <c r="H1594" i="2"/>
  <c r="E1594" i="2"/>
  <c r="G1594" i="2" s="1"/>
  <c r="H1593" i="2"/>
  <c r="G1593" i="2"/>
  <c r="H1592" i="2"/>
  <c r="G1592" i="2"/>
  <c r="H1591" i="2"/>
  <c r="G1591" i="2"/>
  <c r="H1590" i="2"/>
  <c r="G1590" i="2"/>
  <c r="H1589" i="2"/>
  <c r="G1589" i="2"/>
  <c r="H1588" i="2"/>
  <c r="G1588" i="2"/>
  <c r="H1587" i="2"/>
  <c r="G1587" i="2"/>
  <c r="H1586" i="2"/>
  <c r="G1586" i="2"/>
  <c r="H1585" i="2"/>
  <c r="G1585" i="2"/>
  <c r="H1584" i="2"/>
  <c r="G1584" i="2"/>
  <c r="H1583" i="2"/>
  <c r="G1583" i="2"/>
  <c r="H1582" i="2"/>
  <c r="G1582" i="2"/>
  <c r="H1581" i="2"/>
  <c r="G1581" i="2"/>
  <c r="H1580" i="2"/>
  <c r="G1580" i="2"/>
  <c r="H1579" i="2"/>
  <c r="G1579" i="2"/>
  <c r="H1578" i="2"/>
  <c r="G1578" i="2"/>
  <c r="H1577" i="2"/>
  <c r="G1577" i="2"/>
  <c r="H1576" i="2"/>
  <c r="G1576" i="2"/>
  <c r="H1575" i="2"/>
  <c r="G1575" i="2"/>
  <c r="H1574" i="2"/>
  <c r="G1574" i="2"/>
  <c r="H1573" i="2"/>
  <c r="G1573" i="2"/>
  <c r="H1572" i="2"/>
  <c r="G1572" i="2"/>
  <c r="H1571" i="2"/>
  <c r="E1571" i="2"/>
  <c r="G1571" i="2" s="1"/>
  <c r="H1570" i="2"/>
  <c r="E1570" i="2"/>
  <c r="G1570" i="2" s="1"/>
  <c r="H1569" i="2"/>
  <c r="G1569" i="2"/>
  <c r="H1568" i="2"/>
  <c r="E1568" i="2"/>
  <c r="G1568" i="2" s="1"/>
  <c r="H1567" i="2"/>
  <c r="E1567" i="2"/>
  <c r="G1567" i="2" s="1"/>
  <c r="H1566" i="2"/>
  <c r="E1566" i="2"/>
  <c r="G1566" i="2" s="1"/>
  <c r="H1565" i="2"/>
  <c r="E1565" i="2"/>
  <c r="G1565" i="2" s="1"/>
  <c r="H1564" i="2"/>
  <c r="E1564" i="2"/>
  <c r="G1564" i="2" s="1"/>
  <c r="H1563" i="2"/>
  <c r="E1563" i="2"/>
  <c r="G1563" i="2" s="1"/>
  <c r="H1562" i="2"/>
  <c r="E1562" i="2"/>
  <c r="G1562" i="2" s="1"/>
  <c r="H1561" i="2"/>
  <c r="E1561" i="2"/>
  <c r="G1561" i="2" s="1"/>
  <c r="H1560" i="2"/>
  <c r="E1560" i="2"/>
  <c r="G1560" i="2" s="1"/>
  <c r="H1559" i="2"/>
  <c r="E1559" i="2"/>
  <c r="G1559" i="2" s="1"/>
  <c r="H1558" i="2"/>
  <c r="E1558" i="2"/>
  <c r="G1558" i="2" s="1"/>
  <c r="H1557" i="2"/>
  <c r="E1557" i="2"/>
  <c r="G1557" i="2" s="1"/>
  <c r="H1556" i="2"/>
  <c r="E1556" i="2"/>
  <c r="G1556" i="2" s="1"/>
  <c r="H1555" i="2"/>
  <c r="E1555" i="2"/>
  <c r="G1555" i="2" s="1"/>
  <c r="H1554" i="2"/>
  <c r="E1554" i="2"/>
  <c r="G1554" i="2" s="1"/>
  <c r="H1553" i="2"/>
  <c r="E1553" i="2"/>
  <c r="G1553" i="2" s="1"/>
  <c r="H1552" i="2"/>
  <c r="E1552" i="2"/>
  <c r="G1552" i="2" s="1"/>
  <c r="H1551" i="2"/>
  <c r="E1551" i="2"/>
  <c r="G1551" i="2" s="1"/>
  <c r="H1550" i="2"/>
  <c r="E1550" i="2"/>
  <c r="G1550" i="2" s="1"/>
  <c r="H1549" i="2"/>
  <c r="E1549" i="2"/>
  <c r="G1549" i="2" s="1"/>
  <c r="H1548" i="2"/>
  <c r="E1548" i="2"/>
  <c r="G1548" i="2" s="1"/>
  <c r="H1547" i="2"/>
  <c r="E1547" i="2"/>
  <c r="G1547" i="2" s="1"/>
  <c r="H1546" i="2"/>
  <c r="E1546" i="2"/>
  <c r="G1546" i="2" s="1"/>
  <c r="H1545" i="2"/>
  <c r="E1545" i="2"/>
  <c r="G1545" i="2" s="1"/>
  <c r="H1544" i="2"/>
  <c r="E1544" i="2"/>
  <c r="G1544" i="2" s="1"/>
  <c r="H1543" i="2"/>
  <c r="E1543" i="2"/>
  <c r="G1543" i="2" s="1"/>
  <c r="H1542" i="2"/>
  <c r="E1542" i="2"/>
  <c r="G1542" i="2" s="1"/>
  <c r="H1541" i="2"/>
  <c r="E1541" i="2"/>
  <c r="G1541" i="2" s="1"/>
  <c r="H1540" i="2"/>
  <c r="E1540" i="2"/>
  <c r="G1540" i="2" s="1"/>
  <c r="H1539" i="2"/>
  <c r="E1539" i="2"/>
  <c r="G1539" i="2" s="1"/>
  <c r="H1538" i="2"/>
  <c r="E1538" i="2"/>
  <c r="G1538" i="2" s="1"/>
  <c r="H1537" i="2"/>
  <c r="E1537" i="2"/>
  <c r="G1537" i="2" s="1"/>
  <c r="H1536" i="2"/>
  <c r="E1536" i="2"/>
  <c r="G1536" i="2" s="1"/>
  <c r="H1535" i="2"/>
  <c r="E1535" i="2"/>
  <c r="G1535" i="2" s="1"/>
  <c r="H1534" i="2"/>
  <c r="E1534" i="2"/>
  <c r="G1534" i="2" s="1"/>
  <c r="H1533" i="2"/>
  <c r="E1533" i="2"/>
  <c r="G1533" i="2" s="1"/>
  <c r="H1532" i="2"/>
  <c r="E1532" i="2"/>
  <c r="G1532" i="2" s="1"/>
  <c r="H1531" i="2"/>
  <c r="E1531" i="2"/>
  <c r="G1531" i="2" s="1"/>
  <c r="H1530" i="2"/>
  <c r="E1530" i="2"/>
  <c r="G1530" i="2" s="1"/>
  <c r="H1529" i="2"/>
  <c r="E1529" i="2"/>
  <c r="G1529" i="2" s="1"/>
  <c r="H1528" i="2"/>
  <c r="E1528" i="2"/>
  <c r="G1528" i="2" s="1"/>
  <c r="H1527" i="2"/>
  <c r="E1527" i="2"/>
  <c r="G1527" i="2" s="1"/>
  <c r="H1526" i="2"/>
  <c r="E1526" i="2"/>
  <c r="G1526" i="2" s="1"/>
  <c r="H1525" i="2"/>
  <c r="E1525" i="2"/>
  <c r="G1525" i="2" s="1"/>
  <c r="H1524" i="2"/>
  <c r="E1524" i="2"/>
  <c r="G1524" i="2" s="1"/>
  <c r="H1523" i="2"/>
  <c r="G1523" i="2"/>
  <c r="H1522" i="2"/>
  <c r="E1522" i="2"/>
  <c r="G1522" i="2" s="1"/>
  <c r="H1521" i="2"/>
  <c r="E1521" i="2"/>
  <c r="G1521" i="2" s="1"/>
  <c r="H1520" i="2"/>
  <c r="E1520" i="2"/>
  <c r="G1520" i="2" s="1"/>
  <c r="H1519" i="2"/>
  <c r="E1519" i="2"/>
  <c r="G1519" i="2" s="1"/>
  <c r="H1518" i="2"/>
  <c r="E1518" i="2"/>
  <c r="G1518" i="2" s="1"/>
  <c r="H1517" i="2"/>
  <c r="E1517" i="2"/>
  <c r="G1517" i="2" s="1"/>
  <c r="H1516" i="2"/>
  <c r="E1516" i="2"/>
  <c r="G1516" i="2" s="1"/>
  <c r="H1515" i="2"/>
  <c r="E1515" i="2"/>
  <c r="G1515" i="2" s="1"/>
  <c r="H1514" i="2"/>
  <c r="E1514" i="2"/>
  <c r="G1514" i="2" s="1"/>
  <c r="H1513" i="2"/>
  <c r="E1513" i="2"/>
  <c r="G1513" i="2" s="1"/>
  <c r="H1512" i="2"/>
  <c r="E1512" i="2"/>
  <c r="G1512" i="2" s="1"/>
  <c r="H1511" i="2"/>
  <c r="E1511" i="2"/>
  <c r="G1511" i="2" s="1"/>
  <c r="H1510" i="2"/>
  <c r="E1510" i="2"/>
  <c r="G1510" i="2" s="1"/>
  <c r="H1509" i="2"/>
  <c r="E1509" i="2"/>
  <c r="G1509" i="2" s="1"/>
  <c r="H1508" i="2"/>
  <c r="G1508" i="2"/>
  <c r="H1507" i="2"/>
  <c r="E1507" i="2"/>
  <c r="G1507" i="2" s="1"/>
  <c r="H1506" i="2"/>
  <c r="E1506" i="2"/>
  <c r="G1506" i="2" s="1"/>
  <c r="H1505" i="2"/>
  <c r="E1505" i="2"/>
  <c r="G1505" i="2" s="1"/>
  <c r="H1504" i="2"/>
  <c r="E1504" i="2"/>
  <c r="G1504" i="2" s="1"/>
  <c r="H1503" i="2"/>
  <c r="E1503" i="2"/>
  <c r="G1503" i="2" s="1"/>
  <c r="H1502" i="2"/>
  <c r="E1502" i="2"/>
  <c r="G1502" i="2" s="1"/>
  <c r="H1501" i="2"/>
  <c r="E1501" i="2"/>
  <c r="G1501" i="2" s="1"/>
  <c r="H1500" i="2"/>
  <c r="E1500" i="2"/>
  <c r="G1500" i="2" s="1"/>
  <c r="H1499" i="2"/>
  <c r="E1499" i="2"/>
  <c r="G1499" i="2" s="1"/>
  <c r="H1498" i="2"/>
  <c r="E1498" i="2"/>
  <c r="G1498" i="2" s="1"/>
  <c r="H1497" i="2"/>
  <c r="E1497" i="2"/>
  <c r="G1497" i="2" s="1"/>
  <c r="H1496" i="2"/>
  <c r="E1496" i="2"/>
  <c r="G1496" i="2" s="1"/>
  <c r="H1495" i="2"/>
  <c r="E1495" i="2"/>
  <c r="G1495" i="2" s="1"/>
  <c r="H1494" i="2"/>
  <c r="E1494" i="2"/>
  <c r="G1494" i="2" s="1"/>
  <c r="H1493" i="2"/>
  <c r="E1493" i="2"/>
  <c r="G1493" i="2" s="1"/>
  <c r="H1492" i="2"/>
  <c r="E1492" i="2"/>
  <c r="G1492" i="2" s="1"/>
  <c r="H1491" i="2"/>
  <c r="E1491" i="2"/>
  <c r="G1491" i="2" s="1"/>
  <c r="H1490" i="2"/>
  <c r="G1490" i="2"/>
  <c r="H1489" i="2"/>
  <c r="E1489" i="2"/>
  <c r="G1489" i="2" s="1"/>
  <c r="H1488" i="2"/>
  <c r="E1488" i="2"/>
  <c r="G1488" i="2" s="1"/>
  <c r="H1487" i="2"/>
  <c r="E1487" i="2"/>
  <c r="G1487" i="2" s="1"/>
  <c r="H1486" i="2"/>
  <c r="E1486" i="2"/>
  <c r="G1486" i="2" s="1"/>
  <c r="H1485" i="2"/>
  <c r="E1485" i="2"/>
  <c r="G1485" i="2" s="1"/>
  <c r="H1484" i="2"/>
  <c r="E1484" i="2"/>
  <c r="G1484" i="2" s="1"/>
  <c r="H1483" i="2"/>
  <c r="E1483" i="2"/>
  <c r="G1483" i="2" s="1"/>
  <c r="H1482" i="2"/>
  <c r="E1482" i="2"/>
  <c r="G1482" i="2" s="1"/>
  <c r="H1481" i="2"/>
  <c r="E1481" i="2"/>
  <c r="G1481" i="2" s="1"/>
  <c r="H1480" i="2"/>
  <c r="E1480" i="2"/>
  <c r="G1480" i="2" s="1"/>
  <c r="H1479" i="2"/>
  <c r="E1479" i="2"/>
  <c r="G1479" i="2" s="1"/>
  <c r="H1478" i="2"/>
  <c r="E1478" i="2"/>
  <c r="G1478" i="2" s="1"/>
  <c r="H1477" i="2"/>
  <c r="E1477" i="2"/>
  <c r="G1477" i="2" s="1"/>
  <c r="H1476" i="2"/>
  <c r="E1476" i="2"/>
  <c r="G1476" i="2" s="1"/>
  <c r="H1475" i="2"/>
  <c r="E1475" i="2"/>
  <c r="G1475" i="2" s="1"/>
  <c r="H1474" i="2"/>
  <c r="E1474" i="2"/>
  <c r="G1474" i="2" s="1"/>
  <c r="H1473" i="2"/>
  <c r="E1473" i="2"/>
  <c r="G1473" i="2" s="1"/>
  <c r="H1472" i="2"/>
  <c r="E1472" i="2"/>
  <c r="G1472" i="2" s="1"/>
  <c r="H1471" i="2"/>
  <c r="E1471" i="2"/>
  <c r="G1471" i="2" s="1"/>
  <c r="H1470" i="2"/>
  <c r="E1470" i="2"/>
  <c r="G1470" i="2" s="1"/>
  <c r="H1469" i="2"/>
  <c r="E1469" i="2"/>
  <c r="G1469" i="2" s="1"/>
  <c r="H1468" i="2"/>
  <c r="E1468" i="2"/>
  <c r="G1468" i="2" s="1"/>
  <c r="H1467" i="2"/>
  <c r="E1467" i="2"/>
  <c r="G1467" i="2" s="1"/>
  <c r="H1466" i="2"/>
  <c r="E1466" i="2"/>
  <c r="G1466" i="2" s="1"/>
  <c r="H1465" i="2"/>
  <c r="E1465" i="2"/>
  <c r="G1465" i="2" s="1"/>
  <c r="H1464" i="2"/>
  <c r="E1464" i="2"/>
  <c r="G1464" i="2" s="1"/>
  <c r="H1463" i="2"/>
  <c r="E1463" i="2"/>
  <c r="G1463" i="2" s="1"/>
  <c r="H1462" i="2"/>
  <c r="E1462" i="2"/>
  <c r="G1462" i="2" s="1"/>
  <c r="H1461" i="2"/>
  <c r="E1461" i="2"/>
  <c r="G1461" i="2" s="1"/>
  <c r="H1460" i="2"/>
  <c r="E1460" i="2"/>
  <c r="G1460" i="2" s="1"/>
  <c r="H1459" i="2"/>
  <c r="E1459" i="2"/>
  <c r="G1459" i="2" s="1"/>
  <c r="H1458" i="2"/>
  <c r="E1458" i="2"/>
  <c r="G1458" i="2" s="1"/>
  <c r="H1457" i="2"/>
  <c r="E1457" i="2"/>
  <c r="G1457" i="2" s="1"/>
  <c r="H1456" i="2"/>
  <c r="E1456" i="2"/>
  <c r="G1456" i="2" s="1"/>
  <c r="H1455" i="2"/>
  <c r="E1455" i="2"/>
  <c r="G1455" i="2" s="1"/>
  <c r="H1454" i="2"/>
  <c r="E1454" i="2"/>
  <c r="G1454" i="2" s="1"/>
  <c r="H1453" i="2"/>
  <c r="G1453" i="2"/>
  <c r="H1452" i="2"/>
  <c r="E1452" i="2"/>
  <c r="G1452" i="2" s="1"/>
  <c r="H1451" i="2"/>
  <c r="E1451" i="2"/>
  <c r="G1451" i="2" s="1"/>
  <c r="H1450" i="2"/>
  <c r="E1450" i="2"/>
  <c r="G1450" i="2" s="1"/>
  <c r="H1449" i="2"/>
  <c r="E1449" i="2"/>
  <c r="G1449" i="2" s="1"/>
  <c r="H1448" i="2"/>
  <c r="E1448" i="2"/>
  <c r="G1448" i="2" s="1"/>
  <c r="H1447" i="2"/>
  <c r="E1447" i="2"/>
  <c r="G1447" i="2" s="1"/>
  <c r="H1446" i="2"/>
  <c r="E1446" i="2"/>
  <c r="G1446" i="2" s="1"/>
  <c r="H1445" i="2"/>
  <c r="E1445" i="2"/>
  <c r="G1445" i="2" s="1"/>
  <c r="H1444" i="2"/>
  <c r="E1444" i="2"/>
  <c r="G1444" i="2" s="1"/>
  <c r="H1443" i="2"/>
  <c r="E1443" i="2"/>
  <c r="G1443" i="2" s="1"/>
  <c r="H1442" i="2"/>
  <c r="G1442" i="2"/>
  <c r="H1441" i="2"/>
  <c r="E1441" i="2"/>
  <c r="G1441" i="2" s="1"/>
  <c r="H1440" i="2"/>
  <c r="E1440" i="2"/>
  <c r="G1440" i="2" s="1"/>
  <c r="H1439" i="2"/>
  <c r="E1439" i="2"/>
  <c r="G1439" i="2" s="1"/>
  <c r="H1438" i="2"/>
  <c r="E1438" i="2"/>
  <c r="G1438" i="2" s="1"/>
  <c r="H1437" i="2"/>
  <c r="E1437" i="2"/>
  <c r="G1437" i="2" s="1"/>
  <c r="H1436" i="2"/>
  <c r="E1436" i="2"/>
  <c r="G1436" i="2" s="1"/>
  <c r="H1435" i="2"/>
  <c r="E1435" i="2"/>
  <c r="G1435" i="2" s="1"/>
  <c r="H1434" i="2"/>
  <c r="E1434" i="2"/>
  <c r="G1434" i="2" s="1"/>
  <c r="H1433" i="2"/>
  <c r="E1433" i="2"/>
  <c r="G1433" i="2" s="1"/>
  <c r="H1432" i="2"/>
  <c r="E1432" i="2"/>
  <c r="G1432" i="2" s="1"/>
  <c r="H1431" i="2"/>
  <c r="E1431" i="2"/>
  <c r="G1431" i="2" s="1"/>
  <c r="H1430" i="2"/>
  <c r="E1430" i="2"/>
  <c r="G1430" i="2" s="1"/>
  <c r="H1429" i="2"/>
  <c r="E1429" i="2"/>
  <c r="G1429" i="2" s="1"/>
  <c r="H1428" i="2"/>
  <c r="E1428" i="2"/>
  <c r="G1428" i="2" s="1"/>
  <c r="H1427" i="2"/>
  <c r="E1427" i="2"/>
  <c r="G1427" i="2" s="1"/>
  <c r="H1426" i="2"/>
  <c r="E1426" i="2"/>
  <c r="G1426" i="2" s="1"/>
  <c r="H1425" i="2"/>
  <c r="E1425" i="2"/>
  <c r="G1425" i="2" s="1"/>
  <c r="H1424" i="2"/>
  <c r="E1424" i="2"/>
  <c r="G1424" i="2" s="1"/>
  <c r="H1423" i="2"/>
  <c r="E1423" i="2"/>
  <c r="G1423" i="2" s="1"/>
  <c r="H1422" i="2"/>
  <c r="E1422" i="2"/>
  <c r="G1422" i="2" s="1"/>
  <c r="H1421" i="2"/>
  <c r="E1421" i="2"/>
  <c r="G1421" i="2" s="1"/>
  <c r="H1420" i="2"/>
  <c r="E1420" i="2"/>
  <c r="G1420" i="2" s="1"/>
  <c r="H1419" i="2"/>
  <c r="E1419" i="2"/>
  <c r="G1419" i="2" s="1"/>
  <c r="H1418" i="2"/>
  <c r="E1418" i="2"/>
  <c r="G1418" i="2" s="1"/>
  <c r="H1417" i="2"/>
  <c r="E1417" i="2"/>
  <c r="G1417" i="2" s="1"/>
  <c r="H1416" i="2"/>
  <c r="E1416" i="2"/>
  <c r="G1416" i="2" s="1"/>
  <c r="H1415" i="2"/>
  <c r="E1415" i="2"/>
  <c r="G1415" i="2" s="1"/>
  <c r="H1414" i="2"/>
  <c r="E1414" i="2"/>
  <c r="G1414" i="2" s="1"/>
  <c r="H1413" i="2"/>
  <c r="E1413" i="2"/>
  <c r="G1413" i="2" s="1"/>
  <c r="H1412" i="2"/>
  <c r="E1412" i="2"/>
  <c r="G1412" i="2" s="1"/>
  <c r="H1411" i="2"/>
  <c r="E1411" i="2"/>
  <c r="G1411" i="2" s="1"/>
  <c r="H1410" i="2"/>
  <c r="E1410" i="2"/>
  <c r="G1410" i="2" s="1"/>
  <c r="H1409" i="2"/>
  <c r="E1409" i="2"/>
  <c r="G1409" i="2" s="1"/>
  <c r="H1408" i="2"/>
  <c r="E1408" i="2"/>
  <c r="G1408" i="2" s="1"/>
  <c r="H1407" i="2"/>
  <c r="E1407" i="2"/>
  <c r="G1407" i="2" s="1"/>
  <c r="H1406" i="2"/>
  <c r="E1406" i="2"/>
  <c r="G1406" i="2" s="1"/>
  <c r="H1405" i="2"/>
  <c r="E1405" i="2"/>
  <c r="G1405" i="2" s="1"/>
  <c r="H1404" i="2"/>
  <c r="E1404" i="2"/>
  <c r="G1404" i="2" s="1"/>
  <c r="H1403" i="2"/>
  <c r="E1403" i="2"/>
  <c r="G1403" i="2" s="1"/>
  <c r="H1402" i="2"/>
  <c r="E1402" i="2"/>
  <c r="G1402" i="2" s="1"/>
  <c r="H1401" i="2"/>
  <c r="E1401" i="2"/>
  <c r="G1401" i="2" s="1"/>
  <c r="H1400" i="2"/>
  <c r="E1400" i="2"/>
  <c r="G1400" i="2" s="1"/>
  <c r="H1399" i="2"/>
  <c r="E1399" i="2"/>
  <c r="G1399" i="2" s="1"/>
  <c r="H1398" i="2"/>
  <c r="E1398" i="2"/>
  <c r="G1398" i="2" s="1"/>
  <c r="H1397" i="2"/>
  <c r="E1397" i="2"/>
  <c r="G1397" i="2" s="1"/>
  <c r="H1396" i="2"/>
  <c r="E1396" i="2"/>
  <c r="G1396" i="2" s="1"/>
  <c r="H1395" i="2"/>
  <c r="E1395" i="2"/>
  <c r="G1395" i="2" s="1"/>
  <c r="H1394" i="2"/>
  <c r="E1394" i="2"/>
  <c r="G1394" i="2" s="1"/>
  <c r="H1393" i="2"/>
  <c r="E1393" i="2"/>
  <c r="G1393" i="2" s="1"/>
  <c r="H1392" i="2"/>
  <c r="E1392" i="2"/>
  <c r="G1392" i="2" s="1"/>
  <c r="H1391" i="2"/>
  <c r="E1391" i="2"/>
  <c r="G1391" i="2" s="1"/>
  <c r="H1390" i="2"/>
  <c r="E1390" i="2"/>
  <c r="G1390" i="2" s="1"/>
  <c r="H1389" i="2"/>
  <c r="E1389" i="2"/>
  <c r="G1389" i="2" s="1"/>
  <c r="H1388" i="2"/>
  <c r="E1388" i="2"/>
  <c r="G1388" i="2" s="1"/>
  <c r="H1387" i="2"/>
  <c r="E1387" i="2"/>
  <c r="G1387" i="2" s="1"/>
  <c r="H1386" i="2"/>
  <c r="E1386" i="2"/>
  <c r="G1386" i="2" s="1"/>
  <c r="H1385" i="2"/>
  <c r="E1385" i="2"/>
  <c r="G1385" i="2" s="1"/>
  <c r="H1384" i="2"/>
  <c r="E1384" i="2"/>
  <c r="G1384" i="2" s="1"/>
  <c r="H1383" i="2"/>
  <c r="E1383" i="2"/>
  <c r="G1383" i="2" s="1"/>
  <c r="H1382" i="2"/>
  <c r="E1382" i="2"/>
  <c r="G1382" i="2" s="1"/>
  <c r="H1381" i="2"/>
  <c r="E1381" i="2"/>
  <c r="G1381" i="2" s="1"/>
  <c r="H1380" i="2"/>
  <c r="E1380" i="2"/>
  <c r="G1380" i="2" s="1"/>
  <c r="H1379" i="2"/>
  <c r="E1379" i="2"/>
  <c r="G1379" i="2" s="1"/>
  <c r="H1378" i="2"/>
  <c r="E1378" i="2"/>
  <c r="G1378" i="2" s="1"/>
  <c r="H1377" i="2"/>
  <c r="E1377" i="2"/>
  <c r="G1377" i="2" s="1"/>
  <c r="H1376" i="2"/>
  <c r="E1376" i="2"/>
  <c r="G1376" i="2" s="1"/>
  <c r="H1375" i="2"/>
  <c r="E1375" i="2"/>
  <c r="G1375" i="2" s="1"/>
  <c r="H1374" i="2"/>
  <c r="G1374" i="2"/>
  <c r="H1373" i="2"/>
  <c r="E1373" i="2"/>
  <c r="G1373" i="2" s="1"/>
  <c r="H1372" i="2"/>
  <c r="E1372" i="2"/>
  <c r="G1372" i="2" s="1"/>
  <c r="H1371" i="2"/>
  <c r="E1371" i="2"/>
  <c r="G1371" i="2" s="1"/>
  <c r="H1370" i="2"/>
  <c r="E1370" i="2"/>
  <c r="G1370" i="2" s="1"/>
  <c r="H1369" i="2"/>
  <c r="E1369" i="2"/>
  <c r="G1369" i="2" s="1"/>
  <c r="H1368" i="2"/>
  <c r="E1368" i="2"/>
  <c r="G1368" i="2" s="1"/>
  <c r="H1367" i="2"/>
  <c r="E1367" i="2"/>
  <c r="G1367" i="2" s="1"/>
  <c r="H1366" i="2"/>
  <c r="E1366" i="2"/>
  <c r="G1366" i="2" s="1"/>
  <c r="H1365" i="2"/>
  <c r="E1365" i="2"/>
  <c r="G1365" i="2" s="1"/>
  <c r="H1364" i="2"/>
  <c r="E1364" i="2"/>
  <c r="G1364" i="2" s="1"/>
  <c r="H1363" i="2"/>
  <c r="E1363" i="2"/>
  <c r="G1363" i="2" s="1"/>
  <c r="H1362" i="2"/>
  <c r="E1362" i="2"/>
  <c r="G1362" i="2" s="1"/>
  <c r="H1361" i="2"/>
  <c r="E1361" i="2"/>
  <c r="G1361" i="2" s="1"/>
  <c r="H1360" i="2"/>
  <c r="E1360" i="2"/>
  <c r="G1360" i="2" s="1"/>
  <c r="H1359" i="2"/>
  <c r="E1359" i="2"/>
  <c r="G1359" i="2" s="1"/>
  <c r="H1358" i="2"/>
  <c r="E1358" i="2"/>
  <c r="G1358" i="2" s="1"/>
  <c r="H1357" i="2"/>
  <c r="E1357" i="2"/>
  <c r="G1357" i="2" s="1"/>
  <c r="H1356" i="2"/>
  <c r="E1356" i="2"/>
  <c r="G1356" i="2" s="1"/>
  <c r="H1355" i="2"/>
  <c r="E1355" i="2"/>
  <c r="G1355" i="2" s="1"/>
  <c r="H1354" i="2"/>
  <c r="E1354" i="2"/>
  <c r="G1354" i="2" s="1"/>
  <c r="H1353" i="2"/>
  <c r="E1353" i="2"/>
  <c r="G1353" i="2" s="1"/>
  <c r="H1352" i="2"/>
  <c r="E1352" i="2"/>
  <c r="G1352" i="2" s="1"/>
  <c r="H1351" i="2"/>
  <c r="E1351" i="2"/>
  <c r="G1351" i="2" s="1"/>
  <c r="H1350" i="2"/>
  <c r="E1350" i="2"/>
  <c r="G1350" i="2" s="1"/>
  <c r="H1349" i="2"/>
  <c r="E1349" i="2"/>
  <c r="G1349" i="2" s="1"/>
  <c r="H1348" i="2"/>
  <c r="E1348" i="2"/>
  <c r="G1348" i="2" s="1"/>
  <c r="H1347" i="2"/>
  <c r="E1347" i="2"/>
  <c r="G1347" i="2" s="1"/>
  <c r="H1346" i="2"/>
  <c r="E1346" i="2"/>
  <c r="G1346" i="2" s="1"/>
  <c r="H1345" i="2"/>
  <c r="E1345" i="2"/>
  <c r="G1345" i="2" s="1"/>
  <c r="H1344" i="2"/>
  <c r="E1344" i="2"/>
  <c r="G1344" i="2" s="1"/>
  <c r="H1343" i="2"/>
  <c r="E1343" i="2"/>
  <c r="G1343" i="2" s="1"/>
  <c r="H1342" i="2"/>
  <c r="E1342" i="2"/>
  <c r="G1342" i="2" s="1"/>
  <c r="H1341" i="2"/>
  <c r="E1341" i="2"/>
  <c r="G1341" i="2" s="1"/>
  <c r="H1340" i="2"/>
  <c r="E1340" i="2"/>
  <c r="G1340" i="2" s="1"/>
  <c r="H1339" i="2"/>
  <c r="G1339" i="2"/>
  <c r="H1338" i="2"/>
  <c r="G1338" i="2"/>
  <c r="H1337" i="2"/>
  <c r="G1337" i="2"/>
  <c r="H1336" i="2"/>
  <c r="E1336" i="2"/>
  <c r="G1336" i="2" s="1"/>
  <c r="H1335" i="2"/>
  <c r="E1335" i="2"/>
  <c r="G1335" i="2" s="1"/>
  <c r="H1334" i="2"/>
  <c r="E1334" i="2"/>
  <c r="G1334" i="2" s="1"/>
  <c r="H1333" i="2"/>
  <c r="E1333" i="2"/>
  <c r="G1333" i="2" s="1"/>
  <c r="H1332" i="2"/>
  <c r="E1332" i="2"/>
  <c r="G1332" i="2" s="1"/>
  <c r="H1331" i="2"/>
  <c r="E1331" i="2"/>
  <c r="G1331" i="2" s="1"/>
  <c r="H1330" i="2"/>
  <c r="E1330" i="2"/>
  <c r="G1330" i="2" s="1"/>
  <c r="H1329" i="2"/>
  <c r="E1329" i="2"/>
  <c r="G1329" i="2" s="1"/>
  <c r="H1328" i="2"/>
  <c r="E1328" i="2"/>
  <c r="G1328" i="2" s="1"/>
  <c r="H1327" i="2"/>
  <c r="E1327" i="2"/>
  <c r="G1327" i="2" s="1"/>
  <c r="H1326" i="2"/>
  <c r="E1326" i="2"/>
  <c r="G1326" i="2" s="1"/>
  <c r="H1325" i="2"/>
  <c r="E1325" i="2"/>
  <c r="G1325" i="2" s="1"/>
  <c r="H1324" i="2"/>
  <c r="E1324" i="2"/>
  <c r="G1324" i="2" s="1"/>
  <c r="H1323" i="2"/>
  <c r="E1323" i="2"/>
  <c r="G1323" i="2" s="1"/>
  <c r="H1322" i="2"/>
  <c r="E1322" i="2"/>
  <c r="G1322" i="2" s="1"/>
  <c r="H1321" i="2"/>
  <c r="E1321" i="2"/>
  <c r="G1321" i="2" s="1"/>
  <c r="H1320" i="2"/>
  <c r="E1320" i="2"/>
  <c r="G1320" i="2" s="1"/>
  <c r="H1319" i="2"/>
  <c r="E1319" i="2"/>
  <c r="G1319" i="2" s="1"/>
  <c r="H1318" i="2"/>
  <c r="E1318" i="2"/>
  <c r="G1318" i="2" s="1"/>
  <c r="H1317" i="2"/>
  <c r="E1317" i="2"/>
  <c r="G1317" i="2" s="1"/>
  <c r="H1316" i="2"/>
  <c r="E1316" i="2"/>
  <c r="G1316" i="2" s="1"/>
  <c r="H1315" i="2"/>
  <c r="E1315" i="2"/>
  <c r="G1315" i="2" s="1"/>
  <c r="H1314" i="2"/>
  <c r="E1314" i="2"/>
  <c r="G1314" i="2" s="1"/>
  <c r="H1313" i="2"/>
  <c r="E1313" i="2"/>
  <c r="G1313" i="2" s="1"/>
  <c r="H1312" i="2"/>
  <c r="E1312" i="2"/>
  <c r="G1312" i="2" s="1"/>
  <c r="H1311" i="2"/>
  <c r="E1311" i="2"/>
  <c r="G1311" i="2" s="1"/>
  <c r="H1310" i="2"/>
  <c r="E1310" i="2"/>
  <c r="G1310" i="2" s="1"/>
  <c r="H1309" i="2"/>
  <c r="E1309" i="2"/>
  <c r="G1309" i="2" s="1"/>
  <c r="H1308" i="2"/>
  <c r="G1308" i="2"/>
  <c r="H1307" i="2"/>
  <c r="E1307" i="2"/>
  <c r="G1307" i="2" s="1"/>
  <c r="H1306" i="2"/>
  <c r="E1306" i="2"/>
  <c r="G1306" i="2" s="1"/>
  <c r="H1305" i="2"/>
  <c r="E1305" i="2"/>
  <c r="G1305" i="2" s="1"/>
  <c r="H1304" i="2"/>
  <c r="E1304" i="2"/>
  <c r="G1304" i="2" s="1"/>
  <c r="H1303" i="2"/>
  <c r="E1303" i="2"/>
  <c r="G1303" i="2" s="1"/>
  <c r="H1302" i="2"/>
  <c r="E1302" i="2"/>
  <c r="G1302" i="2" s="1"/>
  <c r="H1301" i="2"/>
  <c r="E1301" i="2"/>
  <c r="G1301" i="2" s="1"/>
  <c r="H1300" i="2"/>
  <c r="E1300" i="2"/>
  <c r="G1300" i="2" s="1"/>
  <c r="H1299" i="2"/>
  <c r="E1299" i="2"/>
  <c r="G1299" i="2" s="1"/>
  <c r="H1298" i="2"/>
  <c r="E1298" i="2"/>
  <c r="G1298" i="2" s="1"/>
  <c r="H1297" i="2"/>
  <c r="E1297" i="2"/>
  <c r="G1297" i="2" s="1"/>
  <c r="H1296" i="2"/>
  <c r="E1296" i="2"/>
  <c r="G1296" i="2" s="1"/>
  <c r="H1295" i="2"/>
  <c r="E1295" i="2"/>
  <c r="G1295" i="2" s="1"/>
  <c r="H1294" i="2"/>
  <c r="E1294" i="2"/>
  <c r="G1294" i="2" s="1"/>
  <c r="H1293" i="2"/>
  <c r="E1293" i="2"/>
  <c r="G1293" i="2" s="1"/>
  <c r="H1292" i="2"/>
  <c r="E1292" i="2"/>
  <c r="G1292" i="2" s="1"/>
  <c r="H1291" i="2"/>
  <c r="E1291" i="2"/>
  <c r="G1291" i="2" s="1"/>
  <c r="H1290" i="2"/>
  <c r="E1290" i="2"/>
  <c r="G1290" i="2" s="1"/>
  <c r="H1289" i="2"/>
  <c r="E1289" i="2"/>
  <c r="G1289" i="2" s="1"/>
  <c r="H1288" i="2"/>
  <c r="E1288" i="2"/>
  <c r="G1288" i="2" s="1"/>
  <c r="H1287" i="2"/>
  <c r="E1287" i="2"/>
  <c r="G1287" i="2" s="1"/>
  <c r="H1286" i="2"/>
  <c r="E1286" i="2"/>
  <c r="G1286" i="2" s="1"/>
  <c r="H1285" i="2"/>
  <c r="E1285" i="2"/>
  <c r="G1285" i="2" s="1"/>
  <c r="H1284" i="2"/>
  <c r="E1284" i="2"/>
  <c r="G1284" i="2" s="1"/>
  <c r="H1283" i="2"/>
  <c r="G1283" i="2"/>
  <c r="H1282" i="2"/>
  <c r="G1282" i="2"/>
  <c r="H1281" i="2"/>
  <c r="E1281" i="2"/>
  <c r="G1281" i="2" s="1"/>
  <c r="H1280" i="2"/>
  <c r="E1280" i="2"/>
  <c r="G1280" i="2" s="1"/>
  <c r="H1279" i="2"/>
  <c r="E1279" i="2"/>
  <c r="G1279" i="2" s="1"/>
  <c r="H1278" i="2"/>
  <c r="E1278" i="2"/>
  <c r="G1278" i="2" s="1"/>
  <c r="H1277" i="2"/>
  <c r="E1277" i="2"/>
  <c r="G1277" i="2" s="1"/>
  <c r="H1276" i="2"/>
  <c r="E1276" i="2"/>
  <c r="G1276" i="2" s="1"/>
  <c r="H1275" i="2"/>
  <c r="E1275" i="2"/>
  <c r="G1275" i="2" s="1"/>
  <c r="H1274" i="2"/>
  <c r="E1274" i="2"/>
  <c r="G1274" i="2" s="1"/>
  <c r="H1273" i="2"/>
  <c r="E1273" i="2"/>
  <c r="G1273" i="2" s="1"/>
  <c r="H1272" i="2"/>
  <c r="E1272" i="2"/>
  <c r="G1272" i="2" s="1"/>
  <c r="H1271" i="2"/>
  <c r="E1271" i="2"/>
  <c r="G1271" i="2" s="1"/>
  <c r="H1270" i="2"/>
  <c r="E1270" i="2"/>
  <c r="G1270" i="2" s="1"/>
  <c r="H1269" i="2"/>
  <c r="E1269" i="2"/>
  <c r="G1269" i="2" s="1"/>
  <c r="H1268" i="2"/>
  <c r="E1268" i="2"/>
  <c r="G1268" i="2" s="1"/>
  <c r="H1267" i="2"/>
  <c r="E1267" i="2"/>
  <c r="G1267" i="2" s="1"/>
  <c r="H1266" i="2"/>
  <c r="E1266" i="2"/>
  <c r="G1266" i="2" s="1"/>
  <c r="H1265" i="2"/>
  <c r="E1265" i="2"/>
  <c r="G1265" i="2" s="1"/>
  <c r="H1264" i="2"/>
  <c r="E1264" i="2"/>
  <c r="G1264" i="2" s="1"/>
  <c r="H1263" i="2"/>
  <c r="E1263" i="2"/>
  <c r="G1263" i="2" s="1"/>
  <c r="H1262" i="2"/>
  <c r="E1262" i="2"/>
  <c r="G1262" i="2" s="1"/>
  <c r="H1261" i="2"/>
  <c r="E1261" i="2"/>
  <c r="G1261" i="2" s="1"/>
  <c r="H1260" i="2"/>
  <c r="E1260" i="2"/>
  <c r="G1260" i="2" s="1"/>
  <c r="H1259" i="2"/>
  <c r="E1259" i="2"/>
  <c r="G1259" i="2" s="1"/>
  <c r="H1258" i="2"/>
  <c r="E1258" i="2"/>
  <c r="G1258" i="2" s="1"/>
  <c r="H1257" i="2"/>
  <c r="E1257" i="2"/>
  <c r="G1257" i="2" s="1"/>
  <c r="H1256" i="2"/>
  <c r="E1256" i="2"/>
  <c r="G1256" i="2" s="1"/>
  <c r="H1255" i="2"/>
  <c r="E1255" i="2"/>
  <c r="G1255" i="2" s="1"/>
  <c r="H1254" i="2"/>
  <c r="G1254" i="2"/>
  <c r="H1253" i="2"/>
  <c r="E1253" i="2"/>
  <c r="G1253" i="2" s="1"/>
  <c r="H1252" i="2"/>
  <c r="E1252" i="2"/>
  <c r="G1252" i="2" s="1"/>
  <c r="H1251" i="2"/>
  <c r="E1251" i="2"/>
  <c r="G1251" i="2" s="1"/>
  <c r="H1250" i="2"/>
  <c r="E1250" i="2"/>
  <c r="G1250" i="2" s="1"/>
  <c r="H1249" i="2"/>
  <c r="E1249" i="2"/>
  <c r="G1249" i="2" s="1"/>
  <c r="H1248" i="2"/>
  <c r="E1248" i="2"/>
  <c r="G1248" i="2" s="1"/>
  <c r="H1247" i="2"/>
  <c r="E1247" i="2"/>
  <c r="G1247" i="2" s="1"/>
  <c r="H1246" i="2"/>
  <c r="E1246" i="2"/>
  <c r="G1246" i="2" s="1"/>
  <c r="H1245" i="2"/>
  <c r="E1245" i="2"/>
  <c r="G1245" i="2" s="1"/>
  <c r="H1244" i="2"/>
  <c r="E1244" i="2"/>
  <c r="G1244" i="2" s="1"/>
  <c r="H1243" i="2"/>
  <c r="E1243" i="2"/>
  <c r="G1243" i="2" s="1"/>
  <c r="H1242" i="2"/>
  <c r="E1242" i="2"/>
  <c r="G1242" i="2" s="1"/>
  <c r="H1241" i="2"/>
  <c r="E1241" i="2"/>
  <c r="G1241" i="2" s="1"/>
  <c r="H1240" i="2"/>
  <c r="E1240" i="2"/>
  <c r="G1240" i="2" s="1"/>
  <c r="H1239" i="2"/>
  <c r="E1239" i="2"/>
  <c r="G1239" i="2" s="1"/>
  <c r="H1238" i="2"/>
  <c r="E1238" i="2"/>
  <c r="G1238" i="2" s="1"/>
  <c r="H1237" i="2"/>
  <c r="G1237" i="2"/>
  <c r="H1236" i="2"/>
  <c r="E1236" i="2"/>
  <c r="G1236" i="2" s="1"/>
  <c r="H1235" i="2"/>
  <c r="E1235" i="2"/>
  <c r="G1235" i="2" s="1"/>
  <c r="H1234" i="2"/>
  <c r="E1234" i="2"/>
  <c r="G1234" i="2" s="1"/>
  <c r="H1233" i="2"/>
  <c r="E1233" i="2"/>
  <c r="G1233" i="2" s="1"/>
  <c r="H1232" i="2"/>
  <c r="E1232" i="2"/>
  <c r="G1232" i="2" s="1"/>
  <c r="H1231" i="2"/>
  <c r="E1231" i="2"/>
  <c r="G1231" i="2" s="1"/>
  <c r="H1230" i="2"/>
  <c r="G1230" i="2"/>
  <c r="H1229" i="2"/>
  <c r="E1229" i="2"/>
  <c r="G1229" i="2" s="1"/>
  <c r="H1228" i="2"/>
  <c r="E1228" i="2"/>
  <c r="G1228" i="2" s="1"/>
  <c r="H1227" i="2"/>
  <c r="E1227" i="2"/>
  <c r="G1227" i="2" s="1"/>
  <c r="H1226" i="2"/>
  <c r="E1226" i="2"/>
  <c r="G1226" i="2" s="1"/>
  <c r="H1225" i="2"/>
  <c r="E1225" i="2"/>
  <c r="G1225" i="2" s="1"/>
  <c r="H1224" i="2"/>
  <c r="E1224" i="2"/>
  <c r="G1224" i="2" s="1"/>
  <c r="H1223" i="2"/>
  <c r="E1223" i="2"/>
  <c r="G1223" i="2" s="1"/>
  <c r="H1222" i="2"/>
  <c r="E1222" i="2"/>
  <c r="G1222" i="2" s="1"/>
  <c r="H1221" i="2"/>
  <c r="E1221" i="2"/>
  <c r="G1221" i="2" s="1"/>
  <c r="H1220" i="2"/>
  <c r="E1220" i="2"/>
  <c r="G1220" i="2" s="1"/>
  <c r="H1219" i="2"/>
  <c r="E1219" i="2"/>
  <c r="G1219" i="2" s="1"/>
  <c r="H1218" i="2"/>
  <c r="E1218" i="2"/>
  <c r="G1218" i="2" s="1"/>
  <c r="H1217" i="2"/>
  <c r="E1217" i="2"/>
  <c r="G1217" i="2" s="1"/>
  <c r="H1216" i="2"/>
  <c r="G1216" i="2"/>
  <c r="H1215" i="2"/>
  <c r="G1215" i="2"/>
  <c r="H1214" i="2"/>
  <c r="E1214" i="2"/>
  <c r="G1214" i="2" s="1"/>
  <c r="H1213" i="2"/>
  <c r="E1213" i="2"/>
  <c r="G1213" i="2" s="1"/>
  <c r="H1212" i="2"/>
  <c r="E1212" i="2"/>
  <c r="G1212" i="2" s="1"/>
  <c r="H1211" i="2"/>
  <c r="E1211" i="2"/>
  <c r="G1211" i="2" s="1"/>
  <c r="H1210" i="2"/>
  <c r="E1210" i="2"/>
  <c r="G1210" i="2" s="1"/>
  <c r="H1209" i="2"/>
  <c r="E1209" i="2"/>
  <c r="G1209" i="2" s="1"/>
  <c r="H1208" i="2"/>
  <c r="E1208" i="2"/>
  <c r="G1208" i="2" s="1"/>
  <c r="H1207" i="2"/>
  <c r="E1207" i="2"/>
  <c r="G1207" i="2" s="1"/>
  <c r="H1206" i="2"/>
  <c r="E1206" i="2"/>
  <c r="G1206" i="2" s="1"/>
  <c r="H1205" i="2"/>
  <c r="E1205" i="2"/>
  <c r="G1205" i="2" s="1"/>
  <c r="H1204" i="2"/>
  <c r="E1204" i="2"/>
  <c r="G1204" i="2" s="1"/>
  <c r="H1203" i="2"/>
  <c r="E1203" i="2"/>
  <c r="G1203" i="2" s="1"/>
  <c r="H1202" i="2"/>
  <c r="E1202" i="2"/>
  <c r="G1202" i="2" s="1"/>
  <c r="H1201" i="2"/>
  <c r="E1201" i="2"/>
  <c r="G1201" i="2" s="1"/>
  <c r="H1200" i="2"/>
  <c r="E1200" i="2"/>
  <c r="G1200" i="2" s="1"/>
  <c r="H1199" i="2"/>
  <c r="E1199" i="2"/>
  <c r="G1199" i="2" s="1"/>
  <c r="H1198" i="2"/>
  <c r="E1198" i="2"/>
  <c r="G1198" i="2" s="1"/>
  <c r="H1197" i="2"/>
  <c r="E1197" i="2"/>
  <c r="G1197" i="2" s="1"/>
  <c r="H1196" i="2"/>
  <c r="E1196" i="2"/>
  <c r="G1196" i="2" s="1"/>
  <c r="H1195" i="2"/>
  <c r="G1195" i="2"/>
  <c r="H1194" i="2"/>
  <c r="E1194" i="2"/>
  <c r="G1194" i="2" s="1"/>
  <c r="H1193" i="2"/>
  <c r="E1193" i="2"/>
  <c r="G1193" i="2" s="1"/>
  <c r="H1192" i="2"/>
  <c r="E1192" i="2"/>
  <c r="G1192" i="2" s="1"/>
  <c r="H1191" i="2"/>
  <c r="E1191" i="2"/>
  <c r="G1191" i="2" s="1"/>
  <c r="H1190" i="2"/>
  <c r="E1190" i="2"/>
  <c r="G1190" i="2" s="1"/>
  <c r="H1189" i="2"/>
  <c r="E1189" i="2"/>
  <c r="G1189" i="2" s="1"/>
  <c r="H1188" i="2"/>
  <c r="E1188" i="2"/>
  <c r="G1188" i="2" s="1"/>
  <c r="H1187" i="2"/>
  <c r="E1187" i="2"/>
  <c r="G1187" i="2" s="1"/>
  <c r="H1186" i="2"/>
  <c r="E1186" i="2"/>
  <c r="G1186" i="2" s="1"/>
  <c r="H1185" i="2"/>
  <c r="E1185" i="2"/>
  <c r="G1185" i="2" s="1"/>
  <c r="H1184" i="2"/>
  <c r="E1184" i="2"/>
  <c r="G1184" i="2" s="1"/>
  <c r="H1183" i="2"/>
  <c r="E1183" i="2"/>
  <c r="G1183" i="2" s="1"/>
  <c r="H1182" i="2"/>
  <c r="E1182" i="2"/>
  <c r="G1182" i="2" s="1"/>
  <c r="H1181" i="2"/>
  <c r="E1181" i="2"/>
  <c r="G1181" i="2" s="1"/>
  <c r="H1180" i="2"/>
  <c r="E1180" i="2"/>
  <c r="G1180" i="2" s="1"/>
  <c r="H1179" i="2"/>
  <c r="E1179" i="2"/>
  <c r="G1179" i="2" s="1"/>
  <c r="H1178" i="2"/>
  <c r="E1178" i="2"/>
  <c r="G1178" i="2" s="1"/>
  <c r="H1177" i="2"/>
  <c r="E1177" i="2"/>
  <c r="G1177" i="2" s="1"/>
  <c r="H1176" i="2"/>
  <c r="G1176" i="2"/>
  <c r="H1175" i="2"/>
  <c r="E1175" i="2"/>
  <c r="G1175" i="2" s="1"/>
  <c r="H1174" i="2"/>
  <c r="E1174" i="2"/>
  <c r="G1174" i="2" s="1"/>
  <c r="H1173" i="2"/>
  <c r="E1173" i="2"/>
  <c r="G1173" i="2" s="1"/>
  <c r="H1172" i="2"/>
  <c r="E1172" i="2"/>
  <c r="G1172" i="2" s="1"/>
  <c r="H1171" i="2"/>
  <c r="E1171" i="2"/>
  <c r="G1171" i="2" s="1"/>
  <c r="H1170" i="2"/>
  <c r="E1170" i="2"/>
  <c r="G1170" i="2" s="1"/>
  <c r="H1169" i="2"/>
  <c r="E1169" i="2"/>
  <c r="G1169" i="2" s="1"/>
  <c r="H1168" i="2"/>
  <c r="E1168" i="2"/>
  <c r="G1168" i="2" s="1"/>
  <c r="H1167" i="2"/>
  <c r="E1167" i="2"/>
  <c r="G1167" i="2" s="1"/>
  <c r="H1166" i="2"/>
  <c r="E1166" i="2"/>
  <c r="G1166" i="2" s="1"/>
  <c r="H1165" i="2"/>
  <c r="E1165" i="2"/>
  <c r="G1165" i="2" s="1"/>
  <c r="H1164" i="2"/>
  <c r="G1164" i="2"/>
  <c r="H1163" i="2"/>
  <c r="E1163" i="2"/>
  <c r="G1163" i="2" s="1"/>
  <c r="H1162" i="2"/>
  <c r="E1162" i="2"/>
  <c r="G1162" i="2" s="1"/>
  <c r="H1161" i="2"/>
  <c r="E1161" i="2"/>
  <c r="G1161" i="2" s="1"/>
  <c r="H1160" i="2"/>
  <c r="E1160" i="2"/>
  <c r="G1160" i="2" s="1"/>
  <c r="H1159" i="2"/>
  <c r="E1159" i="2"/>
  <c r="G1159" i="2" s="1"/>
  <c r="H1158" i="2"/>
  <c r="E1158" i="2"/>
  <c r="G1158" i="2" s="1"/>
  <c r="H1157" i="2"/>
  <c r="E1157" i="2"/>
  <c r="G1157" i="2" s="1"/>
  <c r="H1156" i="2"/>
  <c r="E1156" i="2"/>
  <c r="G1156" i="2" s="1"/>
  <c r="H1155" i="2"/>
  <c r="E1155" i="2"/>
  <c r="G1155" i="2" s="1"/>
  <c r="H1154" i="2"/>
  <c r="E1154" i="2"/>
  <c r="G1154" i="2" s="1"/>
  <c r="H1153" i="2"/>
  <c r="E1153" i="2"/>
  <c r="G1153" i="2" s="1"/>
  <c r="H1152" i="2"/>
  <c r="G1152" i="2"/>
  <c r="H1151" i="2"/>
  <c r="E1151" i="2"/>
  <c r="G1151" i="2" s="1"/>
  <c r="H1150" i="2"/>
  <c r="E1150" i="2"/>
  <c r="G1150" i="2" s="1"/>
  <c r="H1149" i="2"/>
  <c r="E1149" i="2"/>
  <c r="G1149" i="2" s="1"/>
  <c r="H1148" i="2"/>
  <c r="E1148" i="2"/>
  <c r="G1148" i="2" s="1"/>
  <c r="H1147" i="2"/>
  <c r="E1147" i="2"/>
  <c r="G1147" i="2" s="1"/>
  <c r="H1146" i="2"/>
  <c r="E1146" i="2"/>
  <c r="G1146" i="2" s="1"/>
  <c r="H1145" i="2"/>
  <c r="E1145" i="2"/>
  <c r="G1145" i="2" s="1"/>
  <c r="H1144" i="2"/>
  <c r="E1144" i="2"/>
  <c r="G1144" i="2" s="1"/>
  <c r="H1143" i="2"/>
  <c r="E1143" i="2"/>
  <c r="G1143" i="2" s="1"/>
  <c r="H1142" i="2"/>
  <c r="E1142" i="2"/>
  <c r="G1142" i="2" s="1"/>
  <c r="H1141" i="2"/>
  <c r="E1141" i="2"/>
  <c r="G1141" i="2" s="1"/>
  <c r="H1140" i="2"/>
  <c r="E1140" i="2"/>
  <c r="G1140" i="2" s="1"/>
  <c r="H1139" i="2"/>
  <c r="E1139" i="2"/>
  <c r="G1139" i="2" s="1"/>
  <c r="H1138" i="2"/>
  <c r="E1138" i="2"/>
  <c r="G1138" i="2" s="1"/>
  <c r="H1137" i="2"/>
  <c r="E1137" i="2"/>
  <c r="G1137" i="2" s="1"/>
  <c r="H1136" i="2"/>
  <c r="E1136" i="2"/>
  <c r="G1136" i="2" s="1"/>
  <c r="H1135" i="2"/>
  <c r="G1135" i="2"/>
  <c r="H1134" i="2"/>
  <c r="G1134" i="2"/>
  <c r="H1133" i="2"/>
  <c r="E1133" i="2"/>
  <c r="G1133" i="2" s="1"/>
  <c r="H1132" i="2"/>
  <c r="E1132" i="2"/>
  <c r="G1132" i="2" s="1"/>
  <c r="H1131" i="2"/>
  <c r="E1131" i="2"/>
  <c r="G1131" i="2" s="1"/>
  <c r="H1130" i="2"/>
  <c r="E1130" i="2"/>
  <c r="G1130" i="2" s="1"/>
  <c r="H1129" i="2"/>
  <c r="E1129" i="2"/>
  <c r="G1129" i="2" s="1"/>
  <c r="H1128" i="2"/>
  <c r="E1128" i="2"/>
  <c r="G1128" i="2" s="1"/>
  <c r="H1127" i="2"/>
  <c r="E1127" i="2"/>
  <c r="G1127" i="2" s="1"/>
  <c r="H1126" i="2"/>
  <c r="E1126" i="2"/>
  <c r="G1126" i="2" s="1"/>
  <c r="H1125" i="2"/>
  <c r="E1125" i="2"/>
  <c r="G1125" i="2" s="1"/>
  <c r="H1124" i="2"/>
  <c r="E1124" i="2"/>
  <c r="G1124" i="2" s="1"/>
  <c r="H1123" i="2"/>
  <c r="E1123" i="2"/>
  <c r="G1123" i="2" s="1"/>
  <c r="H1122" i="2"/>
  <c r="G1122" i="2"/>
  <c r="H1121" i="2"/>
  <c r="E1121" i="2"/>
  <c r="G1121" i="2" s="1"/>
  <c r="H1120" i="2"/>
  <c r="E1120" i="2"/>
  <c r="G1120" i="2" s="1"/>
  <c r="H1119" i="2"/>
  <c r="E1119" i="2"/>
  <c r="G1119" i="2" s="1"/>
  <c r="H1118" i="2"/>
  <c r="E1118" i="2"/>
  <c r="G1118" i="2" s="1"/>
  <c r="H1117" i="2"/>
  <c r="E1117" i="2"/>
  <c r="G1117" i="2" s="1"/>
  <c r="H1116" i="2"/>
  <c r="E1116" i="2"/>
  <c r="G1116" i="2" s="1"/>
  <c r="H1115" i="2"/>
  <c r="E1115" i="2"/>
  <c r="G1115" i="2" s="1"/>
  <c r="H1114" i="2"/>
  <c r="E1114" i="2"/>
  <c r="G1114" i="2" s="1"/>
  <c r="H1113" i="2"/>
  <c r="E1113" i="2"/>
  <c r="G1113" i="2" s="1"/>
  <c r="H1112" i="2"/>
  <c r="E1112" i="2"/>
  <c r="G1112" i="2" s="1"/>
  <c r="H1111" i="2"/>
  <c r="E1111" i="2"/>
  <c r="G1111" i="2" s="1"/>
  <c r="H1110" i="2"/>
  <c r="E1110" i="2"/>
  <c r="G1110" i="2" s="1"/>
  <c r="H1109" i="2"/>
  <c r="E1109" i="2"/>
  <c r="G1109" i="2" s="1"/>
  <c r="H1108" i="2"/>
  <c r="E1108" i="2"/>
  <c r="G1108" i="2" s="1"/>
  <c r="H1107" i="2"/>
  <c r="E1107" i="2"/>
  <c r="G1107" i="2" s="1"/>
  <c r="H1106" i="2"/>
  <c r="G1106" i="2"/>
  <c r="H1105" i="2"/>
  <c r="E1105" i="2"/>
  <c r="G1105" i="2" s="1"/>
  <c r="H1104" i="2"/>
  <c r="E1104" i="2"/>
  <c r="G1104" i="2" s="1"/>
  <c r="H1103" i="2"/>
  <c r="E1103" i="2"/>
  <c r="G1103" i="2" s="1"/>
  <c r="H1102" i="2"/>
  <c r="E1102" i="2"/>
  <c r="G1102" i="2" s="1"/>
  <c r="H1101" i="2"/>
  <c r="E1101" i="2"/>
  <c r="G1101" i="2" s="1"/>
  <c r="H1100" i="2"/>
  <c r="E1100" i="2"/>
  <c r="G1100" i="2" s="1"/>
  <c r="H1099" i="2"/>
  <c r="E1099" i="2"/>
  <c r="G1099" i="2" s="1"/>
  <c r="H1098" i="2"/>
  <c r="E1098" i="2"/>
  <c r="G1098" i="2" s="1"/>
  <c r="H1097" i="2"/>
  <c r="E1097" i="2"/>
  <c r="G1097" i="2" s="1"/>
  <c r="H1096" i="2"/>
  <c r="E1096" i="2"/>
  <c r="G1096" i="2" s="1"/>
  <c r="H1095" i="2"/>
  <c r="E1095" i="2"/>
  <c r="G1095" i="2" s="1"/>
  <c r="H1094" i="2"/>
  <c r="E1094" i="2"/>
  <c r="G1094" i="2" s="1"/>
  <c r="H1093" i="2"/>
  <c r="E1093" i="2"/>
  <c r="G1093" i="2" s="1"/>
  <c r="H1092" i="2"/>
  <c r="E1092" i="2"/>
  <c r="G1092" i="2" s="1"/>
  <c r="H1091" i="2"/>
  <c r="E1091" i="2"/>
  <c r="G1091" i="2" s="1"/>
  <c r="H1090" i="2"/>
  <c r="E1090" i="2"/>
  <c r="G1090" i="2" s="1"/>
  <c r="H1089" i="2"/>
  <c r="E1089" i="2"/>
  <c r="G1089" i="2" s="1"/>
  <c r="H1088" i="2"/>
  <c r="E1088" i="2"/>
  <c r="G1088" i="2" s="1"/>
  <c r="H1087" i="2"/>
  <c r="E1087" i="2"/>
  <c r="G1087" i="2" s="1"/>
  <c r="H1086" i="2"/>
  <c r="E1086" i="2"/>
  <c r="G1086" i="2" s="1"/>
  <c r="H1085" i="2"/>
  <c r="E1085" i="2"/>
  <c r="G1085" i="2" s="1"/>
  <c r="H1084" i="2"/>
  <c r="E1084" i="2"/>
  <c r="G1084" i="2" s="1"/>
  <c r="H1083" i="2"/>
  <c r="E1083" i="2"/>
  <c r="G1083" i="2" s="1"/>
  <c r="H1082" i="2"/>
  <c r="E1082" i="2"/>
  <c r="G1082" i="2" s="1"/>
  <c r="H1081" i="2"/>
  <c r="E1081" i="2"/>
  <c r="G1081" i="2" s="1"/>
  <c r="H1080" i="2"/>
  <c r="E1080" i="2"/>
  <c r="G1080" i="2" s="1"/>
  <c r="H1079" i="2"/>
  <c r="G1079" i="2"/>
  <c r="H1078" i="2"/>
  <c r="E1078" i="2"/>
  <c r="G1078" i="2" s="1"/>
  <c r="H1077" i="2"/>
  <c r="E1077" i="2"/>
  <c r="G1077" i="2" s="1"/>
  <c r="H1076" i="2"/>
  <c r="E1076" i="2"/>
  <c r="G1076" i="2" s="1"/>
  <c r="H1075" i="2"/>
  <c r="E1075" i="2"/>
  <c r="G1075" i="2" s="1"/>
  <c r="H1074" i="2"/>
  <c r="E1074" i="2"/>
  <c r="G1074" i="2" s="1"/>
  <c r="H1073" i="2"/>
  <c r="E1073" i="2"/>
  <c r="G1073" i="2" s="1"/>
  <c r="H1072" i="2"/>
  <c r="E1072" i="2"/>
  <c r="G1072" i="2" s="1"/>
  <c r="H1071" i="2"/>
  <c r="E1071" i="2"/>
  <c r="G1071" i="2" s="1"/>
  <c r="H1070" i="2"/>
  <c r="E1070" i="2"/>
  <c r="G1070" i="2" s="1"/>
  <c r="H1069" i="2"/>
  <c r="E1069" i="2"/>
  <c r="G1069" i="2" s="1"/>
  <c r="H1068" i="2"/>
  <c r="E1068" i="2"/>
  <c r="G1068" i="2" s="1"/>
  <c r="H1067" i="2"/>
  <c r="E1067" i="2"/>
  <c r="G1067" i="2" s="1"/>
  <c r="H1066" i="2"/>
  <c r="E1066" i="2"/>
  <c r="G1066" i="2" s="1"/>
  <c r="H1065" i="2"/>
  <c r="E1065" i="2"/>
  <c r="G1065" i="2" s="1"/>
  <c r="H1064" i="2"/>
  <c r="E1064" i="2"/>
  <c r="G1064" i="2" s="1"/>
  <c r="H1063" i="2"/>
  <c r="G1063" i="2"/>
  <c r="H1062" i="2"/>
  <c r="G1062" i="2"/>
  <c r="H1061" i="2"/>
  <c r="E1061" i="2"/>
  <c r="G1061" i="2" s="1"/>
  <c r="H1060" i="2"/>
  <c r="E1060" i="2"/>
  <c r="G1060" i="2" s="1"/>
  <c r="H1059" i="2"/>
  <c r="E1059" i="2"/>
  <c r="G1059" i="2" s="1"/>
  <c r="H1058" i="2"/>
  <c r="E1058" i="2"/>
  <c r="G1058" i="2" s="1"/>
  <c r="H1057" i="2"/>
  <c r="E1057" i="2"/>
  <c r="G1057" i="2" s="1"/>
  <c r="H1056" i="2"/>
  <c r="E1056" i="2"/>
  <c r="G1056" i="2" s="1"/>
  <c r="H1055" i="2"/>
  <c r="E1055" i="2"/>
  <c r="G1055" i="2" s="1"/>
  <c r="H1054" i="2"/>
  <c r="E1054" i="2"/>
  <c r="G1054" i="2" s="1"/>
  <c r="H1053" i="2"/>
  <c r="E1053" i="2"/>
  <c r="G1053" i="2" s="1"/>
  <c r="H1052" i="2"/>
  <c r="E1052" i="2"/>
  <c r="G1052" i="2" s="1"/>
  <c r="H1051" i="2"/>
  <c r="E1051" i="2"/>
  <c r="G1051" i="2" s="1"/>
  <c r="H1050" i="2"/>
  <c r="E1050" i="2"/>
  <c r="G1050" i="2" s="1"/>
  <c r="H1049" i="2"/>
  <c r="E1049" i="2"/>
  <c r="G1049" i="2" s="1"/>
  <c r="H1048" i="2"/>
  <c r="E1048" i="2"/>
  <c r="G1048" i="2" s="1"/>
  <c r="H1047" i="2"/>
  <c r="E1047" i="2"/>
  <c r="G1047" i="2" s="1"/>
  <c r="H1046" i="2"/>
  <c r="G1046" i="2"/>
  <c r="H1045" i="2"/>
  <c r="E1045" i="2"/>
  <c r="G1045" i="2" s="1"/>
  <c r="H1044" i="2"/>
  <c r="E1044" i="2"/>
  <c r="G1044" i="2" s="1"/>
  <c r="H1043" i="2"/>
  <c r="E1043" i="2"/>
  <c r="G1043" i="2" s="1"/>
  <c r="H1042" i="2"/>
  <c r="E1042" i="2"/>
  <c r="G1042" i="2" s="1"/>
  <c r="H1041" i="2"/>
  <c r="E1041" i="2"/>
  <c r="G1041" i="2" s="1"/>
  <c r="H1040" i="2"/>
  <c r="E1040" i="2"/>
  <c r="G1040" i="2" s="1"/>
  <c r="H1039" i="2"/>
  <c r="E1039" i="2"/>
  <c r="G1039" i="2" s="1"/>
  <c r="H1038" i="2"/>
  <c r="E1038" i="2"/>
  <c r="G1038" i="2" s="1"/>
  <c r="H1037" i="2"/>
  <c r="E1037" i="2"/>
  <c r="G1037" i="2" s="1"/>
  <c r="H1036" i="2"/>
  <c r="E1036" i="2"/>
  <c r="G1036" i="2" s="1"/>
  <c r="H1035" i="2"/>
  <c r="E1035" i="2"/>
  <c r="G1035" i="2" s="1"/>
  <c r="H1034" i="2"/>
  <c r="E1034" i="2"/>
  <c r="G1034" i="2" s="1"/>
  <c r="H1033" i="2"/>
  <c r="E1033" i="2"/>
  <c r="G1033" i="2" s="1"/>
  <c r="H1032" i="2"/>
  <c r="E1032" i="2"/>
  <c r="G1032" i="2" s="1"/>
  <c r="H1031" i="2"/>
  <c r="E1031" i="2"/>
  <c r="G1031" i="2" s="1"/>
  <c r="H1030" i="2"/>
  <c r="E1030" i="2"/>
  <c r="G1030" i="2" s="1"/>
  <c r="H1029" i="2"/>
  <c r="E1029" i="2"/>
  <c r="G1029" i="2" s="1"/>
  <c r="H1028" i="2"/>
  <c r="E1028" i="2"/>
  <c r="G1028" i="2" s="1"/>
  <c r="H1027" i="2"/>
  <c r="E1027" i="2"/>
  <c r="G1027" i="2" s="1"/>
  <c r="H1026" i="2"/>
  <c r="E1026" i="2"/>
  <c r="G1026" i="2" s="1"/>
  <c r="H1025" i="2"/>
  <c r="E1025" i="2"/>
  <c r="G1025" i="2" s="1"/>
  <c r="H1024" i="2"/>
  <c r="E1024" i="2"/>
  <c r="G1024" i="2" s="1"/>
  <c r="H1023" i="2"/>
  <c r="E1023" i="2"/>
  <c r="G1023" i="2" s="1"/>
  <c r="H1022" i="2"/>
  <c r="E1022" i="2"/>
  <c r="G1022" i="2" s="1"/>
  <c r="H1021" i="2"/>
  <c r="E1021" i="2"/>
  <c r="G1021" i="2" s="1"/>
  <c r="H1020" i="2"/>
  <c r="E1020" i="2"/>
  <c r="G1020" i="2" s="1"/>
  <c r="H1019" i="2"/>
  <c r="E1019" i="2"/>
  <c r="G1019" i="2" s="1"/>
  <c r="H1018" i="2"/>
  <c r="E1018" i="2"/>
  <c r="G1018" i="2" s="1"/>
  <c r="H1017" i="2"/>
  <c r="E1017" i="2"/>
  <c r="G1017" i="2" s="1"/>
  <c r="H1016" i="2"/>
  <c r="E1016" i="2"/>
  <c r="G1016" i="2" s="1"/>
  <c r="H1015" i="2"/>
  <c r="E1015" i="2"/>
  <c r="G1015" i="2" s="1"/>
  <c r="H1014" i="2"/>
  <c r="G1014" i="2"/>
  <c r="H1013" i="2"/>
  <c r="E1013" i="2"/>
  <c r="G1013" i="2" s="1"/>
  <c r="H1012" i="2"/>
  <c r="E1012" i="2"/>
  <c r="G1012" i="2" s="1"/>
  <c r="H1011" i="2"/>
  <c r="E1011" i="2"/>
  <c r="G1011" i="2" s="1"/>
  <c r="H1010" i="2"/>
  <c r="E1010" i="2"/>
  <c r="G1010" i="2" s="1"/>
  <c r="H1009" i="2"/>
  <c r="E1009" i="2"/>
  <c r="G1009" i="2" s="1"/>
  <c r="H1008" i="2"/>
  <c r="E1008" i="2"/>
  <c r="G1008" i="2" s="1"/>
  <c r="H1007" i="2"/>
  <c r="E1007" i="2"/>
  <c r="G1007" i="2" s="1"/>
  <c r="H1006" i="2"/>
  <c r="E1006" i="2"/>
  <c r="G1006" i="2" s="1"/>
  <c r="H1005" i="2"/>
  <c r="E1005" i="2"/>
  <c r="G1005" i="2" s="1"/>
  <c r="H1004" i="2"/>
  <c r="E1004" i="2"/>
  <c r="G1004" i="2" s="1"/>
  <c r="H1003" i="2"/>
  <c r="E1003" i="2"/>
  <c r="G1003" i="2" s="1"/>
  <c r="H1002" i="2"/>
  <c r="E1002" i="2"/>
  <c r="G1002" i="2" s="1"/>
  <c r="H1001" i="2"/>
  <c r="G1001" i="2"/>
  <c r="H1000" i="2"/>
  <c r="E1000" i="2"/>
  <c r="G1000" i="2" s="1"/>
  <c r="H999" i="2"/>
  <c r="E999" i="2"/>
  <c r="G999" i="2" s="1"/>
  <c r="H998" i="2"/>
  <c r="E998" i="2"/>
  <c r="G998" i="2" s="1"/>
  <c r="H997" i="2"/>
  <c r="E997" i="2"/>
  <c r="G997" i="2" s="1"/>
  <c r="H996" i="2"/>
  <c r="E996" i="2"/>
  <c r="G996" i="2" s="1"/>
  <c r="H995" i="2"/>
  <c r="E995" i="2"/>
  <c r="G995" i="2" s="1"/>
  <c r="H994" i="2"/>
  <c r="E994" i="2"/>
  <c r="G994" i="2" s="1"/>
  <c r="H993" i="2"/>
  <c r="E993" i="2"/>
  <c r="G993" i="2" s="1"/>
  <c r="H992" i="2"/>
  <c r="E992" i="2"/>
  <c r="G992" i="2" s="1"/>
  <c r="H991" i="2"/>
  <c r="E991" i="2"/>
  <c r="G991" i="2" s="1"/>
  <c r="H990" i="2"/>
  <c r="G990" i="2"/>
  <c r="H989" i="2"/>
  <c r="E989" i="2"/>
  <c r="G989" i="2" s="1"/>
  <c r="H988" i="2"/>
  <c r="E988" i="2"/>
  <c r="G988" i="2" s="1"/>
  <c r="H987" i="2"/>
  <c r="E987" i="2"/>
  <c r="G987" i="2" s="1"/>
  <c r="H986" i="2"/>
  <c r="E986" i="2"/>
  <c r="G986" i="2" s="1"/>
  <c r="H985" i="2"/>
  <c r="E985" i="2"/>
  <c r="G985" i="2" s="1"/>
  <c r="H984" i="2"/>
  <c r="E984" i="2"/>
  <c r="G984" i="2" s="1"/>
  <c r="H983" i="2"/>
  <c r="E983" i="2"/>
  <c r="G983" i="2" s="1"/>
  <c r="H982" i="2"/>
  <c r="E982" i="2"/>
  <c r="G982" i="2" s="1"/>
  <c r="H981" i="2"/>
  <c r="E981" i="2"/>
  <c r="G981" i="2" s="1"/>
  <c r="H980" i="2"/>
  <c r="E980" i="2"/>
  <c r="G980" i="2" s="1"/>
  <c r="H979" i="2"/>
  <c r="E979" i="2"/>
  <c r="G979" i="2" s="1"/>
  <c r="H978" i="2"/>
  <c r="E978" i="2"/>
  <c r="G978" i="2" s="1"/>
  <c r="H977" i="2"/>
  <c r="G977" i="2"/>
  <c r="H976" i="2"/>
  <c r="E976" i="2"/>
  <c r="G976" i="2" s="1"/>
  <c r="H975" i="2"/>
  <c r="E975" i="2"/>
  <c r="G975" i="2" s="1"/>
  <c r="H974" i="2"/>
  <c r="E974" i="2"/>
  <c r="G974" i="2" s="1"/>
  <c r="H973" i="2"/>
  <c r="E973" i="2"/>
  <c r="G973" i="2" s="1"/>
  <c r="H972" i="2"/>
  <c r="E972" i="2"/>
  <c r="G972" i="2" s="1"/>
  <c r="H971" i="2"/>
  <c r="E971" i="2"/>
  <c r="G971" i="2" s="1"/>
  <c r="H970" i="2"/>
  <c r="E970" i="2"/>
  <c r="G970" i="2" s="1"/>
  <c r="H969" i="2"/>
  <c r="E969" i="2"/>
  <c r="G969" i="2" s="1"/>
  <c r="H968" i="2"/>
  <c r="E968" i="2"/>
  <c r="G968" i="2" s="1"/>
  <c r="H967" i="2"/>
  <c r="E967" i="2"/>
  <c r="G967" i="2" s="1"/>
  <c r="H966" i="2"/>
  <c r="E966" i="2"/>
  <c r="G966" i="2" s="1"/>
  <c r="H965" i="2"/>
  <c r="E965" i="2"/>
  <c r="G965" i="2" s="1"/>
  <c r="H964" i="2"/>
  <c r="E964" i="2"/>
  <c r="G964" i="2" s="1"/>
  <c r="H963" i="2"/>
  <c r="E963" i="2"/>
  <c r="G963" i="2" s="1"/>
  <c r="H962" i="2"/>
  <c r="E962" i="2"/>
  <c r="G962" i="2" s="1"/>
  <c r="H961" i="2"/>
  <c r="E961" i="2"/>
  <c r="G961" i="2" s="1"/>
  <c r="H960" i="2"/>
  <c r="E960" i="2"/>
  <c r="G960" i="2" s="1"/>
  <c r="H959" i="2"/>
  <c r="E959" i="2"/>
  <c r="G959" i="2" s="1"/>
  <c r="H958" i="2"/>
  <c r="E958" i="2"/>
  <c r="G958" i="2" s="1"/>
  <c r="H957" i="2"/>
  <c r="E957" i="2"/>
  <c r="G957" i="2" s="1"/>
  <c r="H956" i="2"/>
  <c r="E956" i="2"/>
  <c r="G956" i="2" s="1"/>
  <c r="H955" i="2"/>
  <c r="E955" i="2"/>
  <c r="G955" i="2" s="1"/>
  <c r="H954" i="2"/>
  <c r="E954" i="2"/>
  <c r="G954" i="2" s="1"/>
  <c r="H953" i="2"/>
  <c r="E953" i="2"/>
  <c r="G953" i="2" s="1"/>
  <c r="H952" i="2"/>
  <c r="E952" i="2"/>
  <c r="G952" i="2" s="1"/>
  <c r="H951" i="2"/>
  <c r="E951" i="2"/>
  <c r="G951" i="2" s="1"/>
  <c r="H950" i="2"/>
  <c r="E950" i="2"/>
  <c r="G950" i="2" s="1"/>
  <c r="H949" i="2"/>
  <c r="E949" i="2"/>
  <c r="G949" i="2" s="1"/>
  <c r="H948" i="2"/>
  <c r="E948" i="2"/>
  <c r="G948" i="2" s="1"/>
  <c r="H947" i="2"/>
  <c r="E947" i="2"/>
  <c r="G947" i="2" s="1"/>
  <c r="H946" i="2"/>
  <c r="E946" i="2"/>
  <c r="G946" i="2" s="1"/>
  <c r="H945" i="2"/>
  <c r="E945" i="2"/>
  <c r="G945" i="2" s="1"/>
  <c r="H944" i="2"/>
  <c r="G944" i="2"/>
  <c r="H943" i="2"/>
  <c r="G943" i="2"/>
  <c r="H942" i="2"/>
  <c r="E942" i="2"/>
  <c r="G942" i="2" s="1"/>
  <c r="H941" i="2"/>
  <c r="E941" i="2"/>
  <c r="G941" i="2" s="1"/>
  <c r="H940" i="2"/>
  <c r="E940" i="2"/>
  <c r="G940" i="2" s="1"/>
  <c r="H939" i="2"/>
  <c r="E939" i="2"/>
  <c r="G939" i="2" s="1"/>
  <c r="H938" i="2"/>
  <c r="E938" i="2"/>
  <c r="G938" i="2" s="1"/>
  <c r="H937" i="2"/>
  <c r="E937" i="2"/>
  <c r="G937" i="2" s="1"/>
  <c r="H936" i="2"/>
  <c r="E936" i="2"/>
  <c r="G936" i="2" s="1"/>
  <c r="H935" i="2"/>
  <c r="E935" i="2"/>
  <c r="G935" i="2" s="1"/>
  <c r="H934" i="2"/>
  <c r="E934" i="2"/>
  <c r="G934" i="2" s="1"/>
  <c r="H933" i="2"/>
  <c r="G933" i="2"/>
  <c r="H932" i="2"/>
  <c r="E932" i="2"/>
  <c r="G932" i="2" s="1"/>
  <c r="H931" i="2"/>
  <c r="E931" i="2"/>
  <c r="G931" i="2" s="1"/>
  <c r="H930" i="2"/>
  <c r="E930" i="2"/>
  <c r="G930" i="2" s="1"/>
  <c r="H929" i="2"/>
  <c r="E929" i="2"/>
  <c r="G929" i="2" s="1"/>
  <c r="H928" i="2"/>
  <c r="E928" i="2"/>
  <c r="G928" i="2" s="1"/>
  <c r="H927" i="2"/>
  <c r="E927" i="2"/>
  <c r="G927" i="2" s="1"/>
  <c r="H926" i="2"/>
  <c r="E926" i="2"/>
  <c r="G926" i="2" s="1"/>
  <c r="H925" i="2"/>
  <c r="E925" i="2"/>
  <c r="G925" i="2" s="1"/>
  <c r="H924" i="2"/>
  <c r="G924" i="2"/>
  <c r="H923" i="2"/>
  <c r="G923" i="2"/>
  <c r="H922" i="2"/>
  <c r="G922" i="2"/>
  <c r="H921" i="2"/>
  <c r="E921" i="2"/>
  <c r="G921" i="2" s="1"/>
  <c r="H920" i="2"/>
  <c r="E920" i="2"/>
  <c r="G920" i="2" s="1"/>
  <c r="H919" i="2"/>
  <c r="E919" i="2"/>
  <c r="G919" i="2" s="1"/>
  <c r="H918" i="2"/>
  <c r="E918" i="2"/>
  <c r="G918" i="2" s="1"/>
  <c r="H917" i="2"/>
  <c r="E917" i="2"/>
  <c r="G917" i="2" s="1"/>
  <c r="H916" i="2"/>
  <c r="E916" i="2"/>
  <c r="G916" i="2" s="1"/>
  <c r="H915" i="2"/>
  <c r="E915" i="2"/>
  <c r="G915" i="2" s="1"/>
  <c r="H914" i="2"/>
  <c r="E914" i="2"/>
  <c r="G914" i="2" s="1"/>
  <c r="H913" i="2"/>
  <c r="E913" i="2"/>
  <c r="G913" i="2" s="1"/>
  <c r="H912" i="2"/>
  <c r="E912" i="2"/>
  <c r="G912" i="2" s="1"/>
  <c r="H911" i="2"/>
  <c r="E911" i="2"/>
  <c r="G911" i="2" s="1"/>
  <c r="H910" i="2"/>
  <c r="E910" i="2"/>
  <c r="G910" i="2" s="1"/>
  <c r="H909" i="2"/>
  <c r="E909" i="2"/>
  <c r="G909" i="2" s="1"/>
  <c r="H908" i="2"/>
  <c r="E908" i="2"/>
  <c r="G908" i="2" s="1"/>
  <c r="H907" i="2"/>
  <c r="E907" i="2"/>
  <c r="G907" i="2" s="1"/>
  <c r="H906" i="2"/>
  <c r="E906" i="2"/>
  <c r="G906" i="2" s="1"/>
  <c r="H905" i="2"/>
  <c r="E905" i="2"/>
  <c r="G905" i="2" s="1"/>
  <c r="H904" i="2"/>
  <c r="E904" i="2"/>
  <c r="G904" i="2" s="1"/>
  <c r="H903" i="2"/>
  <c r="E903" i="2"/>
  <c r="G903" i="2" s="1"/>
  <c r="H902" i="2"/>
  <c r="E902" i="2"/>
  <c r="G902" i="2" s="1"/>
  <c r="H901" i="2"/>
  <c r="E901" i="2"/>
  <c r="G901" i="2" s="1"/>
  <c r="H900" i="2"/>
  <c r="E900" i="2"/>
  <c r="G900" i="2" s="1"/>
  <c r="H899" i="2"/>
  <c r="E899" i="2"/>
  <c r="G899" i="2" s="1"/>
  <c r="H898" i="2"/>
  <c r="E898" i="2"/>
  <c r="G898" i="2" s="1"/>
  <c r="H897" i="2"/>
  <c r="E897" i="2"/>
  <c r="G897" i="2" s="1"/>
  <c r="H896" i="2"/>
  <c r="E896" i="2"/>
  <c r="G896" i="2" s="1"/>
  <c r="H895" i="2"/>
  <c r="E895" i="2"/>
  <c r="G895" i="2" s="1"/>
  <c r="H894" i="2"/>
  <c r="E894" i="2"/>
  <c r="G894" i="2" s="1"/>
  <c r="H893" i="2"/>
  <c r="E893" i="2"/>
  <c r="G893" i="2" s="1"/>
  <c r="H892" i="2"/>
  <c r="E892" i="2"/>
  <c r="G892" i="2" s="1"/>
  <c r="H891" i="2"/>
  <c r="E891" i="2"/>
  <c r="G891" i="2" s="1"/>
  <c r="H890" i="2"/>
  <c r="E890" i="2"/>
  <c r="G890" i="2" s="1"/>
  <c r="H889" i="2"/>
  <c r="E889" i="2"/>
  <c r="G889" i="2" s="1"/>
  <c r="H888" i="2"/>
  <c r="G888" i="2"/>
  <c r="H887" i="2"/>
  <c r="E887" i="2"/>
  <c r="G887" i="2" s="1"/>
  <c r="H886" i="2"/>
  <c r="E886" i="2"/>
  <c r="G886" i="2" s="1"/>
  <c r="H885" i="2"/>
  <c r="E885" i="2"/>
  <c r="G885" i="2" s="1"/>
  <c r="H884" i="2"/>
  <c r="E884" i="2"/>
  <c r="G884" i="2" s="1"/>
  <c r="H883" i="2"/>
  <c r="E883" i="2"/>
  <c r="G883" i="2" s="1"/>
  <c r="H882" i="2"/>
  <c r="E882" i="2"/>
  <c r="G882" i="2" s="1"/>
  <c r="H881" i="2"/>
  <c r="E881" i="2"/>
  <c r="G881" i="2" s="1"/>
  <c r="H880" i="2"/>
  <c r="E880" i="2"/>
  <c r="G880" i="2" s="1"/>
  <c r="H879" i="2"/>
  <c r="E879" i="2"/>
  <c r="G879" i="2" s="1"/>
  <c r="H878" i="2"/>
  <c r="E878" i="2"/>
  <c r="G878" i="2" s="1"/>
  <c r="H877" i="2"/>
  <c r="E877" i="2"/>
  <c r="G877" i="2" s="1"/>
  <c r="H876" i="2"/>
  <c r="G876" i="2"/>
  <c r="H875" i="2"/>
  <c r="E875" i="2"/>
  <c r="G875" i="2" s="1"/>
  <c r="H874" i="2"/>
  <c r="E874" i="2"/>
  <c r="G874" i="2" s="1"/>
  <c r="H873" i="2"/>
  <c r="E873" i="2"/>
  <c r="G873" i="2" s="1"/>
  <c r="H872" i="2"/>
  <c r="E872" i="2"/>
  <c r="G872" i="2" s="1"/>
  <c r="H871" i="2"/>
  <c r="E871" i="2"/>
  <c r="G871" i="2" s="1"/>
  <c r="H870" i="2"/>
  <c r="E870" i="2"/>
  <c r="G870" i="2" s="1"/>
  <c r="H869" i="2"/>
  <c r="E869" i="2"/>
  <c r="G869" i="2" s="1"/>
  <c r="H868" i="2"/>
  <c r="E868" i="2"/>
  <c r="G868" i="2" s="1"/>
  <c r="H867" i="2"/>
  <c r="E867" i="2"/>
  <c r="G867" i="2" s="1"/>
  <c r="H866" i="2"/>
  <c r="E866" i="2"/>
  <c r="G866" i="2" s="1"/>
  <c r="H865" i="2"/>
  <c r="E865" i="2"/>
  <c r="G865" i="2" s="1"/>
  <c r="H864" i="2"/>
  <c r="E864" i="2"/>
  <c r="G864" i="2" s="1"/>
  <c r="H863" i="2"/>
  <c r="E863" i="2"/>
  <c r="G863" i="2" s="1"/>
  <c r="H862" i="2"/>
  <c r="E862" i="2"/>
  <c r="G862" i="2" s="1"/>
  <c r="H861" i="2"/>
  <c r="E861" i="2"/>
  <c r="G861" i="2" s="1"/>
  <c r="H860" i="2"/>
  <c r="E860" i="2"/>
  <c r="G860" i="2" s="1"/>
  <c r="H859" i="2"/>
  <c r="E859" i="2"/>
  <c r="G859" i="2" s="1"/>
  <c r="H858" i="2"/>
  <c r="E858" i="2"/>
  <c r="G858" i="2" s="1"/>
  <c r="H857" i="2"/>
  <c r="E857" i="2"/>
  <c r="G857" i="2" s="1"/>
  <c r="H856" i="2"/>
  <c r="E856" i="2"/>
  <c r="G856" i="2" s="1"/>
  <c r="H855" i="2"/>
  <c r="E855" i="2"/>
  <c r="G855" i="2" s="1"/>
  <c r="H854" i="2"/>
  <c r="E854" i="2"/>
  <c r="G854" i="2" s="1"/>
  <c r="H853" i="2"/>
  <c r="E853" i="2"/>
  <c r="G853" i="2" s="1"/>
  <c r="H852" i="2"/>
  <c r="G852" i="2"/>
  <c r="H851" i="2"/>
  <c r="E851" i="2"/>
  <c r="G851" i="2" s="1"/>
  <c r="H850" i="2"/>
  <c r="E850" i="2"/>
  <c r="G850" i="2" s="1"/>
  <c r="H849" i="2"/>
  <c r="E849" i="2"/>
  <c r="G849" i="2" s="1"/>
  <c r="H848" i="2"/>
  <c r="E848" i="2"/>
  <c r="G848" i="2" s="1"/>
  <c r="H847" i="2"/>
  <c r="E847" i="2"/>
  <c r="G847" i="2" s="1"/>
  <c r="H846" i="2"/>
  <c r="E846" i="2"/>
  <c r="G846" i="2" s="1"/>
  <c r="H845" i="2"/>
  <c r="E845" i="2"/>
  <c r="G845" i="2" s="1"/>
  <c r="H844" i="2"/>
  <c r="E844" i="2"/>
  <c r="G844" i="2" s="1"/>
  <c r="H843" i="2"/>
  <c r="E843" i="2"/>
  <c r="G843" i="2" s="1"/>
  <c r="H842" i="2"/>
  <c r="E842" i="2"/>
  <c r="G842" i="2" s="1"/>
  <c r="H841" i="2"/>
  <c r="E841" i="2"/>
  <c r="G841" i="2" s="1"/>
  <c r="H840" i="2"/>
  <c r="E840" i="2"/>
  <c r="G840" i="2" s="1"/>
  <c r="H839" i="2"/>
  <c r="E839" i="2"/>
  <c r="G839" i="2" s="1"/>
  <c r="H838" i="2"/>
  <c r="E838" i="2"/>
  <c r="G838" i="2" s="1"/>
  <c r="H837" i="2"/>
  <c r="E837" i="2"/>
  <c r="G837" i="2" s="1"/>
  <c r="H836" i="2"/>
  <c r="E836" i="2"/>
  <c r="G836" i="2" s="1"/>
  <c r="H835" i="2"/>
  <c r="E835" i="2"/>
  <c r="G835" i="2" s="1"/>
  <c r="H834" i="2"/>
  <c r="G834" i="2"/>
  <c r="H833" i="2"/>
  <c r="E833" i="2"/>
  <c r="G833" i="2" s="1"/>
  <c r="H832" i="2"/>
  <c r="E832" i="2"/>
  <c r="G832" i="2" s="1"/>
  <c r="H831" i="2"/>
  <c r="E831" i="2"/>
  <c r="G831" i="2" s="1"/>
  <c r="H830" i="2"/>
  <c r="E830" i="2"/>
  <c r="G830" i="2" s="1"/>
  <c r="H829" i="2"/>
  <c r="E829" i="2"/>
  <c r="G829" i="2" s="1"/>
  <c r="H828" i="2"/>
  <c r="E828" i="2"/>
  <c r="G828" i="2" s="1"/>
  <c r="H827" i="2"/>
  <c r="E827" i="2"/>
  <c r="G827" i="2" s="1"/>
  <c r="H826" i="2"/>
  <c r="E826" i="2"/>
  <c r="G826" i="2" s="1"/>
  <c r="H825" i="2"/>
  <c r="E825" i="2"/>
  <c r="G825" i="2" s="1"/>
  <c r="H824" i="2"/>
  <c r="E824" i="2"/>
  <c r="G824" i="2" s="1"/>
  <c r="H823" i="2"/>
  <c r="E823" i="2"/>
  <c r="G823" i="2" s="1"/>
  <c r="H822" i="2"/>
  <c r="E822" i="2"/>
  <c r="G822" i="2" s="1"/>
  <c r="H821" i="2"/>
  <c r="E821" i="2"/>
  <c r="G821" i="2" s="1"/>
  <c r="H820" i="2"/>
  <c r="E820" i="2"/>
  <c r="G820" i="2" s="1"/>
  <c r="H819" i="2"/>
  <c r="E819" i="2"/>
  <c r="G819" i="2" s="1"/>
  <c r="H818" i="2"/>
  <c r="E818" i="2"/>
  <c r="G818" i="2" s="1"/>
  <c r="H817" i="2"/>
  <c r="E817" i="2"/>
  <c r="G817" i="2" s="1"/>
  <c r="H816" i="2"/>
  <c r="G816" i="2"/>
  <c r="H815" i="2"/>
  <c r="E815" i="2"/>
  <c r="G815" i="2" s="1"/>
  <c r="H814" i="2"/>
  <c r="E814" i="2"/>
  <c r="G814" i="2" s="1"/>
  <c r="H813" i="2"/>
  <c r="E813" i="2"/>
  <c r="G813" i="2" s="1"/>
  <c r="H812" i="2"/>
  <c r="E812" i="2"/>
  <c r="G812" i="2" s="1"/>
  <c r="H811" i="2"/>
  <c r="E811" i="2"/>
  <c r="G811" i="2" s="1"/>
  <c r="H810" i="2"/>
  <c r="E810" i="2"/>
  <c r="G810" i="2" s="1"/>
  <c r="H809" i="2"/>
  <c r="E809" i="2"/>
  <c r="G809" i="2" s="1"/>
  <c r="H808" i="2"/>
  <c r="E808" i="2"/>
  <c r="G808" i="2" s="1"/>
  <c r="H807" i="2"/>
  <c r="E807" i="2"/>
  <c r="G807" i="2" s="1"/>
  <c r="H806" i="2"/>
  <c r="E806" i="2"/>
  <c r="G806" i="2" s="1"/>
  <c r="H805" i="2"/>
  <c r="E805" i="2"/>
  <c r="G805" i="2" s="1"/>
  <c r="H804" i="2"/>
  <c r="E804" i="2"/>
  <c r="G804" i="2" s="1"/>
  <c r="H803" i="2"/>
  <c r="E803" i="2"/>
  <c r="G803" i="2" s="1"/>
  <c r="H802" i="2"/>
  <c r="E802" i="2"/>
  <c r="G802" i="2" s="1"/>
  <c r="H801" i="2"/>
  <c r="E801" i="2"/>
  <c r="G801" i="2" s="1"/>
  <c r="H800" i="2"/>
  <c r="G800" i="2"/>
  <c r="H799" i="2"/>
  <c r="E799" i="2"/>
  <c r="G799" i="2" s="1"/>
  <c r="H798" i="2"/>
  <c r="E798" i="2"/>
  <c r="G798" i="2" s="1"/>
  <c r="H797" i="2"/>
  <c r="E797" i="2"/>
  <c r="G797" i="2" s="1"/>
  <c r="H796" i="2"/>
  <c r="G796" i="2"/>
  <c r="H795" i="2"/>
  <c r="E795" i="2"/>
  <c r="G795" i="2" s="1"/>
  <c r="H794" i="2"/>
  <c r="E794" i="2"/>
  <c r="G794" i="2" s="1"/>
  <c r="H793" i="2"/>
  <c r="E793" i="2"/>
  <c r="G793" i="2" s="1"/>
  <c r="H792" i="2"/>
  <c r="E792" i="2"/>
  <c r="G792" i="2" s="1"/>
  <c r="H791" i="2"/>
  <c r="E791" i="2"/>
  <c r="G791" i="2" s="1"/>
  <c r="H790" i="2"/>
  <c r="E790" i="2"/>
  <c r="G790" i="2" s="1"/>
  <c r="H789" i="2"/>
  <c r="E789" i="2"/>
  <c r="G789" i="2" s="1"/>
  <c r="H788" i="2"/>
  <c r="E788" i="2"/>
  <c r="G788" i="2" s="1"/>
  <c r="H787" i="2"/>
  <c r="E787" i="2"/>
  <c r="G787" i="2" s="1"/>
  <c r="H786" i="2"/>
  <c r="E786" i="2"/>
  <c r="G786" i="2" s="1"/>
  <c r="H785" i="2"/>
  <c r="E785" i="2"/>
  <c r="G785" i="2" s="1"/>
  <c r="H784" i="2"/>
  <c r="E784" i="2"/>
  <c r="G784" i="2" s="1"/>
  <c r="H783" i="2"/>
  <c r="E783" i="2"/>
  <c r="G783" i="2" s="1"/>
  <c r="H782" i="2"/>
  <c r="E782" i="2"/>
  <c r="G782" i="2" s="1"/>
  <c r="H781" i="2"/>
  <c r="E781" i="2"/>
  <c r="G781" i="2" s="1"/>
  <c r="H780" i="2"/>
  <c r="E780" i="2"/>
  <c r="G780" i="2" s="1"/>
  <c r="H779" i="2"/>
  <c r="E779" i="2"/>
  <c r="G779" i="2" s="1"/>
  <c r="H778" i="2"/>
  <c r="E778" i="2"/>
  <c r="G778" i="2" s="1"/>
  <c r="H777" i="2"/>
  <c r="E777" i="2"/>
  <c r="G777" i="2" s="1"/>
  <c r="H776" i="2"/>
  <c r="E776" i="2"/>
  <c r="G776" i="2" s="1"/>
  <c r="H775" i="2"/>
  <c r="E775" i="2"/>
  <c r="G775" i="2" s="1"/>
  <c r="H774" i="2"/>
  <c r="E774" i="2"/>
  <c r="G774" i="2" s="1"/>
  <c r="H773" i="2"/>
  <c r="E773" i="2"/>
  <c r="G773" i="2" s="1"/>
  <c r="H772" i="2"/>
  <c r="E772" i="2"/>
  <c r="G772" i="2" s="1"/>
  <c r="H771" i="2"/>
  <c r="E771" i="2"/>
  <c r="G771" i="2" s="1"/>
  <c r="H770" i="2"/>
  <c r="E770" i="2"/>
  <c r="G770" i="2" s="1"/>
  <c r="H769" i="2"/>
  <c r="E769" i="2"/>
  <c r="G769" i="2" s="1"/>
  <c r="H768" i="2"/>
  <c r="E768" i="2"/>
  <c r="G768" i="2" s="1"/>
  <c r="H767" i="2"/>
  <c r="E767" i="2"/>
  <c r="G767" i="2" s="1"/>
  <c r="H766" i="2"/>
  <c r="E766" i="2"/>
  <c r="G766" i="2" s="1"/>
  <c r="H765" i="2"/>
  <c r="E765" i="2"/>
  <c r="G765" i="2" s="1"/>
  <c r="H764" i="2"/>
  <c r="E764" i="2"/>
  <c r="G764" i="2" s="1"/>
  <c r="H763" i="2"/>
  <c r="E763" i="2"/>
  <c r="G763" i="2" s="1"/>
  <c r="H762" i="2"/>
  <c r="E762" i="2"/>
  <c r="G762" i="2" s="1"/>
  <c r="H761" i="2"/>
  <c r="E761" i="2"/>
  <c r="G761" i="2" s="1"/>
  <c r="H760" i="2"/>
  <c r="G760" i="2"/>
  <c r="H759" i="2"/>
  <c r="E759" i="2"/>
  <c r="G759" i="2" s="1"/>
  <c r="H758" i="2"/>
  <c r="E758" i="2"/>
  <c r="G758" i="2" s="1"/>
  <c r="H757" i="2"/>
  <c r="E757" i="2"/>
  <c r="G757" i="2" s="1"/>
  <c r="H756" i="2"/>
  <c r="E756" i="2"/>
  <c r="G756" i="2" s="1"/>
  <c r="H755" i="2"/>
  <c r="E755" i="2"/>
  <c r="G755" i="2" s="1"/>
  <c r="H754" i="2"/>
  <c r="E754" i="2"/>
  <c r="G754" i="2" s="1"/>
  <c r="H753" i="2"/>
  <c r="E753" i="2"/>
  <c r="G753" i="2" s="1"/>
  <c r="H752" i="2"/>
  <c r="E752" i="2"/>
  <c r="G752" i="2" s="1"/>
  <c r="H751" i="2"/>
  <c r="E751" i="2"/>
  <c r="G751" i="2" s="1"/>
  <c r="H750" i="2"/>
  <c r="E750" i="2"/>
  <c r="G750" i="2" s="1"/>
  <c r="H749" i="2"/>
  <c r="E749" i="2"/>
  <c r="G749" i="2" s="1"/>
  <c r="H748" i="2"/>
  <c r="E748" i="2"/>
  <c r="G748" i="2" s="1"/>
  <c r="H747" i="2"/>
  <c r="E747" i="2"/>
  <c r="G747" i="2" s="1"/>
  <c r="H746" i="2"/>
  <c r="E746" i="2"/>
  <c r="G746" i="2" s="1"/>
  <c r="H745" i="2"/>
  <c r="E745" i="2"/>
  <c r="G745" i="2" s="1"/>
  <c r="H744" i="2"/>
  <c r="E744" i="2"/>
  <c r="G744" i="2" s="1"/>
  <c r="H743" i="2"/>
  <c r="E743" i="2"/>
  <c r="G743" i="2" s="1"/>
  <c r="H742" i="2"/>
  <c r="E742" i="2"/>
  <c r="G742" i="2" s="1"/>
  <c r="H741" i="2"/>
  <c r="E741" i="2"/>
  <c r="G741" i="2" s="1"/>
  <c r="H740" i="2"/>
  <c r="E740" i="2"/>
  <c r="G740" i="2" s="1"/>
  <c r="H739" i="2"/>
  <c r="E739" i="2"/>
  <c r="G739" i="2" s="1"/>
  <c r="H738" i="2"/>
  <c r="G738" i="2"/>
  <c r="H737" i="2"/>
  <c r="G737" i="2"/>
  <c r="H736" i="2"/>
  <c r="E736" i="2"/>
  <c r="G736" i="2" s="1"/>
  <c r="H735" i="2"/>
  <c r="E735" i="2"/>
  <c r="G735" i="2" s="1"/>
  <c r="H734" i="2"/>
  <c r="E734" i="2"/>
  <c r="G734" i="2" s="1"/>
  <c r="H733" i="2"/>
  <c r="E733" i="2"/>
  <c r="G733" i="2" s="1"/>
  <c r="H732" i="2"/>
  <c r="E732" i="2"/>
  <c r="G732" i="2" s="1"/>
  <c r="H731" i="2"/>
  <c r="E731" i="2"/>
  <c r="G731" i="2" s="1"/>
  <c r="H730" i="2"/>
  <c r="E730" i="2"/>
  <c r="G730" i="2" s="1"/>
  <c r="H729" i="2"/>
  <c r="E729" i="2"/>
  <c r="G729" i="2" s="1"/>
  <c r="H728" i="2"/>
  <c r="E728" i="2"/>
  <c r="G728" i="2" s="1"/>
  <c r="H727" i="2"/>
  <c r="E727" i="2"/>
  <c r="G727" i="2" s="1"/>
  <c r="H726" i="2"/>
  <c r="E726" i="2"/>
  <c r="G726" i="2" s="1"/>
  <c r="H725" i="2"/>
  <c r="E725" i="2"/>
  <c r="G725" i="2" s="1"/>
  <c r="H724" i="2"/>
  <c r="E724" i="2"/>
  <c r="G724" i="2" s="1"/>
  <c r="H723" i="2"/>
  <c r="E723" i="2"/>
  <c r="G723" i="2" s="1"/>
  <c r="H722" i="2"/>
  <c r="E722" i="2"/>
  <c r="G722" i="2" s="1"/>
  <c r="H721" i="2"/>
  <c r="E721" i="2"/>
  <c r="G721" i="2" s="1"/>
  <c r="H720" i="2"/>
  <c r="E720" i="2"/>
  <c r="G720" i="2" s="1"/>
  <c r="H719" i="2"/>
  <c r="G719" i="2"/>
  <c r="H718" i="2"/>
  <c r="G718" i="2"/>
  <c r="H717" i="2"/>
  <c r="E717" i="2"/>
  <c r="G717" i="2" s="1"/>
  <c r="H716" i="2"/>
  <c r="E716" i="2"/>
  <c r="G716" i="2" s="1"/>
  <c r="H715" i="2"/>
  <c r="E715" i="2"/>
  <c r="G715" i="2" s="1"/>
  <c r="H714" i="2"/>
  <c r="E714" i="2"/>
  <c r="G714" i="2" s="1"/>
  <c r="H713" i="2"/>
  <c r="E713" i="2"/>
  <c r="G713" i="2" s="1"/>
  <c r="H712" i="2"/>
  <c r="E712" i="2"/>
  <c r="G712" i="2" s="1"/>
  <c r="H711" i="2"/>
  <c r="E711" i="2"/>
  <c r="G711" i="2" s="1"/>
  <c r="H710" i="2"/>
  <c r="E710" i="2"/>
  <c r="G710" i="2" s="1"/>
  <c r="H709" i="2"/>
  <c r="E709" i="2"/>
  <c r="G709" i="2" s="1"/>
  <c r="H708" i="2"/>
  <c r="E708" i="2"/>
  <c r="G708" i="2" s="1"/>
  <c r="H707" i="2"/>
  <c r="E707" i="2"/>
  <c r="G707" i="2" s="1"/>
  <c r="H706" i="2"/>
  <c r="E706" i="2"/>
  <c r="G706" i="2" s="1"/>
  <c r="H705" i="2"/>
  <c r="E705" i="2"/>
  <c r="G705" i="2" s="1"/>
  <c r="H704" i="2"/>
  <c r="E704" i="2"/>
  <c r="G704" i="2" s="1"/>
  <c r="H703" i="2"/>
  <c r="E703" i="2"/>
  <c r="G703" i="2" s="1"/>
  <c r="H702" i="2"/>
  <c r="E702" i="2"/>
  <c r="G702" i="2" s="1"/>
  <c r="H701" i="2"/>
  <c r="E701" i="2"/>
  <c r="G701" i="2" s="1"/>
  <c r="H700" i="2"/>
  <c r="E700" i="2"/>
  <c r="G700" i="2" s="1"/>
  <c r="H699" i="2"/>
  <c r="E699" i="2"/>
  <c r="G699" i="2" s="1"/>
  <c r="H698" i="2"/>
  <c r="E698" i="2"/>
  <c r="G698" i="2" s="1"/>
  <c r="H697" i="2"/>
  <c r="E697" i="2"/>
  <c r="G697" i="2" s="1"/>
  <c r="H696" i="2"/>
  <c r="E696" i="2"/>
  <c r="G696" i="2" s="1"/>
  <c r="H695" i="2"/>
  <c r="E695" i="2"/>
  <c r="G695" i="2" s="1"/>
  <c r="H694" i="2"/>
  <c r="E694" i="2"/>
  <c r="G694" i="2" s="1"/>
  <c r="H693" i="2"/>
  <c r="E693" i="2"/>
  <c r="G693" i="2" s="1"/>
  <c r="H692" i="2"/>
  <c r="E692" i="2"/>
  <c r="G692" i="2" s="1"/>
  <c r="H691" i="2"/>
  <c r="E691" i="2"/>
  <c r="G691" i="2" s="1"/>
  <c r="H690" i="2"/>
  <c r="E690" i="2"/>
  <c r="G690" i="2" s="1"/>
  <c r="H689" i="2"/>
  <c r="E689" i="2"/>
  <c r="G689" i="2" s="1"/>
  <c r="H688" i="2"/>
  <c r="E688" i="2"/>
  <c r="G688" i="2" s="1"/>
  <c r="H687" i="2"/>
  <c r="E687" i="2"/>
  <c r="G687" i="2" s="1"/>
  <c r="H686" i="2"/>
  <c r="E686" i="2"/>
  <c r="G686" i="2" s="1"/>
  <c r="H685" i="2"/>
  <c r="E685" i="2"/>
  <c r="G685" i="2" s="1"/>
  <c r="H684" i="2"/>
  <c r="E684" i="2"/>
  <c r="G684" i="2" s="1"/>
  <c r="H683" i="2"/>
  <c r="E683" i="2"/>
  <c r="G683" i="2" s="1"/>
  <c r="H682" i="2"/>
  <c r="E682" i="2"/>
  <c r="G682" i="2" s="1"/>
  <c r="H681" i="2"/>
  <c r="E681" i="2"/>
  <c r="G681" i="2" s="1"/>
  <c r="H680" i="2"/>
  <c r="E680" i="2"/>
  <c r="G680" i="2" s="1"/>
  <c r="H679" i="2"/>
  <c r="E679" i="2"/>
  <c r="G679" i="2" s="1"/>
  <c r="H678" i="2"/>
  <c r="E678" i="2"/>
  <c r="G678" i="2" s="1"/>
  <c r="H677" i="2"/>
  <c r="E677" i="2"/>
  <c r="G677" i="2" s="1"/>
  <c r="H676" i="2"/>
  <c r="E676" i="2"/>
  <c r="G676" i="2" s="1"/>
  <c r="H675" i="2"/>
  <c r="E675" i="2"/>
  <c r="G675" i="2" s="1"/>
  <c r="H674" i="2"/>
  <c r="E674" i="2"/>
  <c r="G674" i="2" s="1"/>
  <c r="H673" i="2"/>
  <c r="E673" i="2"/>
  <c r="G673" i="2" s="1"/>
  <c r="H672" i="2"/>
  <c r="E672" i="2"/>
  <c r="G672" i="2" s="1"/>
  <c r="H671" i="2"/>
  <c r="E671" i="2"/>
  <c r="G671" i="2" s="1"/>
  <c r="H670" i="2"/>
  <c r="E670" i="2"/>
  <c r="G670" i="2" s="1"/>
  <c r="H669" i="2"/>
  <c r="E669" i="2"/>
  <c r="G669" i="2" s="1"/>
  <c r="H668" i="2"/>
  <c r="E668" i="2"/>
  <c r="G668" i="2" s="1"/>
  <c r="H667" i="2"/>
  <c r="E667" i="2"/>
  <c r="G667" i="2" s="1"/>
  <c r="H666" i="2"/>
  <c r="E666" i="2"/>
  <c r="G666" i="2" s="1"/>
  <c r="H665" i="2"/>
  <c r="E665" i="2"/>
  <c r="G665" i="2" s="1"/>
  <c r="H664" i="2"/>
  <c r="E664" i="2"/>
  <c r="G664" i="2" s="1"/>
  <c r="H663" i="2"/>
  <c r="E663" i="2"/>
  <c r="G663" i="2" s="1"/>
  <c r="H662" i="2"/>
  <c r="E662" i="2"/>
  <c r="G662" i="2" s="1"/>
  <c r="H661" i="2"/>
  <c r="E661" i="2"/>
  <c r="G661" i="2" s="1"/>
  <c r="H660" i="2"/>
  <c r="E660" i="2"/>
  <c r="G660" i="2" s="1"/>
  <c r="H659" i="2"/>
  <c r="E659" i="2"/>
  <c r="G659" i="2" s="1"/>
  <c r="H658" i="2"/>
  <c r="E658" i="2"/>
  <c r="G658" i="2" s="1"/>
  <c r="H657" i="2"/>
  <c r="E657" i="2"/>
  <c r="G657" i="2" s="1"/>
  <c r="H656" i="2"/>
  <c r="E656" i="2"/>
  <c r="G656" i="2" s="1"/>
  <c r="H655" i="2"/>
  <c r="E655" i="2"/>
  <c r="G655" i="2" s="1"/>
  <c r="H654" i="2"/>
  <c r="G654" i="2"/>
  <c r="H653" i="2"/>
  <c r="G653" i="2"/>
  <c r="H652" i="2"/>
  <c r="E652" i="2"/>
  <c r="G652" i="2" s="1"/>
  <c r="H651" i="2"/>
  <c r="E651" i="2"/>
  <c r="G651" i="2" s="1"/>
  <c r="H650" i="2"/>
  <c r="E650" i="2"/>
  <c r="G650" i="2" s="1"/>
  <c r="H649" i="2"/>
  <c r="E649" i="2"/>
  <c r="G649" i="2" s="1"/>
  <c r="H648" i="2"/>
  <c r="E648" i="2"/>
  <c r="G648" i="2" s="1"/>
  <c r="H647" i="2"/>
  <c r="E647" i="2"/>
  <c r="G647" i="2" s="1"/>
  <c r="H646" i="2"/>
  <c r="G646" i="2"/>
  <c r="H645" i="2"/>
  <c r="G645" i="2"/>
  <c r="H644" i="2"/>
  <c r="E644" i="2"/>
  <c r="G644" i="2" s="1"/>
  <c r="H643" i="2"/>
  <c r="E643" i="2"/>
  <c r="G643" i="2" s="1"/>
  <c r="H642" i="2"/>
  <c r="E642" i="2"/>
  <c r="G642" i="2" s="1"/>
  <c r="H641" i="2"/>
  <c r="E641" i="2"/>
  <c r="G641" i="2" s="1"/>
  <c r="H640" i="2"/>
  <c r="E640" i="2"/>
  <c r="G640" i="2" s="1"/>
  <c r="H639" i="2"/>
  <c r="E639" i="2"/>
  <c r="G639" i="2" s="1"/>
  <c r="H638" i="2"/>
  <c r="E638" i="2"/>
  <c r="G638" i="2" s="1"/>
  <c r="H637" i="2"/>
  <c r="E637" i="2"/>
  <c r="G637" i="2" s="1"/>
  <c r="H636" i="2"/>
  <c r="E636" i="2"/>
  <c r="G636" i="2" s="1"/>
  <c r="H635" i="2"/>
  <c r="E635" i="2"/>
  <c r="G635" i="2" s="1"/>
  <c r="H634" i="2"/>
  <c r="E634" i="2"/>
  <c r="G634" i="2" s="1"/>
  <c r="H633" i="2"/>
  <c r="E633" i="2"/>
  <c r="G633" i="2" s="1"/>
  <c r="H632" i="2"/>
  <c r="E632" i="2"/>
  <c r="G632" i="2" s="1"/>
  <c r="H631" i="2"/>
  <c r="E631" i="2"/>
  <c r="G631" i="2" s="1"/>
  <c r="H630" i="2"/>
  <c r="E630" i="2"/>
  <c r="G630" i="2" s="1"/>
  <c r="H629" i="2"/>
  <c r="E629" i="2"/>
  <c r="G629" i="2" s="1"/>
  <c r="H628" i="2"/>
  <c r="E628" i="2"/>
  <c r="G628" i="2" s="1"/>
  <c r="H627" i="2"/>
  <c r="E627" i="2"/>
  <c r="G627" i="2" s="1"/>
  <c r="H626" i="2"/>
  <c r="E626" i="2"/>
  <c r="G626" i="2" s="1"/>
  <c r="H625" i="2"/>
  <c r="E625" i="2"/>
  <c r="G625" i="2" s="1"/>
  <c r="H624" i="2"/>
  <c r="E624" i="2"/>
  <c r="G624" i="2" s="1"/>
  <c r="H623" i="2"/>
  <c r="E623" i="2"/>
  <c r="G623" i="2" s="1"/>
  <c r="H622" i="2"/>
  <c r="E622" i="2"/>
  <c r="G622" i="2" s="1"/>
  <c r="H621" i="2"/>
  <c r="E621" i="2"/>
  <c r="G621" i="2" s="1"/>
  <c r="H620" i="2"/>
  <c r="E620" i="2"/>
  <c r="G620" i="2" s="1"/>
  <c r="H619" i="2"/>
  <c r="E619" i="2"/>
  <c r="G619" i="2" s="1"/>
  <c r="H618" i="2"/>
  <c r="E618" i="2"/>
  <c r="G618" i="2" s="1"/>
  <c r="H617" i="2"/>
  <c r="E617" i="2"/>
  <c r="G617" i="2" s="1"/>
  <c r="H616" i="2"/>
  <c r="E616" i="2"/>
  <c r="G616" i="2" s="1"/>
  <c r="H615" i="2"/>
  <c r="E615" i="2"/>
  <c r="G615" i="2" s="1"/>
  <c r="H614" i="2"/>
  <c r="E614" i="2"/>
  <c r="G614" i="2" s="1"/>
  <c r="H613" i="2"/>
  <c r="E613" i="2"/>
  <c r="G613" i="2" s="1"/>
  <c r="H612" i="2"/>
  <c r="E612" i="2"/>
  <c r="G612" i="2" s="1"/>
  <c r="H611" i="2"/>
  <c r="E611" i="2"/>
  <c r="G611" i="2" s="1"/>
  <c r="H610" i="2"/>
  <c r="E610" i="2"/>
  <c r="G610" i="2" s="1"/>
  <c r="H609" i="2"/>
  <c r="E609" i="2"/>
  <c r="G609" i="2" s="1"/>
  <c r="H608" i="2"/>
  <c r="E608" i="2"/>
  <c r="G608" i="2" s="1"/>
  <c r="H607" i="2"/>
  <c r="E607" i="2"/>
  <c r="G607" i="2" s="1"/>
  <c r="H606" i="2"/>
  <c r="E606" i="2"/>
  <c r="G606" i="2" s="1"/>
  <c r="H605" i="2"/>
  <c r="E605" i="2"/>
  <c r="G605" i="2" s="1"/>
  <c r="H604" i="2"/>
  <c r="E604" i="2"/>
  <c r="G604" i="2" s="1"/>
  <c r="H603" i="2"/>
  <c r="E603" i="2"/>
  <c r="G603" i="2" s="1"/>
  <c r="H602" i="2"/>
  <c r="E602" i="2"/>
  <c r="G602" i="2" s="1"/>
  <c r="H601" i="2"/>
  <c r="E601" i="2"/>
  <c r="G601" i="2" s="1"/>
  <c r="H600" i="2"/>
  <c r="E600" i="2"/>
  <c r="G600" i="2" s="1"/>
  <c r="H599" i="2"/>
  <c r="E599" i="2"/>
  <c r="G599" i="2" s="1"/>
  <c r="H598" i="2"/>
  <c r="E598" i="2"/>
  <c r="G598" i="2" s="1"/>
  <c r="H597" i="2"/>
  <c r="E597" i="2"/>
  <c r="G597" i="2" s="1"/>
  <c r="H596" i="2"/>
  <c r="E596" i="2"/>
  <c r="G596" i="2" s="1"/>
  <c r="H595" i="2"/>
  <c r="E595" i="2"/>
  <c r="G595" i="2" s="1"/>
  <c r="H594" i="2"/>
  <c r="E594" i="2"/>
  <c r="G594" i="2" s="1"/>
  <c r="H593" i="2"/>
  <c r="E593" i="2"/>
  <c r="G593" i="2" s="1"/>
  <c r="H592" i="2"/>
  <c r="E592" i="2"/>
  <c r="G592" i="2" s="1"/>
  <c r="H591" i="2"/>
  <c r="E591" i="2"/>
  <c r="G591" i="2" s="1"/>
  <c r="H590" i="2"/>
  <c r="E590" i="2"/>
  <c r="G590" i="2" s="1"/>
  <c r="H589" i="2"/>
  <c r="E589" i="2"/>
  <c r="G589" i="2" s="1"/>
  <c r="H588" i="2"/>
  <c r="E588" i="2"/>
  <c r="G588" i="2" s="1"/>
  <c r="H587" i="2"/>
  <c r="E587" i="2"/>
  <c r="G587" i="2" s="1"/>
  <c r="H586" i="2"/>
  <c r="E586" i="2"/>
  <c r="G586" i="2" s="1"/>
  <c r="H585" i="2"/>
  <c r="E585" i="2"/>
  <c r="G585" i="2" s="1"/>
  <c r="H584" i="2"/>
  <c r="G584" i="2"/>
  <c r="H583" i="2"/>
  <c r="G583" i="2"/>
  <c r="H582" i="2"/>
  <c r="E582" i="2"/>
  <c r="G582" i="2" s="1"/>
  <c r="H581" i="2"/>
  <c r="E581" i="2"/>
  <c r="G581" i="2" s="1"/>
  <c r="H580" i="2"/>
  <c r="E580" i="2"/>
  <c r="G580" i="2" s="1"/>
  <c r="H579" i="2"/>
  <c r="E579" i="2"/>
  <c r="G579" i="2" s="1"/>
  <c r="H578" i="2"/>
  <c r="E578" i="2"/>
  <c r="G578" i="2" s="1"/>
  <c r="H577" i="2"/>
  <c r="E577" i="2"/>
  <c r="G577" i="2" s="1"/>
  <c r="H576" i="2"/>
  <c r="E576" i="2"/>
  <c r="G576" i="2" s="1"/>
  <c r="H575" i="2"/>
  <c r="E575" i="2"/>
  <c r="G575" i="2" s="1"/>
  <c r="H574" i="2"/>
  <c r="E574" i="2"/>
  <c r="G574" i="2" s="1"/>
  <c r="H573" i="2"/>
  <c r="E573" i="2"/>
  <c r="G573" i="2" s="1"/>
  <c r="H572" i="2"/>
  <c r="E572" i="2"/>
  <c r="G572" i="2" s="1"/>
  <c r="H571" i="2"/>
  <c r="E571" i="2"/>
  <c r="G571" i="2" s="1"/>
  <c r="H570" i="2"/>
  <c r="E570" i="2"/>
  <c r="G570" i="2" s="1"/>
  <c r="H569" i="2"/>
  <c r="E569" i="2"/>
  <c r="G569" i="2" s="1"/>
  <c r="H568" i="2"/>
  <c r="E568" i="2"/>
  <c r="G568" i="2" s="1"/>
  <c r="H567" i="2"/>
  <c r="E567" i="2"/>
  <c r="G567" i="2" s="1"/>
  <c r="H566" i="2"/>
  <c r="E566" i="2"/>
  <c r="G566" i="2" s="1"/>
  <c r="H565" i="2"/>
  <c r="E565" i="2"/>
  <c r="G565" i="2" s="1"/>
  <c r="H564" i="2"/>
  <c r="E564" i="2"/>
  <c r="G564" i="2" s="1"/>
  <c r="H563" i="2"/>
  <c r="E563" i="2"/>
  <c r="G563" i="2" s="1"/>
  <c r="H562" i="2"/>
  <c r="E562" i="2"/>
  <c r="G562" i="2" s="1"/>
  <c r="H561" i="2"/>
  <c r="E561" i="2"/>
  <c r="G561" i="2" s="1"/>
  <c r="H560" i="2"/>
  <c r="E560" i="2"/>
  <c r="G560" i="2" s="1"/>
  <c r="H559" i="2"/>
  <c r="E559" i="2"/>
  <c r="G559" i="2" s="1"/>
  <c r="H558" i="2"/>
  <c r="E558" i="2"/>
  <c r="G558" i="2" s="1"/>
  <c r="H557" i="2"/>
  <c r="E557" i="2"/>
  <c r="G557" i="2" s="1"/>
  <c r="H556" i="2"/>
  <c r="E556" i="2"/>
  <c r="G556" i="2" s="1"/>
  <c r="H555" i="2"/>
  <c r="E555" i="2"/>
  <c r="G555" i="2" s="1"/>
  <c r="H554" i="2"/>
  <c r="E554" i="2"/>
  <c r="G554" i="2" s="1"/>
  <c r="H553" i="2"/>
  <c r="E553" i="2"/>
  <c r="G553" i="2" s="1"/>
  <c r="H552" i="2"/>
  <c r="E552" i="2"/>
  <c r="G552" i="2" s="1"/>
  <c r="H551" i="2"/>
  <c r="E551" i="2"/>
  <c r="G551" i="2" s="1"/>
  <c r="H550" i="2"/>
  <c r="E550" i="2"/>
  <c r="G550" i="2" s="1"/>
  <c r="H549" i="2"/>
  <c r="E549" i="2"/>
  <c r="G549" i="2" s="1"/>
  <c r="H548" i="2"/>
  <c r="E548" i="2"/>
  <c r="G548" i="2" s="1"/>
  <c r="H547" i="2"/>
  <c r="E547" i="2"/>
  <c r="G547" i="2" s="1"/>
  <c r="H546" i="2"/>
  <c r="E546" i="2"/>
  <c r="G546" i="2" s="1"/>
  <c r="H545" i="2"/>
  <c r="E545" i="2"/>
  <c r="G545" i="2" s="1"/>
  <c r="H544" i="2"/>
  <c r="E544" i="2"/>
  <c r="G544" i="2" s="1"/>
  <c r="H543" i="2"/>
  <c r="E543" i="2"/>
  <c r="G543" i="2" s="1"/>
  <c r="H542" i="2"/>
  <c r="E542" i="2"/>
  <c r="G542" i="2" s="1"/>
  <c r="H541" i="2"/>
  <c r="E541" i="2"/>
  <c r="G541" i="2" s="1"/>
  <c r="H540" i="2"/>
  <c r="E540" i="2"/>
  <c r="G540" i="2" s="1"/>
  <c r="H539" i="2"/>
  <c r="E539" i="2"/>
  <c r="G539" i="2" s="1"/>
  <c r="H538" i="2"/>
  <c r="E538" i="2"/>
  <c r="G538" i="2" s="1"/>
  <c r="H537" i="2"/>
  <c r="E537" i="2"/>
  <c r="G537" i="2" s="1"/>
  <c r="H536" i="2"/>
  <c r="E536" i="2"/>
  <c r="G536" i="2" s="1"/>
  <c r="H535" i="2"/>
  <c r="E535" i="2"/>
  <c r="G535" i="2" s="1"/>
  <c r="H534" i="2"/>
  <c r="E534" i="2"/>
  <c r="G534" i="2" s="1"/>
  <c r="H533" i="2"/>
  <c r="E533" i="2"/>
  <c r="G533" i="2" s="1"/>
  <c r="H532" i="2"/>
  <c r="E532" i="2"/>
  <c r="G532" i="2" s="1"/>
  <c r="H531" i="2"/>
  <c r="E531" i="2"/>
  <c r="G531" i="2" s="1"/>
  <c r="H530" i="2"/>
  <c r="E530" i="2"/>
  <c r="G530" i="2" s="1"/>
  <c r="H529" i="2"/>
  <c r="E529" i="2"/>
  <c r="G529" i="2" s="1"/>
  <c r="H528" i="2"/>
  <c r="E528" i="2"/>
  <c r="G528" i="2" s="1"/>
  <c r="H527" i="2"/>
  <c r="E527" i="2"/>
  <c r="G527" i="2" s="1"/>
  <c r="H526" i="2"/>
  <c r="E526" i="2"/>
  <c r="G526" i="2" s="1"/>
  <c r="H525" i="2"/>
  <c r="E525" i="2"/>
  <c r="G525" i="2" s="1"/>
  <c r="H524" i="2"/>
  <c r="E524" i="2"/>
  <c r="G524" i="2" s="1"/>
  <c r="H523" i="2"/>
  <c r="E523" i="2"/>
  <c r="G523" i="2" s="1"/>
  <c r="H522" i="2"/>
  <c r="E522" i="2"/>
  <c r="G522" i="2" s="1"/>
  <c r="H521" i="2"/>
  <c r="E521" i="2"/>
  <c r="G521" i="2" s="1"/>
  <c r="H520" i="2"/>
  <c r="E520" i="2"/>
  <c r="G520" i="2" s="1"/>
  <c r="H519" i="2"/>
  <c r="E519" i="2"/>
  <c r="G519" i="2" s="1"/>
  <c r="H518" i="2"/>
  <c r="E518" i="2"/>
  <c r="G518" i="2" s="1"/>
  <c r="H517" i="2"/>
  <c r="E517" i="2"/>
  <c r="G517" i="2" s="1"/>
  <c r="H516" i="2"/>
  <c r="E516" i="2"/>
  <c r="G516" i="2" s="1"/>
  <c r="H515" i="2"/>
  <c r="E515" i="2"/>
  <c r="G515" i="2" s="1"/>
  <c r="H514" i="2"/>
  <c r="E514" i="2"/>
  <c r="G514" i="2" s="1"/>
  <c r="H513" i="2"/>
  <c r="E513" i="2"/>
  <c r="G513" i="2" s="1"/>
  <c r="H512" i="2"/>
  <c r="E512" i="2"/>
  <c r="G512" i="2" s="1"/>
  <c r="H511" i="2"/>
  <c r="E511" i="2"/>
  <c r="G511" i="2" s="1"/>
  <c r="H510" i="2"/>
  <c r="E510" i="2"/>
  <c r="G510" i="2" s="1"/>
  <c r="H509" i="2"/>
  <c r="E509" i="2"/>
  <c r="G509" i="2" s="1"/>
  <c r="H508" i="2"/>
  <c r="E508" i="2"/>
  <c r="G508" i="2" s="1"/>
  <c r="H507" i="2"/>
  <c r="E507" i="2"/>
  <c r="G507" i="2" s="1"/>
  <c r="H506" i="2"/>
  <c r="E506" i="2"/>
  <c r="G506" i="2" s="1"/>
  <c r="H505" i="2"/>
  <c r="E505" i="2"/>
  <c r="G505" i="2" s="1"/>
  <c r="H504" i="2"/>
  <c r="E504" i="2"/>
  <c r="G504" i="2" s="1"/>
  <c r="H503" i="2"/>
  <c r="E503" i="2"/>
  <c r="G503" i="2" s="1"/>
  <c r="H502" i="2"/>
  <c r="E502" i="2"/>
  <c r="G502" i="2" s="1"/>
  <c r="H501" i="2"/>
  <c r="E501" i="2"/>
  <c r="G501" i="2" s="1"/>
  <c r="H500" i="2"/>
  <c r="G500" i="2"/>
  <c r="H499" i="2"/>
  <c r="E499" i="2"/>
  <c r="G499" i="2" s="1"/>
  <c r="H498" i="2"/>
  <c r="E498" i="2"/>
  <c r="G498" i="2" s="1"/>
  <c r="H497" i="2"/>
  <c r="E497" i="2"/>
  <c r="G497" i="2" s="1"/>
  <c r="H496" i="2"/>
  <c r="E496" i="2"/>
  <c r="G496" i="2" s="1"/>
  <c r="H495" i="2"/>
  <c r="E495" i="2"/>
  <c r="G495" i="2" s="1"/>
  <c r="H494" i="2"/>
  <c r="E494" i="2"/>
  <c r="G494" i="2" s="1"/>
  <c r="H493" i="2"/>
  <c r="E493" i="2"/>
  <c r="G493" i="2" s="1"/>
  <c r="H492" i="2"/>
  <c r="E492" i="2"/>
  <c r="G492" i="2" s="1"/>
  <c r="H491" i="2"/>
  <c r="E491" i="2"/>
  <c r="G491" i="2" s="1"/>
  <c r="H490" i="2"/>
  <c r="E490" i="2"/>
  <c r="G490" i="2" s="1"/>
  <c r="H489" i="2"/>
  <c r="E489" i="2"/>
  <c r="G489" i="2" s="1"/>
  <c r="H488" i="2"/>
  <c r="E488" i="2"/>
  <c r="G488" i="2" s="1"/>
  <c r="H487" i="2"/>
  <c r="E487" i="2"/>
  <c r="G487" i="2" s="1"/>
  <c r="H486" i="2"/>
  <c r="E486" i="2"/>
  <c r="G486" i="2" s="1"/>
  <c r="H485" i="2"/>
  <c r="E485" i="2"/>
  <c r="G485" i="2" s="1"/>
  <c r="H484" i="2"/>
  <c r="E484" i="2"/>
  <c r="G484" i="2" s="1"/>
  <c r="H483" i="2"/>
  <c r="E483" i="2"/>
  <c r="G483" i="2" s="1"/>
  <c r="H482" i="2"/>
  <c r="E482" i="2"/>
  <c r="G482" i="2" s="1"/>
  <c r="H481" i="2"/>
  <c r="E481" i="2"/>
  <c r="G481" i="2" s="1"/>
  <c r="H480" i="2"/>
  <c r="E480" i="2"/>
  <c r="G480" i="2" s="1"/>
  <c r="H479" i="2"/>
  <c r="E479" i="2"/>
  <c r="G479" i="2" s="1"/>
  <c r="H478" i="2"/>
  <c r="E478" i="2"/>
  <c r="G478" i="2" s="1"/>
  <c r="H477" i="2"/>
  <c r="E477" i="2"/>
  <c r="G477" i="2" s="1"/>
  <c r="H476" i="2"/>
  <c r="E476" i="2"/>
  <c r="G476" i="2" s="1"/>
  <c r="H475" i="2"/>
  <c r="E475" i="2"/>
  <c r="G475" i="2" s="1"/>
  <c r="H474" i="2"/>
  <c r="E474" i="2"/>
  <c r="G474" i="2" s="1"/>
  <c r="H473" i="2"/>
  <c r="E473" i="2"/>
  <c r="G473" i="2" s="1"/>
  <c r="H472" i="2"/>
  <c r="G472" i="2"/>
  <c r="H471" i="2"/>
  <c r="E471" i="2"/>
  <c r="G471" i="2" s="1"/>
  <c r="H470" i="2"/>
  <c r="E470" i="2"/>
  <c r="G470" i="2" s="1"/>
  <c r="H469" i="2"/>
  <c r="E469" i="2"/>
  <c r="G469" i="2" s="1"/>
  <c r="H468" i="2"/>
  <c r="E468" i="2"/>
  <c r="G468" i="2" s="1"/>
  <c r="H467" i="2"/>
  <c r="E467" i="2"/>
  <c r="G467" i="2" s="1"/>
  <c r="H466" i="2"/>
  <c r="E466" i="2"/>
  <c r="G466" i="2" s="1"/>
  <c r="H465" i="2"/>
  <c r="E465" i="2"/>
  <c r="G465" i="2" s="1"/>
  <c r="H464" i="2"/>
  <c r="E464" i="2"/>
  <c r="G464" i="2" s="1"/>
  <c r="H463" i="2"/>
  <c r="E463" i="2"/>
  <c r="G463" i="2" s="1"/>
  <c r="H462" i="2"/>
  <c r="E462" i="2"/>
  <c r="G462" i="2" s="1"/>
  <c r="H461" i="2"/>
  <c r="E461" i="2"/>
  <c r="G461" i="2" s="1"/>
  <c r="H460" i="2"/>
  <c r="E460" i="2"/>
  <c r="G460" i="2" s="1"/>
  <c r="H459" i="2"/>
  <c r="E459" i="2"/>
  <c r="G459" i="2" s="1"/>
  <c r="H458" i="2"/>
  <c r="E458" i="2"/>
  <c r="G458" i="2" s="1"/>
  <c r="H457" i="2"/>
  <c r="E457" i="2"/>
  <c r="G457" i="2" s="1"/>
  <c r="H456" i="2"/>
  <c r="E456" i="2"/>
  <c r="G456" i="2" s="1"/>
  <c r="H455" i="2"/>
  <c r="E455" i="2"/>
  <c r="G455" i="2" s="1"/>
  <c r="H454" i="2"/>
  <c r="E454" i="2"/>
  <c r="G454" i="2" s="1"/>
  <c r="H453" i="2"/>
  <c r="E453" i="2"/>
  <c r="G453" i="2" s="1"/>
  <c r="H452" i="2"/>
  <c r="E452" i="2"/>
  <c r="G452" i="2" s="1"/>
  <c r="H451" i="2"/>
  <c r="E451" i="2"/>
  <c r="G451" i="2" s="1"/>
  <c r="H450" i="2"/>
  <c r="E450" i="2"/>
  <c r="G450" i="2" s="1"/>
  <c r="H449" i="2"/>
  <c r="E449" i="2"/>
  <c r="G449" i="2" s="1"/>
  <c r="H448" i="2"/>
  <c r="E448" i="2"/>
  <c r="G448" i="2" s="1"/>
  <c r="H447" i="2"/>
  <c r="E447" i="2"/>
  <c r="G447" i="2" s="1"/>
  <c r="H446" i="2"/>
  <c r="E446" i="2"/>
  <c r="G446" i="2" s="1"/>
  <c r="H445" i="2"/>
  <c r="E445" i="2"/>
  <c r="G445" i="2" s="1"/>
  <c r="H444" i="2"/>
  <c r="E444" i="2"/>
  <c r="G444" i="2" s="1"/>
  <c r="H443" i="2"/>
  <c r="E443" i="2"/>
  <c r="G443" i="2" s="1"/>
  <c r="H442" i="2"/>
  <c r="E442" i="2"/>
  <c r="G442" i="2" s="1"/>
  <c r="H441" i="2"/>
  <c r="E441" i="2"/>
  <c r="G441" i="2" s="1"/>
  <c r="H440" i="2"/>
  <c r="E440" i="2"/>
  <c r="G440" i="2" s="1"/>
  <c r="H439" i="2"/>
  <c r="E439" i="2"/>
  <c r="G439" i="2" s="1"/>
  <c r="H438" i="2"/>
  <c r="E438" i="2"/>
  <c r="G438" i="2" s="1"/>
  <c r="H437" i="2"/>
  <c r="E437" i="2"/>
  <c r="G437" i="2" s="1"/>
  <c r="H436" i="2"/>
  <c r="E436" i="2"/>
  <c r="G436" i="2" s="1"/>
  <c r="H435" i="2"/>
  <c r="E435" i="2"/>
  <c r="G435" i="2" s="1"/>
  <c r="H434" i="2"/>
  <c r="E434" i="2"/>
  <c r="G434" i="2" s="1"/>
  <c r="H433" i="2"/>
  <c r="E433" i="2"/>
  <c r="G433" i="2" s="1"/>
  <c r="H432" i="2"/>
  <c r="G432" i="2"/>
  <c r="H431" i="2"/>
  <c r="E431" i="2"/>
  <c r="G431" i="2" s="1"/>
  <c r="H430" i="2"/>
  <c r="E430" i="2"/>
  <c r="G430" i="2" s="1"/>
  <c r="H429" i="2"/>
  <c r="E429" i="2"/>
  <c r="G429" i="2" s="1"/>
  <c r="H428" i="2"/>
  <c r="E428" i="2"/>
  <c r="G428" i="2" s="1"/>
  <c r="H427" i="2"/>
  <c r="E427" i="2"/>
  <c r="G427" i="2" s="1"/>
  <c r="H426" i="2"/>
  <c r="E426" i="2"/>
  <c r="G426" i="2" s="1"/>
  <c r="H425" i="2"/>
  <c r="E425" i="2"/>
  <c r="G425" i="2" s="1"/>
  <c r="H424" i="2"/>
  <c r="E424" i="2"/>
  <c r="G424" i="2" s="1"/>
  <c r="H423" i="2"/>
  <c r="E423" i="2"/>
  <c r="G423" i="2" s="1"/>
  <c r="H422" i="2"/>
  <c r="E422" i="2"/>
  <c r="G422" i="2" s="1"/>
  <c r="H421" i="2"/>
  <c r="E421" i="2"/>
  <c r="G421" i="2" s="1"/>
  <c r="H420" i="2"/>
  <c r="E420" i="2"/>
  <c r="G420" i="2" s="1"/>
  <c r="H419" i="2"/>
  <c r="E419" i="2"/>
  <c r="G419" i="2" s="1"/>
  <c r="H418" i="2"/>
  <c r="E418" i="2"/>
  <c r="G418" i="2" s="1"/>
  <c r="H417" i="2"/>
  <c r="E417" i="2"/>
  <c r="G417" i="2" s="1"/>
  <c r="H416" i="2"/>
  <c r="E416" i="2"/>
  <c r="G416" i="2" s="1"/>
  <c r="H415" i="2"/>
  <c r="E415" i="2"/>
  <c r="G415" i="2" s="1"/>
  <c r="H414" i="2"/>
  <c r="E414" i="2"/>
  <c r="G414" i="2" s="1"/>
  <c r="H413" i="2"/>
  <c r="E413" i="2"/>
  <c r="G413" i="2" s="1"/>
  <c r="H412" i="2"/>
  <c r="G412" i="2"/>
  <c r="H411" i="2"/>
  <c r="E411" i="2"/>
  <c r="G411" i="2" s="1"/>
  <c r="H410" i="2"/>
  <c r="E410" i="2"/>
  <c r="G410" i="2" s="1"/>
  <c r="H409" i="2"/>
  <c r="E409" i="2"/>
  <c r="G409" i="2" s="1"/>
  <c r="H408" i="2"/>
  <c r="E408" i="2"/>
  <c r="G408" i="2" s="1"/>
  <c r="H407" i="2"/>
  <c r="E407" i="2"/>
  <c r="G407" i="2" s="1"/>
  <c r="H406" i="2"/>
  <c r="E406" i="2"/>
  <c r="G406" i="2" s="1"/>
  <c r="H405" i="2"/>
  <c r="E405" i="2"/>
  <c r="G405" i="2" s="1"/>
  <c r="H404" i="2"/>
  <c r="E404" i="2"/>
  <c r="G404" i="2" s="1"/>
  <c r="H403" i="2"/>
  <c r="E403" i="2"/>
  <c r="G403" i="2" s="1"/>
  <c r="H402" i="2"/>
  <c r="E402" i="2"/>
  <c r="G402" i="2" s="1"/>
  <c r="H401" i="2"/>
  <c r="E401" i="2"/>
  <c r="G401" i="2" s="1"/>
  <c r="H400" i="2"/>
  <c r="E400" i="2"/>
  <c r="G400" i="2" s="1"/>
  <c r="H399" i="2"/>
  <c r="E399" i="2"/>
  <c r="G399" i="2" s="1"/>
  <c r="H398" i="2"/>
  <c r="E398" i="2"/>
  <c r="G398" i="2" s="1"/>
  <c r="H397" i="2"/>
  <c r="E397" i="2"/>
  <c r="G397" i="2" s="1"/>
  <c r="H396" i="2"/>
  <c r="E396" i="2"/>
  <c r="G396" i="2" s="1"/>
  <c r="H395" i="2"/>
  <c r="E395" i="2"/>
  <c r="G395" i="2" s="1"/>
  <c r="H394" i="2"/>
  <c r="E394" i="2"/>
  <c r="G394" i="2" s="1"/>
  <c r="H393" i="2"/>
  <c r="E393" i="2"/>
  <c r="G393" i="2" s="1"/>
  <c r="H392" i="2"/>
  <c r="E392" i="2"/>
  <c r="G392" i="2" s="1"/>
  <c r="H391" i="2"/>
  <c r="E391" i="2"/>
  <c r="G391" i="2" s="1"/>
  <c r="H390" i="2"/>
  <c r="E390" i="2"/>
  <c r="G390" i="2" s="1"/>
  <c r="H389" i="2"/>
  <c r="E389" i="2"/>
  <c r="G389" i="2" s="1"/>
  <c r="H388" i="2"/>
  <c r="E388" i="2"/>
  <c r="G388" i="2" s="1"/>
  <c r="H387" i="2"/>
  <c r="E387" i="2"/>
  <c r="G387" i="2" s="1"/>
  <c r="H386" i="2"/>
  <c r="G386" i="2"/>
  <c r="H385" i="2"/>
  <c r="G385" i="2"/>
  <c r="H384" i="2"/>
  <c r="E384" i="2"/>
  <c r="G384" i="2" s="1"/>
  <c r="H383" i="2"/>
  <c r="E383" i="2"/>
  <c r="G383" i="2" s="1"/>
  <c r="H382" i="2"/>
  <c r="E382" i="2"/>
  <c r="G382" i="2" s="1"/>
  <c r="H381" i="2"/>
  <c r="E381" i="2"/>
  <c r="G381" i="2" s="1"/>
  <c r="H380" i="2"/>
  <c r="E380" i="2"/>
  <c r="G380" i="2" s="1"/>
  <c r="H379" i="2"/>
  <c r="E379" i="2"/>
  <c r="G379" i="2" s="1"/>
  <c r="H378" i="2"/>
  <c r="E378" i="2"/>
  <c r="G378" i="2" s="1"/>
  <c r="H377" i="2"/>
  <c r="E377" i="2"/>
  <c r="G377" i="2" s="1"/>
  <c r="H376" i="2"/>
  <c r="E376" i="2"/>
  <c r="G376" i="2" s="1"/>
  <c r="H375" i="2"/>
  <c r="E375" i="2"/>
  <c r="G375" i="2" s="1"/>
  <c r="H374" i="2"/>
  <c r="E374" i="2"/>
  <c r="G374" i="2" s="1"/>
  <c r="H373" i="2"/>
  <c r="E373" i="2"/>
  <c r="G373" i="2" s="1"/>
  <c r="H372" i="2"/>
  <c r="E372" i="2"/>
  <c r="G372" i="2" s="1"/>
  <c r="H371" i="2"/>
  <c r="E371" i="2"/>
  <c r="G371" i="2" s="1"/>
  <c r="H370" i="2"/>
  <c r="E370" i="2"/>
  <c r="G370" i="2" s="1"/>
  <c r="H369" i="2"/>
  <c r="E369" i="2"/>
  <c r="G369" i="2" s="1"/>
  <c r="H368" i="2"/>
  <c r="E368" i="2"/>
  <c r="G368" i="2" s="1"/>
  <c r="H367" i="2"/>
  <c r="E367" i="2"/>
  <c r="G367" i="2" s="1"/>
  <c r="H366" i="2"/>
  <c r="E366" i="2"/>
  <c r="G366" i="2" s="1"/>
  <c r="H365" i="2"/>
  <c r="E365" i="2"/>
  <c r="G365" i="2" s="1"/>
  <c r="H364" i="2"/>
  <c r="E364" i="2"/>
  <c r="G364" i="2" s="1"/>
  <c r="H363" i="2"/>
  <c r="E363" i="2"/>
  <c r="G363" i="2" s="1"/>
  <c r="H362" i="2"/>
  <c r="E362" i="2"/>
  <c r="G362" i="2" s="1"/>
  <c r="H361" i="2"/>
  <c r="E361" i="2"/>
  <c r="G361" i="2" s="1"/>
  <c r="H360" i="2"/>
  <c r="E360" i="2"/>
  <c r="G360" i="2" s="1"/>
  <c r="H359" i="2"/>
  <c r="E359" i="2"/>
  <c r="G359" i="2" s="1"/>
  <c r="H358" i="2"/>
  <c r="E358" i="2"/>
  <c r="G358" i="2" s="1"/>
  <c r="H357" i="2"/>
  <c r="E357" i="2"/>
  <c r="G357" i="2" s="1"/>
  <c r="H356" i="2"/>
  <c r="E356" i="2"/>
  <c r="G356" i="2" s="1"/>
  <c r="H355" i="2"/>
  <c r="E355" i="2"/>
  <c r="G355" i="2" s="1"/>
  <c r="H354" i="2"/>
  <c r="E354" i="2"/>
  <c r="G354" i="2" s="1"/>
  <c r="H353" i="2"/>
  <c r="G353" i="2"/>
  <c r="H352" i="2"/>
  <c r="E352" i="2"/>
  <c r="G352" i="2" s="1"/>
  <c r="H351" i="2"/>
  <c r="E351" i="2"/>
  <c r="G351" i="2" s="1"/>
  <c r="H350" i="2"/>
  <c r="E350" i="2"/>
  <c r="G350" i="2" s="1"/>
  <c r="H349" i="2"/>
  <c r="E349" i="2"/>
  <c r="G349" i="2" s="1"/>
  <c r="H348" i="2"/>
  <c r="E348" i="2"/>
  <c r="G348" i="2" s="1"/>
  <c r="H347" i="2"/>
  <c r="E347" i="2"/>
  <c r="G347" i="2" s="1"/>
  <c r="H346" i="2"/>
  <c r="E346" i="2"/>
  <c r="G346" i="2" s="1"/>
  <c r="H345" i="2"/>
  <c r="E345" i="2"/>
  <c r="G345" i="2" s="1"/>
  <c r="H344" i="2"/>
  <c r="E344" i="2"/>
  <c r="G344" i="2" s="1"/>
  <c r="H343" i="2"/>
  <c r="E343" i="2"/>
  <c r="G343" i="2" s="1"/>
  <c r="H342" i="2"/>
  <c r="E342" i="2"/>
  <c r="G342" i="2" s="1"/>
  <c r="H341" i="2"/>
  <c r="E341" i="2"/>
  <c r="G341" i="2" s="1"/>
  <c r="H340" i="2"/>
  <c r="E340" i="2"/>
  <c r="G340" i="2" s="1"/>
  <c r="H339" i="2"/>
  <c r="E339" i="2"/>
  <c r="G339" i="2" s="1"/>
  <c r="H338" i="2"/>
  <c r="E338" i="2"/>
  <c r="G338" i="2" s="1"/>
  <c r="H337" i="2"/>
  <c r="E337" i="2"/>
  <c r="G337" i="2" s="1"/>
  <c r="H336" i="2"/>
  <c r="E336" i="2"/>
  <c r="G336" i="2" s="1"/>
  <c r="H335" i="2"/>
  <c r="E335" i="2"/>
  <c r="G335" i="2" s="1"/>
  <c r="H334" i="2"/>
  <c r="E334" i="2"/>
  <c r="G334" i="2" s="1"/>
  <c r="H333" i="2"/>
  <c r="E333" i="2"/>
  <c r="G333" i="2" s="1"/>
  <c r="H332" i="2"/>
  <c r="E332" i="2"/>
  <c r="G332" i="2" s="1"/>
  <c r="H331" i="2"/>
  <c r="E331" i="2"/>
  <c r="G331" i="2" s="1"/>
  <c r="H330" i="2"/>
  <c r="E330" i="2"/>
  <c r="G330" i="2" s="1"/>
  <c r="H329" i="2"/>
  <c r="E329" i="2"/>
  <c r="G329" i="2" s="1"/>
  <c r="H328" i="2"/>
  <c r="E328" i="2"/>
  <c r="G328" i="2" s="1"/>
  <c r="H327" i="2"/>
  <c r="E327" i="2"/>
  <c r="G327" i="2" s="1"/>
  <c r="H326" i="2"/>
  <c r="E326" i="2"/>
  <c r="G326" i="2" s="1"/>
  <c r="H325" i="2"/>
  <c r="E325" i="2"/>
  <c r="G325" i="2" s="1"/>
  <c r="H324" i="2"/>
  <c r="E324" i="2"/>
  <c r="G324" i="2" s="1"/>
  <c r="H323" i="2"/>
  <c r="E323" i="2"/>
  <c r="G323" i="2" s="1"/>
  <c r="H322" i="2"/>
  <c r="E322" i="2"/>
  <c r="G322" i="2" s="1"/>
  <c r="H321" i="2"/>
  <c r="E321" i="2"/>
  <c r="G321" i="2" s="1"/>
  <c r="H320" i="2"/>
  <c r="E320" i="2"/>
  <c r="G320" i="2" s="1"/>
  <c r="H319" i="2"/>
  <c r="E319" i="2"/>
  <c r="G319" i="2" s="1"/>
  <c r="H318" i="2"/>
  <c r="E318" i="2"/>
  <c r="G318" i="2" s="1"/>
  <c r="H317" i="2"/>
  <c r="E317" i="2"/>
  <c r="G317" i="2" s="1"/>
  <c r="H316" i="2"/>
  <c r="E316" i="2"/>
  <c r="G316" i="2" s="1"/>
  <c r="H315" i="2"/>
  <c r="E315" i="2"/>
  <c r="G315" i="2" s="1"/>
  <c r="H314" i="2"/>
  <c r="G314" i="2"/>
  <c r="H313" i="2"/>
  <c r="E313" i="2"/>
  <c r="G313" i="2" s="1"/>
  <c r="H312" i="2"/>
  <c r="E312" i="2"/>
  <c r="G312" i="2" s="1"/>
  <c r="H311" i="2"/>
  <c r="E311" i="2"/>
  <c r="G311" i="2" s="1"/>
  <c r="H310" i="2"/>
  <c r="E310" i="2"/>
  <c r="G310" i="2" s="1"/>
  <c r="H309" i="2"/>
  <c r="E309" i="2"/>
  <c r="G309" i="2" s="1"/>
  <c r="H308" i="2"/>
  <c r="E308" i="2"/>
  <c r="G308" i="2" s="1"/>
  <c r="H307" i="2"/>
  <c r="E307" i="2"/>
  <c r="G307" i="2" s="1"/>
  <c r="H306" i="2"/>
  <c r="E306" i="2"/>
  <c r="G306" i="2" s="1"/>
  <c r="H305" i="2"/>
  <c r="E305" i="2"/>
  <c r="G305" i="2" s="1"/>
  <c r="H304" i="2"/>
  <c r="E304" i="2"/>
  <c r="G304" i="2" s="1"/>
  <c r="H303" i="2"/>
  <c r="E303" i="2"/>
  <c r="G303" i="2" s="1"/>
  <c r="H302" i="2"/>
  <c r="E302" i="2"/>
  <c r="G302" i="2" s="1"/>
  <c r="H301" i="2"/>
  <c r="E301" i="2"/>
  <c r="G301" i="2" s="1"/>
  <c r="H300" i="2"/>
  <c r="E300" i="2"/>
  <c r="G300" i="2" s="1"/>
  <c r="H299" i="2"/>
  <c r="E299" i="2"/>
  <c r="G299" i="2" s="1"/>
  <c r="H298" i="2"/>
  <c r="E298" i="2"/>
  <c r="G298" i="2" s="1"/>
  <c r="H297" i="2"/>
  <c r="E297" i="2"/>
  <c r="G297" i="2" s="1"/>
  <c r="H296" i="2"/>
  <c r="E296" i="2"/>
  <c r="G296" i="2" s="1"/>
  <c r="H295" i="2"/>
  <c r="E295" i="2"/>
  <c r="G295" i="2" s="1"/>
  <c r="H294" i="2"/>
  <c r="E294" i="2"/>
  <c r="G294" i="2" s="1"/>
  <c r="H293" i="2"/>
  <c r="E293" i="2"/>
  <c r="G293" i="2" s="1"/>
  <c r="H292" i="2"/>
  <c r="E292" i="2"/>
  <c r="G292" i="2" s="1"/>
  <c r="H291" i="2"/>
  <c r="E291" i="2"/>
  <c r="G291" i="2" s="1"/>
  <c r="H290" i="2"/>
  <c r="E290" i="2"/>
  <c r="G290" i="2" s="1"/>
  <c r="H289" i="2"/>
  <c r="E289" i="2"/>
  <c r="G289" i="2" s="1"/>
  <c r="H288" i="2"/>
  <c r="E288" i="2"/>
  <c r="G288" i="2" s="1"/>
  <c r="H287" i="2"/>
  <c r="E287" i="2"/>
  <c r="G287" i="2" s="1"/>
  <c r="H286" i="2"/>
  <c r="E286" i="2"/>
  <c r="G286" i="2" s="1"/>
  <c r="H285" i="2"/>
  <c r="E285" i="2"/>
  <c r="G285" i="2" s="1"/>
  <c r="H284" i="2"/>
  <c r="E284" i="2"/>
  <c r="G284" i="2" s="1"/>
  <c r="H283" i="2"/>
  <c r="E283" i="2"/>
  <c r="G283" i="2" s="1"/>
  <c r="H282" i="2"/>
  <c r="E282" i="2"/>
  <c r="G282" i="2" s="1"/>
  <c r="H281" i="2"/>
  <c r="E281" i="2"/>
  <c r="G281" i="2" s="1"/>
  <c r="H280" i="2"/>
  <c r="E280" i="2"/>
  <c r="G280" i="2" s="1"/>
  <c r="H279" i="2"/>
  <c r="E279" i="2"/>
  <c r="G279" i="2" s="1"/>
  <c r="H278" i="2"/>
  <c r="E278" i="2"/>
  <c r="G278" i="2" s="1"/>
  <c r="H277" i="2"/>
  <c r="E277" i="2"/>
  <c r="G277" i="2" s="1"/>
  <c r="H276" i="2"/>
  <c r="E276" i="2"/>
  <c r="G276" i="2" s="1"/>
  <c r="H275" i="2"/>
  <c r="E275" i="2"/>
  <c r="G275" i="2" s="1"/>
  <c r="H274" i="2"/>
  <c r="E274" i="2"/>
  <c r="G274" i="2" s="1"/>
  <c r="H273" i="2"/>
  <c r="E273" i="2"/>
  <c r="G273" i="2" s="1"/>
  <c r="H272" i="2"/>
  <c r="E272" i="2"/>
  <c r="G272" i="2" s="1"/>
  <c r="H271" i="2"/>
  <c r="E271" i="2"/>
  <c r="G271" i="2" s="1"/>
  <c r="H270" i="2"/>
  <c r="E270" i="2"/>
  <c r="G270" i="2" s="1"/>
  <c r="H269" i="2"/>
  <c r="E269" i="2"/>
  <c r="G269" i="2" s="1"/>
  <c r="H268" i="2"/>
  <c r="E268" i="2"/>
  <c r="G268" i="2" s="1"/>
  <c r="H267" i="2"/>
  <c r="E267" i="2"/>
  <c r="G267" i="2" s="1"/>
  <c r="H266" i="2"/>
  <c r="E266" i="2"/>
  <c r="G266" i="2" s="1"/>
  <c r="H265" i="2"/>
  <c r="E265" i="2"/>
  <c r="G265" i="2" s="1"/>
  <c r="H264" i="2"/>
  <c r="E264" i="2"/>
  <c r="G264" i="2" s="1"/>
  <c r="H263" i="2"/>
  <c r="E263" i="2"/>
  <c r="G263" i="2" s="1"/>
  <c r="H262" i="2"/>
  <c r="G262" i="2"/>
  <c r="H261" i="2"/>
  <c r="E261" i="2"/>
  <c r="G261" i="2" s="1"/>
  <c r="H260" i="2"/>
  <c r="E260" i="2"/>
  <c r="G260" i="2" s="1"/>
  <c r="H259" i="2"/>
  <c r="E259" i="2"/>
  <c r="G259" i="2" s="1"/>
  <c r="H258" i="2"/>
  <c r="E258" i="2"/>
  <c r="G258" i="2" s="1"/>
  <c r="H257" i="2"/>
  <c r="E257" i="2"/>
  <c r="G257" i="2" s="1"/>
  <c r="H256" i="2"/>
  <c r="E256" i="2"/>
  <c r="G256" i="2" s="1"/>
  <c r="H255" i="2"/>
  <c r="E255" i="2"/>
  <c r="G255" i="2" s="1"/>
  <c r="H254" i="2"/>
  <c r="E254" i="2"/>
  <c r="G254" i="2" s="1"/>
  <c r="H253" i="2"/>
  <c r="E253" i="2"/>
  <c r="G253" i="2" s="1"/>
  <c r="H252" i="2"/>
  <c r="E252" i="2"/>
  <c r="G252" i="2" s="1"/>
  <c r="H251" i="2"/>
  <c r="E251" i="2"/>
  <c r="G251" i="2" s="1"/>
  <c r="H250" i="2"/>
  <c r="E250" i="2"/>
  <c r="G250" i="2" s="1"/>
  <c r="H249" i="2"/>
  <c r="E249" i="2"/>
  <c r="G249" i="2" s="1"/>
  <c r="H248" i="2"/>
  <c r="E248" i="2"/>
  <c r="G248" i="2" s="1"/>
  <c r="H247" i="2"/>
  <c r="E247" i="2"/>
  <c r="G247" i="2" s="1"/>
  <c r="H246" i="2"/>
  <c r="E246" i="2"/>
  <c r="G246" i="2" s="1"/>
  <c r="H245" i="2"/>
  <c r="E245" i="2"/>
  <c r="G245" i="2" s="1"/>
  <c r="H244" i="2"/>
  <c r="E244" i="2"/>
  <c r="G244" i="2" s="1"/>
  <c r="H243" i="2"/>
  <c r="E243" i="2"/>
  <c r="G243" i="2" s="1"/>
  <c r="H242" i="2"/>
  <c r="E242" i="2"/>
  <c r="G242" i="2" s="1"/>
  <c r="H241" i="2"/>
  <c r="E241" i="2"/>
  <c r="G241" i="2" s="1"/>
  <c r="H240" i="2"/>
  <c r="E240" i="2"/>
  <c r="G240" i="2" s="1"/>
  <c r="H239" i="2"/>
  <c r="E239" i="2"/>
  <c r="G239" i="2" s="1"/>
  <c r="H238" i="2"/>
  <c r="E238" i="2"/>
  <c r="G238" i="2" s="1"/>
  <c r="H237" i="2"/>
  <c r="E237" i="2"/>
  <c r="G237" i="2" s="1"/>
  <c r="H236" i="2"/>
  <c r="E236" i="2"/>
  <c r="G236" i="2" s="1"/>
  <c r="H235" i="2"/>
  <c r="E235" i="2"/>
  <c r="G235" i="2" s="1"/>
  <c r="H234" i="2"/>
  <c r="E234" i="2"/>
  <c r="G234" i="2" s="1"/>
  <c r="H233" i="2"/>
  <c r="E233" i="2"/>
  <c r="G233" i="2" s="1"/>
  <c r="H232" i="2"/>
  <c r="E232" i="2"/>
  <c r="G232" i="2" s="1"/>
  <c r="H231" i="2"/>
  <c r="E231" i="2"/>
  <c r="G231" i="2" s="1"/>
  <c r="H230" i="2"/>
  <c r="E230" i="2"/>
  <c r="G230" i="2" s="1"/>
  <c r="H229" i="2"/>
  <c r="E229" i="2"/>
  <c r="G229" i="2" s="1"/>
  <c r="H228" i="2"/>
  <c r="E228" i="2"/>
  <c r="G228" i="2" s="1"/>
  <c r="H227" i="2"/>
  <c r="E227" i="2"/>
  <c r="G227" i="2" s="1"/>
  <c r="H226" i="2"/>
  <c r="E226" i="2"/>
  <c r="G226" i="2" s="1"/>
  <c r="H225" i="2"/>
  <c r="E225" i="2"/>
  <c r="G225" i="2" s="1"/>
  <c r="H224" i="2"/>
  <c r="E224" i="2"/>
  <c r="G224" i="2" s="1"/>
  <c r="H223" i="2"/>
  <c r="E223" i="2"/>
  <c r="G223" i="2" s="1"/>
  <c r="H222" i="2"/>
  <c r="E222" i="2"/>
  <c r="G222" i="2" s="1"/>
  <c r="H221" i="2"/>
  <c r="E221" i="2"/>
  <c r="G221" i="2" s="1"/>
  <c r="H220" i="2"/>
  <c r="E220" i="2"/>
  <c r="G220" i="2" s="1"/>
  <c r="H219" i="2"/>
  <c r="E219" i="2"/>
  <c r="G219" i="2" s="1"/>
  <c r="H218" i="2"/>
  <c r="E218" i="2"/>
  <c r="G218" i="2" s="1"/>
  <c r="H217" i="2"/>
  <c r="E217" i="2"/>
  <c r="G217" i="2" s="1"/>
  <c r="H216" i="2"/>
  <c r="E216" i="2"/>
  <c r="G216" i="2" s="1"/>
  <c r="H215" i="2"/>
  <c r="E215" i="2"/>
  <c r="G215" i="2" s="1"/>
  <c r="H214" i="2"/>
  <c r="E214" i="2"/>
  <c r="G214" i="2" s="1"/>
  <c r="H213" i="2"/>
  <c r="G213" i="2"/>
  <c r="H212" i="2"/>
  <c r="E212" i="2"/>
  <c r="G212" i="2" s="1"/>
  <c r="H211" i="2"/>
  <c r="E211" i="2"/>
  <c r="G211" i="2" s="1"/>
  <c r="H210" i="2"/>
  <c r="E210" i="2"/>
  <c r="G210" i="2" s="1"/>
  <c r="H209" i="2"/>
  <c r="E209" i="2"/>
  <c r="G209" i="2" s="1"/>
  <c r="H208" i="2"/>
  <c r="E208" i="2"/>
  <c r="G208" i="2" s="1"/>
  <c r="H207" i="2"/>
  <c r="E207" i="2"/>
  <c r="G207" i="2" s="1"/>
  <c r="H206" i="2"/>
  <c r="E206" i="2"/>
  <c r="G206" i="2" s="1"/>
  <c r="H205" i="2"/>
  <c r="E205" i="2"/>
  <c r="G205" i="2" s="1"/>
  <c r="H204" i="2"/>
  <c r="E204" i="2"/>
  <c r="G204" i="2" s="1"/>
  <c r="H203" i="2"/>
  <c r="E203" i="2"/>
  <c r="G203" i="2" s="1"/>
  <c r="H202" i="2"/>
  <c r="E202" i="2"/>
  <c r="G202" i="2" s="1"/>
  <c r="H201" i="2"/>
  <c r="E201" i="2"/>
  <c r="G201" i="2" s="1"/>
  <c r="H200" i="2"/>
  <c r="G200" i="2"/>
  <c r="H199" i="2"/>
  <c r="E199" i="2"/>
  <c r="G199" i="2" s="1"/>
  <c r="H198" i="2"/>
  <c r="E198" i="2"/>
  <c r="G198" i="2" s="1"/>
  <c r="H197" i="2"/>
  <c r="E197" i="2"/>
  <c r="G197" i="2" s="1"/>
  <c r="H196" i="2"/>
  <c r="E196" i="2"/>
  <c r="G196" i="2" s="1"/>
  <c r="H195" i="2"/>
  <c r="E195" i="2"/>
  <c r="G195" i="2" s="1"/>
  <c r="H194" i="2"/>
  <c r="E194" i="2"/>
  <c r="G194" i="2" s="1"/>
  <c r="H193" i="2"/>
  <c r="E193" i="2"/>
  <c r="G193" i="2" s="1"/>
  <c r="H192" i="2"/>
  <c r="E192" i="2"/>
  <c r="G192" i="2" s="1"/>
  <c r="H191" i="2"/>
  <c r="E191" i="2"/>
  <c r="G191" i="2" s="1"/>
  <c r="H190" i="2"/>
  <c r="E190" i="2"/>
  <c r="G190" i="2" s="1"/>
  <c r="H189" i="2"/>
  <c r="E189" i="2"/>
  <c r="G189" i="2" s="1"/>
  <c r="H188" i="2"/>
  <c r="E188" i="2"/>
  <c r="G188" i="2" s="1"/>
  <c r="H187" i="2"/>
  <c r="E187" i="2"/>
  <c r="G187" i="2" s="1"/>
  <c r="H186" i="2"/>
  <c r="E186" i="2"/>
  <c r="G186" i="2" s="1"/>
  <c r="H185" i="2"/>
  <c r="E185" i="2"/>
  <c r="G185" i="2" s="1"/>
  <c r="H184" i="2"/>
  <c r="E184" i="2"/>
  <c r="G184" i="2" s="1"/>
  <c r="H183" i="2"/>
  <c r="E183" i="2"/>
  <c r="G183" i="2" s="1"/>
  <c r="H182" i="2"/>
  <c r="E182" i="2"/>
  <c r="G182" i="2" s="1"/>
  <c r="H181" i="2"/>
  <c r="E181" i="2"/>
  <c r="G181" i="2" s="1"/>
  <c r="H180" i="2"/>
  <c r="E180" i="2"/>
  <c r="G180" i="2" s="1"/>
  <c r="H179" i="2"/>
  <c r="G179" i="2"/>
  <c r="H178" i="2"/>
  <c r="G178" i="2"/>
  <c r="H177" i="2"/>
  <c r="E177" i="2"/>
  <c r="G177" i="2" s="1"/>
  <c r="H176" i="2"/>
  <c r="E176" i="2"/>
  <c r="G176" i="2" s="1"/>
  <c r="H175" i="2"/>
  <c r="E175" i="2"/>
  <c r="G175" i="2" s="1"/>
  <c r="H174" i="2"/>
  <c r="E174" i="2"/>
  <c r="G174" i="2" s="1"/>
  <c r="H173" i="2"/>
  <c r="E173" i="2"/>
  <c r="G173" i="2" s="1"/>
  <c r="H172" i="2"/>
  <c r="E172" i="2"/>
  <c r="G172" i="2" s="1"/>
  <c r="H171" i="2"/>
  <c r="E171" i="2"/>
  <c r="G171" i="2" s="1"/>
  <c r="H170" i="2"/>
  <c r="E170" i="2"/>
  <c r="G170" i="2" s="1"/>
  <c r="H169" i="2"/>
  <c r="E169" i="2"/>
  <c r="G169" i="2" s="1"/>
  <c r="H168" i="2"/>
  <c r="E168" i="2"/>
  <c r="G168" i="2" s="1"/>
  <c r="H167" i="2"/>
  <c r="E167" i="2"/>
  <c r="G167" i="2" s="1"/>
  <c r="H166" i="2"/>
  <c r="E166" i="2"/>
  <c r="G166" i="2" s="1"/>
  <c r="H165" i="2"/>
  <c r="E165" i="2"/>
  <c r="G165" i="2" s="1"/>
  <c r="H164" i="2"/>
  <c r="E164" i="2"/>
  <c r="G164" i="2" s="1"/>
  <c r="H163" i="2"/>
  <c r="E163" i="2"/>
  <c r="G163" i="2" s="1"/>
  <c r="H162" i="2"/>
  <c r="E162" i="2"/>
  <c r="G162" i="2" s="1"/>
  <c r="H161" i="2"/>
  <c r="E161" i="2"/>
  <c r="G161" i="2" s="1"/>
  <c r="H160" i="2"/>
  <c r="E160" i="2"/>
  <c r="G160" i="2" s="1"/>
  <c r="H159" i="2"/>
  <c r="E159" i="2"/>
  <c r="G159" i="2" s="1"/>
  <c r="H158" i="2"/>
  <c r="E158" i="2"/>
  <c r="G158" i="2" s="1"/>
  <c r="H157" i="2"/>
  <c r="E157" i="2"/>
  <c r="G157" i="2" s="1"/>
  <c r="H156" i="2"/>
  <c r="E156" i="2"/>
  <c r="G156" i="2" s="1"/>
  <c r="H155" i="2"/>
  <c r="E155" i="2"/>
  <c r="G155" i="2" s="1"/>
  <c r="H154" i="2"/>
  <c r="E154" i="2"/>
  <c r="G154" i="2" s="1"/>
  <c r="H153" i="2"/>
  <c r="E153" i="2"/>
  <c r="G153" i="2" s="1"/>
  <c r="H152" i="2"/>
  <c r="E152" i="2"/>
  <c r="G152" i="2" s="1"/>
  <c r="H151" i="2"/>
  <c r="E151" i="2"/>
  <c r="G151" i="2" s="1"/>
  <c r="H150" i="2"/>
  <c r="E150" i="2"/>
  <c r="G150" i="2" s="1"/>
  <c r="H149" i="2"/>
  <c r="E149" i="2"/>
  <c r="G149" i="2" s="1"/>
  <c r="H148" i="2"/>
  <c r="E148" i="2"/>
  <c r="G148" i="2" s="1"/>
  <c r="H147" i="2"/>
  <c r="E147" i="2"/>
  <c r="G147" i="2" s="1"/>
  <c r="H146" i="2"/>
  <c r="E146" i="2"/>
  <c r="G146" i="2" s="1"/>
  <c r="H145" i="2"/>
  <c r="E145" i="2"/>
  <c r="G145" i="2" s="1"/>
  <c r="H144" i="2"/>
  <c r="E144" i="2"/>
  <c r="G144" i="2" s="1"/>
  <c r="H143" i="2"/>
  <c r="E143" i="2"/>
  <c r="G143" i="2" s="1"/>
  <c r="H142" i="2"/>
  <c r="E142" i="2"/>
  <c r="G142" i="2" s="1"/>
  <c r="H141" i="2"/>
  <c r="E141" i="2"/>
  <c r="G141" i="2" s="1"/>
  <c r="H140" i="2"/>
  <c r="E140" i="2"/>
  <c r="G140" i="2" s="1"/>
  <c r="H139" i="2"/>
  <c r="E139" i="2"/>
  <c r="G139" i="2" s="1"/>
  <c r="H138" i="2"/>
  <c r="E138" i="2"/>
  <c r="G138" i="2" s="1"/>
  <c r="H137" i="2"/>
  <c r="E137" i="2"/>
  <c r="G137" i="2" s="1"/>
  <c r="H136" i="2"/>
  <c r="E136" i="2"/>
  <c r="G136" i="2" s="1"/>
  <c r="H135" i="2"/>
  <c r="E135" i="2"/>
  <c r="G135" i="2" s="1"/>
  <c r="H134" i="2"/>
  <c r="E134" i="2"/>
  <c r="G134" i="2" s="1"/>
  <c r="H133" i="2"/>
  <c r="E133" i="2"/>
  <c r="G133" i="2" s="1"/>
  <c r="H132" i="2"/>
  <c r="E132" i="2"/>
  <c r="G132" i="2" s="1"/>
  <c r="H131" i="2"/>
  <c r="G131" i="2"/>
  <c r="H130" i="2"/>
  <c r="E130" i="2"/>
  <c r="G130" i="2" s="1"/>
  <c r="H129" i="2"/>
  <c r="E129" i="2"/>
  <c r="G129" i="2" s="1"/>
  <c r="H128" i="2"/>
  <c r="E128" i="2"/>
  <c r="G128" i="2" s="1"/>
  <c r="H127" i="2"/>
  <c r="E127" i="2"/>
  <c r="G127" i="2" s="1"/>
  <c r="H126" i="2"/>
  <c r="E126" i="2"/>
  <c r="G126" i="2" s="1"/>
  <c r="H125" i="2"/>
  <c r="E125" i="2"/>
  <c r="G125" i="2" s="1"/>
  <c r="H124" i="2"/>
  <c r="E124" i="2"/>
  <c r="G124" i="2" s="1"/>
  <c r="H123" i="2"/>
  <c r="E123" i="2"/>
  <c r="G123" i="2" s="1"/>
  <c r="H122" i="2"/>
  <c r="E122" i="2"/>
  <c r="G122" i="2" s="1"/>
  <c r="H121" i="2"/>
  <c r="E121" i="2"/>
  <c r="G121" i="2" s="1"/>
  <c r="H120" i="2"/>
  <c r="E120" i="2"/>
  <c r="G120" i="2" s="1"/>
  <c r="H119" i="2"/>
  <c r="E119" i="2"/>
  <c r="G119" i="2" s="1"/>
  <c r="H118" i="2"/>
  <c r="E118" i="2"/>
  <c r="G118" i="2" s="1"/>
  <c r="H117" i="2"/>
  <c r="E117" i="2"/>
  <c r="G117" i="2" s="1"/>
  <c r="H116" i="2"/>
  <c r="E116" i="2"/>
  <c r="G116" i="2" s="1"/>
  <c r="H115" i="2"/>
  <c r="E115" i="2"/>
  <c r="G115" i="2" s="1"/>
  <c r="H114" i="2"/>
  <c r="E114" i="2"/>
  <c r="G114" i="2" s="1"/>
  <c r="H113" i="2"/>
  <c r="E113" i="2"/>
  <c r="G113" i="2" s="1"/>
  <c r="H112" i="2"/>
  <c r="E112" i="2"/>
  <c r="G112" i="2" s="1"/>
  <c r="H111" i="2"/>
  <c r="E111" i="2"/>
  <c r="G111" i="2" s="1"/>
  <c r="H110" i="2"/>
  <c r="E110" i="2"/>
  <c r="G110" i="2" s="1"/>
  <c r="H109" i="2"/>
  <c r="E109" i="2"/>
  <c r="G109" i="2" s="1"/>
  <c r="H108" i="2"/>
  <c r="E108" i="2"/>
  <c r="G108" i="2" s="1"/>
  <c r="H107" i="2"/>
  <c r="E107" i="2"/>
  <c r="G107" i="2" s="1"/>
  <c r="H106" i="2"/>
  <c r="E106" i="2"/>
  <c r="G106" i="2" s="1"/>
  <c r="H105" i="2"/>
  <c r="E105" i="2"/>
  <c r="G105" i="2" s="1"/>
  <c r="H104" i="2"/>
  <c r="E104" i="2"/>
  <c r="G104" i="2" s="1"/>
  <c r="H103" i="2"/>
  <c r="E103" i="2"/>
  <c r="G103" i="2" s="1"/>
  <c r="H102" i="2"/>
  <c r="E102" i="2"/>
  <c r="G102" i="2" s="1"/>
  <c r="H101" i="2"/>
  <c r="E101" i="2"/>
  <c r="G101" i="2" s="1"/>
  <c r="H100" i="2"/>
  <c r="E100" i="2"/>
  <c r="G100" i="2" s="1"/>
  <c r="H99" i="2"/>
  <c r="E99" i="2"/>
  <c r="G99" i="2" s="1"/>
  <c r="H98" i="2"/>
  <c r="E98" i="2"/>
  <c r="G98" i="2" s="1"/>
  <c r="H97" i="2"/>
  <c r="E97" i="2"/>
  <c r="G97" i="2" s="1"/>
  <c r="H96" i="2"/>
  <c r="E96" i="2"/>
  <c r="G96" i="2" s="1"/>
  <c r="H95" i="2"/>
  <c r="E95" i="2"/>
  <c r="G95" i="2" s="1"/>
  <c r="H94" i="2"/>
  <c r="E94" i="2"/>
  <c r="G94" i="2" s="1"/>
  <c r="H93" i="2"/>
  <c r="E93" i="2"/>
  <c r="G93" i="2" s="1"/>
  <c r="H92" i="2"/>
  <c r="E92" i="2"/>
  <c r="G92" i="2" s="1"/>
  <c r="H91" i="2"/>
  <c r="E91" i="2"/>
  <c r="G91" i="2" s="1"/>
  <c r="H90" i="2"/>
  <c r="E90" i="2"/>
  <c r="G90" i="2" s="1"/>
  <c r="H89" i="2"/>
  <c r="E89" i="2"/>
  <c r="G89" i="2" s="1"/>
  <c r="H88" i="2"/>
  <c r="E88" i="2"/>
  <c r="G88" i="2" s="1"/>
  <c r="H87" i="2"/>
  <c r="E87" i="2"/>
  <c r="G87" i="2" s="1"/>
  <c r="H86" i="2"/>
  <c r="E86" i="2"/>
  <c r="G86" i="2" s="1"/>
  <c r="H85" i="2"/>
  <c r="E85" i="2"/>
  <c r="G85" i="2" s="1"/>
  <c r="H84" i="2"/>
  <c r="E84" i="2"/>
  <c r="G84" i="2" s="1"/>
  <c r="H83" i="2"/>
  <c r="E83" i="2"/>
  <c r="G83" i="2" s="1"/>
  <c r="H82" i="2"/>
  <c r="E82" i="2"/>
  <c r="G82" i="2" s="1"/>
  <c r="H81" i="2"/>
  <c r="E81" i="2"/>
  <c r="G81" i="2" s="1"/>
  <c r="H80" i="2"/>
  <c r="E80" i="2"/>
  <c r="G80" i="2" s="1"/>
  <c r="H79" i="2"/>
  <c r="E79" i="2"/>
  <c r="G79" i="2" s="1"/>
  <c r="H78" i="2"/>
  <c r="E78" i="2"/>
  <c r="G78" i="2" s="1"/>
  <c r="H77" i="2"/>
  <c r="E77" i="2"/>
  <c r="G77" i="2" s="1"/>
  <c r="H76" i="2"/>
  <c r="E76" i="2"/>
  <c r="G76" i="2" s="1"/>
  <c r="H75" i="2"/>
  <c r="E75" i="2"/>
  <c r="G75" i="2" s="1"/>
  <c r="H74" i="2"/>
  <c r="E74" i="2"/>
  <c r="G74" i="2" s="1"/>
  <c r="H73" i="2"/>
  <c r="E73" i="2"/>
  <c r="G73" i="2" s="1"/>
  <c r="H72" i="2"/>
  <c r="E72" i="2"/>
  <c r="G72" i="2" s="1"/>
  <c r="H71" i="2"/>
  <c r="E71" i="2"/>
  <c r="G71" i="2" s="1"/>
  <c r="H70" i="2"/>
  <c r="E70" i="2"/>
  <c r="G70" i="2" s="1"/>
  <c r="H69" i="2"/>
  <c r="E69" i="2"/>
  <c r="G69" i="2" s="1"/>
  <c r="H68" i="2"/>
  <c r="G68" i="2"/>
  <c r="H67" i="2"/>
  <c r="E67" i="2"/>
  <c r="G67" i="2" s="1"/>
  <c r="H66" i="2"/>
  <c r="E66" i="2"/>
  <c r="G66" i="2" s="1"/>
  <c r="H65" i="2"/>
  <c r="E65" i="2"/>
  <c r="G65" i="2" s="1"/>
  <c r="H64" i="2"/>
  <c r="E64" i="2"/>
  <c r="G64" i="2" s="1"/>
  <c r="H63" i="2"/>
  <c r="E63" i="2"/>
  <c r="G63" i="2" s="1"/>
  <c r="H62" i="2"/>
  <c r="E62" i="2"/>
  <c r="G62" i="2" s="1"/>
  <c r="H61" i="2"/>
  <c r="E61" i="2"/>
  <c r="G61" i="2" s="1"/>
  <c r="H60" i="2"/>
  <c r="E60" i="2"/>
  <c r="G60" i="2" s="1"/>
  <c r="H59" i="2"/>
  <c r="E59" i="2"/>
  <c r="G59" i="2" s="1"/>
  <c r="H58" i="2"/>
  <c r="E58" i="2"/>
  <c r="G58" i="2" s="1"/>
  <c r="H57" i="2"/>
  <c r="E57" i="2"/>
  <c r="G57" i="2" s="1"/>
  <c r="H56" i="2"/>
  <c r="E56" i="2"/>
  <c r="G56" i="2" s="1"/>
  <c r="H55" i="2"/>
  <c r="E55" i="2"/>
  <c r="G55" i="2" s="1"/>
  <c r="H54" i="2"/>
  <c r="E54" i="2"/>
  <c r="G54" i="2" s="1"/>
  <c r="H53" i="2"/>
  <c r="E53" i="2"/>
  <c r="G53" i="2" s="1"/>
  <c r="H52" i="2"/>
  <c r="E52" i="2"/>
  <c r="G52" i="2" s="1"/>
  <c r="H51" i="2"/>
  <c r="E51" i="2"/>
  <c r="G51" i="2" s="1"/>
  <c r="H50" i="2"/>
  <c r="E50" i="2"/>
  <c r="G50" i="2" s="1"/>
  <c r="H49" i="2"/>
  <c r="E49" i="2"/>
  <c r="G49" i="2" s="1"/>
  <c r="H48" i="2"/>
  <c r="E48" i="2"/>
  <c r="G48" i="2" s="1"/>
  <c r="H47" i="2"/>
  <c r="E47" i="2"/>
  <c r="G47" i="2" s="1"/>
  <c r="H46" i="2"/>
  <c r="E46" i="2"/>
  <c r="G46" i="2" s="1"/>
  <c r="H45" i="2"/>
  <c r="E45" i="2"/>
  <c r="G45" i="2" s="1"/>
  <c r="H44" i="2"/>
  <c r="E44" i="2"/>
  <c r="G44" i="2" s="1"/>
  <c r="H43" i="2"/>
  <c r="E43" i="2"/>
  <c r="G43" i="2" s="1"/>
  <c r="H42" i="2"/>
  <c r="E42" i="2"/>
  <c r="G42" i="2" s="1"/>
  <c r="H41" i="2"/>
  <c r="E41" i="2"/>
  <c r="G41" i="2" s="1"/>
  <c r="H40" i="2"/>
  <c r="E40" i="2"/>
  <c r="G40" i="2" s="1"/>
  <c r="H39" i="2"/>
  <c r="E39" i="2"/>
  <c r="G39" i="2" s="1"/>
  <c r="H38" i="2"/>
  <c r="E38" i="2"/>
  <c r="G38" i="2" s="1"/>
  <c r="H37" i="2"/>
  <c r="E37" i="2"/>
  <c r="G37" i="2" s="1"/>
  <c r="H36" i="2"/>
  <c r="E36" i="2"/>
  <c r="G36" i="2" s="1"/>
  <c r="H35" i="2"/>
  <c r="E35" i="2"/>
  <c r="G35" i="2" s="1"/>
  <c r="H34" i="2"/>
  <c r="E34" i="2"/>
  <c r="G34" i="2" s="1"/>
  <c r="H33" i="2"/>
  <c r="E33" i="2"/>
  <c r="G33" i="2" s="1"/>
  <c r="H32" i="2"/>
  <c r="E32" i="2"/>
  <c r="G32" i="2" s="1"/>
  <c r="H31" i="2"/>
  <c r="E31" i="2"/>
  <c r="G31" i="2" s="1"/>
  <c r="H30" i="2"/>
  <c r="E30" i="2"/>
  <c r="G30" i="2" s="1"/>
  <c r="H29" i="2"/>
  <c r="E29" i="2"/>
  <c r="G29" i="2" s="1"/>
  <c r="H28" i="2"/>
  <c r="E28" i="2"/>
  <c r="G28" i="2" s="1"/>
  <c r="H27" i="2"/>
  <c r="E27" i="2"/>
  <c r="G27" i="2" s="1"/>
  <c r="H26" i="2"/>
  <c r="E26" i="2"/>
  <c r="G26" i="2" s="1"/>
  <c r="H25" i="2"/>
  <c r="E25" i="2"/>
  <c r="G25" i="2" s="1"/>
  <c r="H24" i="2"/>
  <c r="E24" i="2"/>
  <c r="G24" i="2" s="1"/>
  <c r="H23" i="2"/>
  <c r="E23" i="2"/>
  <c r="G23" i="2" s="1"/>
  <c r="H22" i="2"/>
  <c r="E22" i="2"/>
  <c r="G22" i="2" s="1"/>
  <c r="H21" i="2"/>
  <c r="E21" i="2"/>
  <c r="G21" i="2" s="1"/>
  <c r="H20" i="2"/>
  <c r="E20" i="2"/>
  <c r="G20" i="2" s="1"/>
  <c r="H19" i="2"/>
  <c r="E19" i="2"/>
  <c r="G19" i="2" s="1"/>
  <c r="H18" i="2"/>
  <c r="E18" i="2"/>
  <c r="G18" i="2" s="1"/>
  <c r="H17" i="2"/>
  <c r="E17" i="2"/>
  <c r="G17" i="2" s="1"/>
  <c r="H16" i="2"/>
  <c r="E16" i="2"/>
  <c r="G16" i="2" s="1"/>
  <c r="H15" i="2"/>
  <c r="E15" i="2"/>
  <c r="G15" i="2" s="1"/>
  <c r="H14" i="2"/>
  <c r="E14" i="2"/>
  <c r="G14" i="2" s="1"/>
  <c r="H13" i="2"/>
  <c r="E13" i="2"/>
  <c r="G13" i="2" s="1"/>
  <c r="H12" i="2"/>
  <c r="E12" i="2"/>
  <c r="G12" i="2" s="1"/>
  <c r="H11" i="2"/>
  <c r="E11" i="2"/>
  <c r="G11" i="2" s="1"/>
  <c r="H10" i="2"/>
  <c r="E10" i="2"/>
  <c r="G10" i="2" s="1"/>
  <c r="H9" i="2"/>
  <c r="E9" i="2"/>
  <c r="G9" i="2" s="1"/>
  <c r="H8" i="2"/>
  <c r="E8" i="2"/>
  <c r="G8" i="2" s="1"/>
  <c r="H7" i="2"/>
  <c r="E7" i="2"/>
  <c r="G7" i="2" s="1"/>
  <c r="H6" i="2"/>
  <c r="E6" i="2"/>
  <c r="G6" i="2" s="1"/>
  <c r="H5" i="2"/>
  <c r="E5" i="2"/>
  <c r="G5" i="2" s="1"/>
  <c r="H4" i="2"/>
  <c r="E4" i="2"/>
  <c r="G4" i="2" s="1"/>
  <c r="H3" i="2"/>
  <c r="E3" i="2"/>
  <c r="G3" i="2" s="1"/>
  <c r="H2" i="2"/>
  <c r="E2" i="2"/>
  <c r="G2" i="2" s="1"/>
  <c r="F92" i="2" l="1"/>
  <c r="F109" i="2"/>
  <c r="F269" i="2"/>
  <c r="F106" i="2"/>
  <c r="F114" i="2"/>
  <c r="F95" i="2"/>
  <c r="F103" i="2"/>
  <c r="F271" i="2"/>
  <c r="F327" i="2"/>
  <c r="F363" i="2"/>
</calcChain>
</file>

<file path=xl/sharedStrings.xml><?xml version="1.0" encoding="utf-8"?>
<sst xmlns="http://schemas.openxmlformats.org/spreadsheetml/2006/main" count="9852" uniqueCount="645">
  <si>
    <t>Razão Social</t>
  </si>
  <si>
    <t>(Tudo)</t>
  </si>
  <si>
    <t>Gerente 2</t>
  </si>
  <si>
    <t>Rótulos de Linha</t>
  </si>
  <si>
    <t>Total Geral</t>
  </si>
  <si>
    <t>ADMINISTRAÇÃO</t>
  </si>
  <si>
    <t>ANDERSON FRAGA</t>
  </si>
  <si>
    <t>ANTONIO CARLOS</t>
  </si>
  <si>
    <t>CELIO PIMENTA</t>
  </si>
  <si>
    <t>DIOGO AZEVEDO</t>
  </si>
  <si>
    <t>FITZ</t>
  </si>
  <si>
    <t>JOSE ROBERTO</t>
  </si>
  <si>
    <t>LIBER</t>
  </si>
  <si>
    <t>MARCIO LEONEL</t>
  </si>
  <si>
    <t xml:space="preserve">MARCUS VINICIUS </t>
  </si>
  <si>
    <t>NATALIA NUBIA</t>
  </si>
  <si>
    <t>NOELI SALETE</t>
  </si>
  <si>
    <t>PARTNER SECURITIZADORA</t>
  </si>
  <si>
    <t>POENATELA</t>
  </si>
  <si>
    <t>PRISCILA METZ</t>
  </si>
  <si>
    <t>RAFAEL PARISE</t>
  </si>
  <si>
    <t>SEM GERENTE</t>
  </si>
  <si>
    <t>THAYNA/COMERCIAL</t>
  </si>
  <si>
    <t>THIAGO THEODORO</t>
  </si>
  <si>
    <t>WHELKYA IRIS</t>
  </si>
  <si>
    <t xml:space="preserve">ROGERIO </t>
  </si>
  <si>
    <t>PROSPECTAR</t>
  </si>
  <si>
    <t>ANTECIPA</t>
  </si>
  <si>
    <t>CAIO</t>
  </si>
  <si>
    <t>ALISSON DE SOUZA LIMA</t>
  </si>
  <si>
    <t>PROSPER</t>
  </si>
  <si>
    <t>DALVA</t>
  </si>
  <si>
    <t>ANDRE CUNHA</t>
  </si>
  <si>
    <t>CNPJ</t>
  </si>
  <si>
    <t>Alteração</t>
  </si>
  <si>
    <t>Data do recebimento do e-mail</t>
  </si>
  <si>
    <t>Gerente</t>
  </si>
  <si>
    <t>Mês e Ano</t>
  </si>
  <si>
    <t>Cedente</t>
  </si>
  <si>
    <t>EDUARDO MATOSO</t>
  </si>
  <si>
    <t xml:space="preserve">NOELI SALETE </t>
  </si>
  <si>
    <t>GRUPO OTTO</t>
  </si>
  <si>
    <t>LUIS GUSTAVO</t>
  </si>
  <si>
    <t>MARCOS SOUZA</t>
  </si>
  <si>
    <t>NELSON</t>
  </si>
  <si>
    <t>RODRIGO VIANNA</t>
  </si>
  <si>
    <t>EXCLUSÕES</t>
  </si>
  <si>
    <t>INCLUSÕES</t>
  </si>
  <si>
    <t>Valores</t>
  </si>
  <si>
    <t>Total de EXCLUSÕES</t>
  </si>
  <si>
    <t>Total de INCLUSÕES</t>
  </si>
  <si>
    <t>Contagem</t>
  </si>
  <si>
    <t>Primeira vez que apareceu</t>
  </si>
  <si>
    <t>CNPJ Números</t>
  </si>
  <si>
    <t>003.603.516/0001-19</t>
  </si>
  <si>
    <t>PROMEL IND COM IMP E EXP DE PRODS NATURAIS LTDA</t>
  </si>
  <si>
    <t>INCLUSAO  ANOT.INADIMPLENCIA</t>
  </si>
  <si>
    <t>008.250.872/0001-10</t>
  </si>
  <si>
    <t>TDR TRANSPORTES LOGISTICA LTDA</t>
  </si>
  <si>
    <t>INCL/EXCL ANOT.INADIMPLENCIA</t>
  </si>
  <si>
    <t>012.520.791/0001-60</t>
  </si>
  <si>
    <t>WJ CALDEIRARIA INDUSTRIA E COMERCIO LTDA ME</t>
  </si>
  <si>
    <t>020.024.081/0001-77</t>
  </si>
  <si>
    <t>RODOVIEIRA TRANSPORTE LTDA</t>
  </si>
  <si>
    <t>021.382.943/0001-04</t>
  </si>
  <si>
    <t>BIOTECH LOGISTICA LTDA</t>
  </si>
  <si>
    <t>025.825.654/0001-85</t>
  </si>
  <si>
    <t>COM IND DE CEREAIS E TRANSPORTES MACIEL LTDA</t>
  </si>
  <si>
    <t>028.393.466/0001-13</t>
  </si>
  <si>
    <t>MAPP COM IMPORTACAO EXPORTACAO IND PRODUTOS ALIMEN</t>
  </si>
  <si>
    <t>028.511.223/0001-32</t>
  </si>
  <si>
    <t>SOCIAL S/A</t>
  </si>
  <si>
    <t>EXCLUSAO  ANOT.INADIMPLENCIA</t>
  </si>
  <si>
    <t>028.650.970/0001-51</t>
  </si>
  <si>
    <t>DIOTTONI INDUSTRIA E COMERCIO DE ALIMENTOS LTDA ME</t>
  </si>
  <si>
    <t>033.249.279/0001-09</t>
  </si>
  <si>
    <t>AUTOMOTIV DO BRASIL INDUSTRIAL LTDA</t>
  </si>
  <si>
    <t>ALTERACAO ENDERECO</t>
  </si>
  <si>
    <t>035.679.705/0001-61</t>
  </si>
  <si>
    <t>SMARTCENTER SOLUCOES INTELIGENTES LTDA ME</t>
  </si>
  <si>
    <t>037.599.774/0001-90</t>
  </si>
  <si>
    <t>TP DISTRIBUIDORA DE PECAS LTDA EPP</t>
  </si>
  <si>
    <t>038.110.780/0001-03</t>
  </si>
  <si>
    <t>UNITA AUTO PECAS LTDA EPP</t>
  </si>
  <si>
    <t>ACQUION FOODTECH S/A</t>
  </si>
  <si>
    <t>BOM PASTOR PAPEIS LTDA</t>
  </si>
  <si>
    <t>IMPORTEXTIL COMERCIO DE TECIDOS LTDA</t>
  </si>
  <si>
    <t>MBIOLOG DIAGNOSTICOS LTDA</t>
  </si>
  <si>
    <t>BETMIX CONCRETO LTDA</t>
  </si>
  <si>
    <t>ARCA CONSTRUCOES E INCORPORACOES LTDA</t>
  </si>
  <si>
    <t>BIOLIFE HEALTH IMPORTACAO E DISTRIBUICAO DE PRODUT</t>
  </si>
  <si>
    <t>MASTERVET COMERCIO DE PRODUTOS AGROPECUARIOS LTDA</t>
  </si>
  <si>
    <t>MEIO OESTE PAPEIS LTDA ME</t>
  </si>
  <si>
    <t>RODOBOX TRANSPORTES E ARMAZENAGEM DE CARGAS LTDA</t>
  </si>
  <si>
    <t>TRANSNECHER COMERCIO TRANSPORTES E EMPREENDIMENTOS</t>
  </si>
  <si>
    <t>CERVEJARIA SOUZA LTDA</t>
  </si>
  <si>
    <t>GREEN FARMING FAZENDAS RENOVAVEIS LTDA</t>
  </si>
  <si>
    <t>UBERTEC SERVICE USINAGEM LTDA EPP</t>
  </si>
  <si>
    <t>CONSULOC ENGENHARIA LTDA EPP</t>
  </si>
  <si>
    <t>DIVINA INDUSTRIA DE COURO LTDA</t>
  </si>
  <si>
    <t>MEK SOL FUNDACOES E SERVICOS GEOTECNICOS LTDA EPP</t>
  </si>
  <si>
    <t>PLURIFORME INDUSTRIA E COMERCIO DE UNIFORMES LTDA</t>
  </si>
  <si>
    <t>SUPER HARD TECNOLOGIA EM TRATAMENTO DE SUPERFICIES</t>
  </si>
  <si>
    <t>ESSENZA INDUSTRIA QUIMICA LTDA</t>
  </si>
  <si>
    <t>MUTCD CENTRO DISTRIBUICAO IND FABRICANTE COSMETICO</t>
  </si>
  <si>
    <t>COLIBRI IND MEDIC SUPLEMENTOS PARA PECUARIA VETERI</t>
  </si>
  <si>
    <t>DECISION DESENVOLVIMENTO DE SISTEMAS LTDA</t>
  </si>
  <si>
    <t>RPT SOLUCOES AMBIENTAIS LTDA</t>
  </si>
  <si>
    <t>ECOPINUS INDUSTRIA E COMERCIO DE EMBALAGENS DE MAD</t>
  </si>
  <si>
    <t>MAPE TRATAMENTO DE RESIDUOS LTDA</t>
  </si>
  <si>
    <t>VIC LOGISTICA LTDA</t>
  </si>
  <si>
    <t>INDUSTRIA E CERVEJARIA ARTESANAL DE MINAS GERAIS L</t>
  </si>
  <si>
    <t>ALEXANDRE ROSA VICENTE E SERVICOS LTDA ME</t>
  </si>
  <si>
    <t>HERBAMED LABORATORIO NUTRACEUTICO LTDA</t>
  </si>
  <si>
    <t>EVOLUTION MACHINES LTDA ME</t>
  </si>
  <si>
    <t>AMP INDUSTRIA E COMERCIO DE CONDUTORES LTDA</t>
  </si>
  <si>
    <t>SIAP COMERCIO DE PRODUTOS AGROPECUARIOS LTDA</t>
  </si>
  <si>
    <t>VALENTE PRODUCOES LTDA ME</t>
  </si>
  <si>
    <t>ARTECAL ELETROCENTROS S/A</t>
  </si>
  <si>
    <t>DISPA DISTRIBUIDORA SAO PAULO LTDA ME</t>
  </si>
  <si>
    <t>ISOBASE POLIESTIRENO LTDA EPP</t>
  </si>
  <si>
    <t>COOPERATIVA TRANSP AUTON CARGAS PASSAG SERVICOS LO</t>
  </si>
  <si>
    <t>ESPECIALI INDUSTRIA DE ALIMENTOS LTDA ME</t>
  </si>
  <si>
    <t>PREMOLDADOS MATOSINHOS LTDA EPP</t>
  </si>
  <si>
    <t>VIVAN TRANSPORTES LTDA</t>
  </si>
  <si>
    <t>MINAS ALIMENTOS E FRUTAS SECAS LTDA EPP</t>
  </si>
  <si>
    <t>TRANSHENRY TRANSPORTES LTDA</t>
  </si>
  <si>
    <t>FARINELLI NUTRIMENTOS LTDA</t>
  </si>
  <si>
    <t>NOVA DISTRIBUIDORA E ATACADO DE LIMPEZA LTDA</t>
  </si>
  <si>
    <t>BIBE PRODUTOS INFANTIS LTDA</t>
  </si>
  <si>
    <t>VIC LOGISTICA LTDA EM RECUPERACAO JUDICIAL</t>
  </si>
  <si>
    <t>STONE ENGENHARIA E MONTAGENS INDUSTRIAIS LTDA</t>
  </si>
  <si>
    <t>PHOENIX LOG TRANSPORTES LTDA EPP</t>
  </si>
  <si>
    <t>ENXOVAIS MINAS LTDA ME</t>
  </si>
  <si>
    <t>MG CONSULT DIST LTDA EPP</t>
  </si>
  <si>
    <t>MOLAS ANEL POSTO DE TROCA LTDA EPP</t>
  </si>
  <si>
    <t>XEQUE MATE BEBIDAS LTDA ME</t>
  </si>
  <si>
    <t>JR X IMPORT LTDA EPP</t>
  </si>
  <si>
    <t>PALMILHADO INDUSTRIA E COMERCIO LTDA</t>
  </si>
  <si>
    <t>RODOANEL REFORMADORA DE IMPLEMENTOS RODOVIARIOS LT</t>
  </si>
  <si>
    <t>HT SERVICOS DE TRANSPORTE E LOCACAO LTDA</t>
  </si>
  <si>
    <t>MAIS DISTRIBUIDORA LTDA</t>
  </si>
  <si>
    <t>DINAMICA COM FERRAMENTAS EQUIPAMENTOS PROTECAO IND</t>
  </si>
  <si>
    <t>CONQUISTA INDUSTRIA DE MOVEIS S/A</t>
  </si>
  <si>
    <t>VLF IMPERIAL LATICINIOS LTDA ME</t>
  </si>
  <si>
    <t>ALLIAGE S A INDUSTRIAS MEDICO ODONTOLOGICA</t>
  </si>
  <si>
    <t>PREMIUMGRAF SERVICOS GRAFICOS LTDA ME</t>
  </si>
  <si>
    <t>VALADRES DIESEL LTDA EM RECUPERACAO JUDICIAL</t>
  </si>
  <si>
    <t>JMS EMBALAGENS INDUSTRIAIS LTDA</t>
  </si>
  <si>
    <t>MONTAGEM MINAS GERAIS LTDA ME</t>
  </si>
  <si>
    <t>ALBERTO H DA SILVA ME</t>
  </si>
  <si>
    <t>BOM PASTOR PAPEIS LTDA EM RECUPERACAO JUDICIAL</t>
  </si>
  <si>
    <t>MEDICAL PRIME IMP EXPORT DISTRIB PRODUTOS MEDICOS</t>
  </si>
  <si>
    <t>OLINDA IMPORTACAO E COMERCIO LTDA</t>
  </si>
  <si>
    <t>UNIVERSO INOX INDUSTRIA E COMERCIO LTDA EPP</t>
  </si>
  <si>
    <t>JF GOLD DISTRIBUIDORA LTDA EPP</t>
  </si>
  <si>
    <t>ALPS FOMENTO MERCANTIL LTDA</t>
  </si>
  <si>
    <t>POOLMAK SISTEMAS ESTRUTURAIS LTDA</t>
  </si>
  <si>
    <t>RECICOLOGY INDUSTRIA E COMERCIO DE PRODUTOS RECICL</t>
  </si>
  <si>
    <t>MOINHO DE TRIGO JM LTDA</t>
  </si>
  <si>
    <t>REI DO MILHO ATACADISTA E VAREJISTA LTDA ME</t>
  </si>
  <si>
    <t>PRIVILEGIO CONFECCOES CAMA MESA E BANHO LTDA EPP</t>
  </si>
  <si>
    <t>PARTNER SECURITY SERVICOS DE SEGURANCA LTDA</t>
  </si>
  <si>
    <t>RIMAG COMERCIO ATACADISTA DE ALIMENTOS IMPORTACAO</t>
  </si>
  <si>
    <t>SGAMAQ INOVACAO AGROINDUSTRIAL LTDA</t>
  </si>
  <si>
    <t>37 054 821 LARISSA GONTIJO AZEVEDO ME</t>
  </si>
  <si>
    <t>OXIGAS RESIDUOS ESPECIAIS LTDA EPP</t>
  </si>
  <si>
    <t>ESCUDO ADMINISTRACAO E SERVICOS LTDA EM RECUPERACA</t>
  </si>
  <si>
    <t>ESCUDO VIGILANCIA E SEGURANCA LTDA EM RECUPERACAO</t>
  </si>
  <si>
    <t>MORIA PRESTACAO DE SERVICOS LTDA ME</t>
  </si>
  <si>
    <t>TOUROS IMPLEMENTOS LTDA ME</t>
  </si>
  <si>
    <t>PROSPER MINERACAO S/A</t>
  </si>
  <si>
    <t>STA SERVICOS LTDA</t>
  </si>
  <si>
    <t>LUCCI ILUMINACAO LTDA EPP</t>
  </si>
  <si>
    <t>DETRONIC ENERGIA E SERVICOS LTDA</t>
  </si>
  <si>
    <t>MAAT COMERCIO DE VESTUARIO LTDA EPP</t>
  </si>
  <si>
    <t>GLOBAL ACO SERVICOS E PRODUTOS SIDERURGICOS LTDA E</t>
  </si>
  <si>
    <t>SAVIXX COMERCIO INTERNACIONAL S/A</t>
  </si>
  <si>
    <t>EDUARDO LUIZ SILVA DA LUZ ME</t>
  </si>
  <si>
    <t>VALADARES DIESEL LTDA EM RECUPERACAO JUDICIAL</t>
  </si>
  <si>
    <t>COMGROUP AGROINDUSTRIAL LTDA</t>
  </si>
  <si>
    <t>EXPRESSO PAV CONSTRUCOES E SERVICOS LTDA ME</t>
  </si>
  <si>
    <t>AGROINDUSTRIA FRUTAS JARDINS LTDA</t>
  </si>
  <si>
    <t>RESERVA TRADE LTDA ME</t>
  </si>
  <si>
    <t>JFIX INDUSTRIA QUIMICA LTDA ME</t>
  </si>
  <si>
    <t>LIZZENA COSMETICOS LTDA EPP</t>
  </si>
  <si>
    <t>LABOR ELETRIC INDUSTRIA E COMERCIO UNIPESSOAL LTDA</t>
  </si>
  <si>
    <t>ENCADESP LTDA ME</t>
  </si>
  <si>
    <t>SIQUEIRA E GAIPO INDUSTRIA E MATERIAIS ESPORTIVOS</t>
  </si>
  <si>
    <t>GRF JEANS WEAR LTDA ME</t>
  </si>
  <si>
    <t>REAL ESTRUTURAS E CONSTRUCOES LTDA</t>
  </si>
  <si>
    <t>FRANZAO COLCHOES LTDA EPP</t>
  </si>
  <si>
    <t>MARCAS COMERCIO LTDA ME</t>
  </si>
  <si>
    <t>CALDEM CONSTRUCOES MECANICAS LTDA EPP</t>
  </si>
  <si>
    <t>BIO HEALTH COLCHOES LTDA EPP</t>
  </si>
  <si>
    <t>OFFICER INDUSTRIA QUIMICA LTDA EPP</t>
  </si>
  <si>
    <t>AGRO INDUSTRIAL LAZZERI LTDA</t>
  </si>
  <si>
    <t>ELFRIG FRIGORIFICO ELDORADO LTDA ME</t>
  </si>
  <si>
    <t>SAFRA OURO AGRONEGOCIOS LTDA EPP</t>
  </si>
  <si>
    <t>FRUIT INDUSTRIA E COMERCIO LTDA ME</t>
  </si>
  <si>
    <t>CIA TEXTIL LTDA ME</t>
  </si>
  <si>
    <t>ALPLAST ATACADISTA E APOIO ADMINISTRATIVO LTDA EPP</t>
  </si>
  <si>
    <t>GEDIBOR RUBBER POLYURETHANE LTDA EPP</t>
  </si>
  <si>
    <t>GRF JEANS WEAR LTDA EPP</t>
  </si>
  <si>
    <t>FARBIA CHEMICALS COMERCIO IMPORTACAO E EXPORTACAO</t>
  </si>
  <si>
    <t>PARTNER SOLUCOES EMPRESARIAIS LTDA ME</t>
  </si>
  <si>
    <t>GLOBAL ACO SERV PRODUTOS SIDERURGICOS LTDA RECUPER</t>
  </si>
  <si>
    <t>ORTHOSIDE INDUSTRIA E COMERCIO LTDA EPP</t>
  </si>
  <si>
    <t>M TRATORES LTDA EPP</t>
  </si>
  <si>
    <t>FRUTAS JARDINS LTDA</t>
  </si>
  <si>
    <t>FUNDACAO DE ENSINO E PESQUISA DO SUL DE MINAS FEPE</t>
  </si>
  <si>
    <t>INDUSTRIA E COMERCIO DE CHURRASQUEIRAS BOM JESUS L</t>
  </si>
  <si>
    <t>COMERCIAL GODINHO FERREIRA LTDA</t>
  </si>
  <si>
    <t>P P DISTRIBUIDORA LTDA</t>
  </si>
  <si>
    <t>LIDER COMERCIO DE UNIFORMES E EPI S LTDA ME</t>
  </si>
  <si>
    <t>USIPARTS COMERCIO DE PECAS PARA USINAS LTDA ME</t>
  </si>
  <si>
    <t>D M RODRIGUES LTDA ME</t>
  </si>
  <si>
    <t>BEIJA FLOR COMERCIO DE TINTAS LTDA</t>
  </si>
  <si>
    <t>TREGA FILHOS EMPACOTAMENTO E DISTRIBUICAO LTDA ME</t>
  </si>
  <si>
    <t>MAIS LAR ENGENHARIA LTDA</t>
  </si>
  <si>
    <t>ORNELAS RESENDE TORRES TRANSPORTE E LOGISTICA LTDA</t>
  </si>
  <si>
    <t>METAL STAMP INDUSTRIA E COMERCIO LTDA</t>
  </si>
  <si>
    <t>QUALITY PACK INDUSTRIA E COMERCIO LTDA ME</t>
  </si>
  <si>
    <t>JABEZ SERVICOS COMPARTILHADOS LTDA ME</t>
  </si>
  <si>
    <t>MINAS CLEAN DISTRIBUIDORA DE PRODUTOS PARA LIMPEZA</t>
  </si>
  <si>
    <t>KUARA COMERCIAL E EXPORTADORA DE FRUTAS LTDA</t>
  </si>
  <si>
    <t>CNM CHICOTES ELETRICOS LTDA EPP</t>
  </si>
  <si>
    <t>A C ESPORTES S A F</t>
  </si>
  <si>
    <t>ABN CONSULTORIA E PROJETOS LTDA EPP</t>
  </si>
  <si>
    <t>CF COMEX IMPORTACAO EQUIPAMENTOS E SERVICOS LTDA</t>
  </si>
  <si>
    <t>ACO X LTDA ME</t>
  </si>
  <si>
    <t>VGS COMERCIO DE EMBALAGENS DE MADEIRAS LTDA ME</t>
  </si>
  <si>
    <t>TORQUE FERRAMENTAS LTDA ME</t>
  </si>
  <si>
    <t>S A COMERCIO E INDUSTRIA DE CALCADOS LTDA ME</t>
  </si>
  <si>
    <t>SH METALIZACOES LTDA EPP</t>
  </si>
  <si>
    <t>ORNELAS TRANSPORTE E LOGISTICA LTDA</t>
  </si>
  <si>
    <t>ELO TELECOMUNICACOES E CONSTRUCOES S/A</t>
  </si>
  <si>
    <t>ALTAG NEGOCIOS AGRICOLAS LTDA</t>
  </si>
  <si>
    <t>GRAFICA ROMANA LTDA ME</t>
  </si>
  <si>
    <t>JUATUBA MOVEIS E EMBALAGENS LTDA</t>
  </si>
  <si>
    <t>TERRAPLAST INDUSTRIA E COMERCIO DE EQUIPAMENTOS DE</t>
  </si>
  <si>
    <t>FUMEF FUNDICAO E MECANICA DE FERROS LTDA</t>
  </si>
  <si>
    <t>NUTRIENS FERTIL LTDA ME</t>
  </si>
  <si>
    <t>ONFARM BRASIL LTDA ME</t>
  </si>
  <si>
    <t>PARANAIBA FERTILIZANTES IND E COM LTDA EM RECUPERA</t>
  </si>
  <si>
    <t>IVA LOCACOES E CONSTRUCOES LTDA EPP</t>
  </si>
  <si>
    <t>RENOVAR AGRICOLA LTDA</t>
  </si>
  <si>
    <t>A 8 ENGENHARIA LTDA ME</t>
  </si>
  <si>
    <t>REAL FILTROS E ACESSORIOS AUTOMOTIVOS LTDA EPP</t>
  </si>
  <si>
    <t>GOIARTE SOLUCOES CONSTRUTIVAS EM CONCRETO LTDA</t>
  </si>
  <si>
    <t>SMARTCENTERGROUP COMERCIO DE EQUIPAMENTOS DE INFOR</t>
  </si>
  <si>
    <t>MUNDO AGRO COMERCIO E DISTRIBUICAO DE CALCADOS LTD</t>
  </si>
  <si>
    <t>REAL FILTROS E ACESSORIOS AUTOMOTIVOS LTDA</t>
  </si>
  <si>
    <t>MUTCD CENTRO DE DISTRIBUICAO DE IND FABRICANTE DE</t>
  </si>
  <si>
    <t>AZ HIDRAULICA USINAGEM LTDA EPP</t>
  </si>
  <si>
    <t>PRODUTOS PORTEIRAO COM DIST E REP LTDA EPP</t>
  </si>
  <si>
    <t>SAFRA AGRICOLA E PECUARIA LTDA EPP</t>
  </si>
  <si>
    <t>CARGA EQUIPAMENTOS RODOVIARIOS LTDA ME</t>
  </si>
  <si>
    <t>JANE FIGUEIRA CONFECCOES LTDA ME</t>
  </si>
  <si>
    <t>IBFX COMERCIO IMPORTACAO E EXPORTACAO LTDA EPP</t>
  </si>
  <si>
    <t>CLAUDINEA GOMES DA SILVA VIANA 04007455694</t>
  </si>
  <si>
    <t>SUPREMO PLASTICOS LTDA ME</t>
  </si>
  <si>
    <t>ACO COELHO INDUSTRIA E COMERCIO DE MOVEIS LTDA EPP</t>
  </si>
  <si>
    <t>SEU TRATOR LTDA EPP</t>
  </si>
  <si>
    <t>OLIVEIRA E SILVA COMERCIO DE MADEIRAS E EMBALAGENS</t>
  </si>
  <si>
    <t>PLATINUM INDUSTRIA DE CONFECCOES LTDA</t>
  </si>
  <si>
    <t>APOLO DISTRIBUIDORA LTDA</t>
  </si>
  <si>
    <t>ENGREMAT ENG PROJETO MANUTENCAO INSPECAO MONTAGENS</t>
  </si>
  <si>
    <t>ANDRADE ELETRO TECNICA LTDA EPP</t>
  </si>
  <si>
    <t>CONSTRUENGE ENGENHARIA E GERENCIAMENTO LTDA</t>
  </si>
  <si>
    <t>CONQUISTA INDUSTRIA DE MOVEIS S A EM RECUPERACAO J</t>
  </si>
  <si>
    <t>METALCROMO METALIZACAO E CROMO DURO INDUSTRIAL LTD</t>
  </si>
  <si>
    <t>TRANSPORTES TRANS BERTIN LTDA</t>
  </si>
  <si>
    <t>MECALD MECANICA E CALDEIRARIA LTDA EPP</t>
  </si>
  <si>
    <t>REAL DISTRIBUIDORA DE PRODUTOS PARA MARMORARIA LTD</t>
  </si>
  <si>
    <t>BEECORP BEM ESTAR CORPORATIVO LTDA ME</t>
  </si>
  <si>
    <t>ALPHA DISTRIBUIDORA DE PECAS LTDA ME</t>
  </si>
  <si>
    <t>FAC INDUSTRIA E SERVICOS LTDA ME</t>
  </si>
  <si>
    <t>TUBOLARES VITORIA INDUSTRIA E COMERCIO LTDA ME</t>
  </si>
  <si>
    <t>AVIAMENTOS CENTRAL LTDA ME</t>
  </si>
  <si>
    <t>PRADO MOREIRA TEXTIL LTDA ME</t>
  </si>
  <si>
    <t>ARTE FINAL INDUSTRIA E COMERCIO DE COURO LTDA</t>
  </si>
  <si>
    <t>COMERCIAL JLX DISTRIBUIDORA LTDA ME</t>
  </si>
  <si>
    <t>FILIPE AUGUSTO DO CARMO GUSMAO LTDA ME</t>
  </si>
  <si>
    <t>COMERCIAL GTS INFORMATICA LTDA EPP</t>
  </si>
  <si>
    <t>MAIS PURA AGUA MINERAL LTDA EPP</t>
  </si>
  <si>
    <t>MUNDYSERVICE COMERCIO DE PECAS E ASSISTENCIA TECNI</t>
  </si>
  <si>
    <t>STA TECHCANA LTDA</t>
  </si>
  <si>
    <t>DLTX INDUSTRIA E COMERCIO LTDA EPP</t>
  </si>
  <si>
    <t>CENTRAL DE SUPRIMENTOS INDUSTRIAIS LTDA EPP</t>
  </si>
  <si>
    <t>LTA USINAGEM LTDA EPP</t>
  </si>
  <si>
    <t>GLOBALMAX INDUSTRIA PLASTICA S/A</t>
  </si>
  <si>
    <t>NUTRIBEM SAL E RACOES LTDA</t>
  </si>
  <si>
    <t>LINGERIE E CIA LTDA ME</t>
  </si>
  <si>
    <t>SAFRA AGRICOLA E PECUARIA LTDA</t>
  </si>
  <si>
    <t>REFRACONT BRASIL LTDA</t>
  </si>
  <si>
    <t>FRAITECH INTELIGENCIA EM AUTOMACAO LTDA</t>
  </si>
  <si>
    <t>C V T O IND E COM LTDA EPP</t>
  </si>
  <si>
    <t>CENTRAL DO M R O COMERCIAL IMPORTACOES E SERVICOS</t>
  </si>
  <si>
    <t>GALLE INDUSTRIA E COMERCIO DE TINTAS E VERNIZES LT</t>
  </si>
  <si>
    <t>COMERCIAL PROGRESSO LTDA EPP</t>
  </si>
  <si>
    <t>LAF COMERCIAL LTDA ME</t>
  </si>
  <si>
    <t>BETEL UNIFORMES PROFISSIONAIS LTDA ME</t>
  </si>
  <si>
    <t>TERRA PECAS GENUINAS LTDA EPP</t>
  </si>
  <si>
    <t>REVPACK TECNOLOGIA E COMERCIO DE COMPONENTES PLAST</t>
  </si>
  <si>
    <t>ANGIOMEDIC COMERCIO DE MATERIAL MEDICO HOSPITALAR</t>
  </si>
  <si>
    <t>GAMA COMERCIO E TRANSPORTES LTDA EPP</t>
  </si>
  <si>
    <t>MINASPOL INDUSTRIA E COMERCIO DE COMPOSTOS POLIMER</t>
  </si>
  <si>
    <t>LINDINALDO ANISIO DA SILVA ME</t>
  </si>
  <si>
    <t>LOTUS DESENVOLVIMENTO IMOBILIARIO LTDA</t>
  </si>
  <si>
    <t>GRAFICA JSA LTDA EPP</t>
  </si>
  <si>
    <t>004.126.524/0001-84</t>
  </si>
  <si>
    <t>004.622.554/0001-81</t>
  </si>
  <si>
    <t>005.774.638/0001-01</t>
  </si>
  <si>
    <t>011.091.574/0001-39</t>
  </si>
  <si>
    <t>012.645.814/0001-62</t>
  </si>
  <si>
    <t>021.458.691/0001-41</t>
  </si>
  <si>
    <t>026.416.177/0001-67</t>
  </si>
  <si>
    <t>003.590.360/0001-89</t>
  </si>
  <si>
    <t>049.915.471/0001-19</t>
  </si>
  <si>
    <t>ITAQUAFER FERRAMENTAS LTDA ME</t>
  </si>
  <si>
    <t>043.515.558/0001-12</t>
  </si>
  <si>
    <t>038.405.720/0001-00</t>
  </si>
  <si>
    <t>032.925.977/0001-06</t>
  </si>
  <si>
    <t>025.094.292/0001-08</t>
  </si>
  <si>
    <t>021.420.856/0001-96</t>
  </si>
  <si>
    <t>020.066.300/0001-80</t>
  </si>
  <si>
    <t>018.608.055/0001-44</t>
  </si>
  <si>
    <t>013.749.701/0001-70</t>
  </si>
  <si>
    <t>011.173.099/0001-40</t>
  </si>
  <si>
    <t>007.561.436/0001-07</t>
  </si>
  <si>
    <t>007.102.721/0001-51</t>
  </si>
  <si>
    <t>055.979.736/0001-45</t>
  </si>
  <si>
    <t>071.350.797/0001-03</t>
  </si>
  <si>
    <t>ALTERAÇÃO RAMO DE ATIVIDADE</t>
  </si>
  <si>
    <t>ALTERACAO QUADRO SOCIAL</t>
  </si>
  <si>
    <t>ALTERACAO RAZAO SOCIAL</t>
  </si>
  <si>
    <t>ALTERACAO ADMINISTRADORES</t>
  </si>
  <si>
    <t>045.674.938/0001-25</t>
  </si>
  <si>
    <t>016.772.642/0001-49</t>
  </si>
  <si>
    <t>003.590.360/0001-90</t>
  </si>
  <si>
    <t>008.712.271/0001-81</t>
  </si>
  <si>
    <t>008.712.271/0001-82</t>
  </si>
  <si>
    <t>003.929.683/0001-54</t>
  </si>
  <si>
    <t>036.382.501/0001-27</t>
  </si>
  <si>
    <t>036.382.501/0001-28</t>
  </si>
  <si>
    <t>010.220.445/0001-30</t>
  </si>
  <si>
    <t>014.763.606/0001-93</t>
  </si>
  <si>
    <t>019.709.129/0001-00</t>
  </si>
  <si>
    <t>019.709.129/0001-01</t>
  </si>
  <si>
    <t>007.556.817/0001-90</t>
  </si>
  <si>
    <t>007.556.817/0001-91</t>
  </si>
  <si>
    <t>012.299.369/0001-26</t>
  </si>
  <si>
    <t>031.509.494/0001-68</t>
  </si>
  <si>
    <t>013.746.252/0001-06</t>
  </si>
  <si>
    <t>024.083.281/0001-51</t>
  </si>
  <si>
    <t>008.785.522/0001-58</t>
  </si>
  <si>
    <t>007.786.648/0001-84</t>
  </si>
  <si>
    <t>015.414.962/0001-64</t>
  </si>
  <si>
    <t>010.220.445/0001-31</t>
  </si>
  <si>
    <t>023.637.987/0001-55</t>
  </si>
  <si>
    <t>023.605.544/0001-82</t>
  </si>
  <si>
    <t>034.964.228/0001-13</t>
  </si>
  <si>
    <t>022.998.836/0001-60</t>
  </si>
  <si>
    <t>004.800.789/0001-16</t>
  </si>
  <si>
    <t>031.584.294/0001-70</t>
  </si>
  <si>
    <t>016.757.535/0001-41</t>
  </si>
  <si>
    <t>024.255.748/0001-01</t>
  </si>
  <si>
    <t>031.509.494/0001-69</t>
  </si>
  <si>
    <t>014.829.598/0001-30</t>
  </si>
  <si>
    <t>051.107.672/0001-31</t>
  </si>
  <si>
    <t>009.171.140/0001-05</t>
  </si>
  <si>
    <t>020.066.300/0001-81</t>
  </si>
  <si>
    <t>012.520.791/0001-61</t>
  </si>
  <si>
    <t>041.768.583/0001-82</t>
  </si>
  <si>
    <t>038.945.487/0001-58</t>
  </si>
  <si>
    <t>004.041.192/0001-35</t>
  </si>
  <si>
    <t>034.821.586/0001-77</t>
  </si>
  <si>
    <t>037.828.375/0001-54</t>
  </si>
  <si>
    <t>035.345.406/0001-90</t>
  </si>
  <si>
    <t>021.734.108/0001-88</t>
  </si>
  <si>
    <t>006.107.454/0001-42</t>
  </si>
  <si>
    <t>029.030.307/0001-17</t>
  </si>
  <si>
    <t>000.803.044/0001-50</t>
  </si>
  <si>
    <t>046.700.220/0001-29</t>
  </si>
  <si>
    <t>028.842.753/0001-63</t>
  </si>
  <si>
    <t>025.236.865/0001-82</t>
  </si>
  <si>
    <t>050.164.951/0001-74</t>
  </si>
  <si>
    <t>048.144.853/0001-23</t>
  </si>
  <si>
    <t>010.497.973/0001-31</t>
  </si>
  <si>
    <t>023.911.356/0001-82</t>
  </si>
  <si>
    <t>002.038.227/0001-51</t>
  </si>
  <si>
    <t>002.246.382/0001-63</t>
  </si>
  <si>
    <t>008.991.603/0001-04</t>
  </si>
  <si>
    <t>017.274.123/0001-13</t>
  </si>
  <si>
    <t>011.122.552/0001-99</t>
  </si>
  <si>
    <t>018.581.853/0001-20</t>
  </si>
  <si>
    <t>006.236.494/0001-94</t>
  </si>
  <si>
    <t>021.473.575/0001-00</t>
  </si>
  <si>
    <t>032.621.233/0001-06</t>
  </si>
  <si>
    <t>020.628.376/0001-52</t>
  </si>
  <si>
    <t>012.804.762/0001-20</t>
  </si>
  <si>
    <t>046.140.062/0001-08</t>
  </si>
  <si>
    <t>019.450.138/0001-10</t>
  </si>
  <si>
    <t>045.871.536/0001-10</t>
  </si>
  <si>
    <t>005.350.235/0001-27</t>
  </si>
  <si>
    <t>014.514.481/0001-68</t>
  </si>
  <si>
    <t>044.320.551/0001-08</t>
  </si>
  <si>
    <t>036.906.058/0001-46</t>
  </si>
  <si>
    <t>032.090.744/0001-30</t>
  </si>
  <si>
    <t>001.636.335/0001-63</t>
  </si>
  <si>
    <t>043.729.125/0001-60</t>
  </si>
  <si>
    <t>038.082.538/0001-65</t>
  </si>
  <si>
    <t>012.817.803/0001-12</t>
  </si>
  <si>
    <t>036.775.092/0001-29</t>
  </si>
  <si>
    <t>093.274.124/0001-46</t>
  </si>
  <si>
    <t>037.054.821/0001-10</t>
  </si>
  <si>
    <t>000.810.852/0001-44</t>
  </si>
  <si>
    <t>002.377.675/0001-80</t>
  </si>
  <si>
    <t>001.165.357/0001-92</t>
  </si>
  <si>
    <t>024.331.138/0001-31</t>
  </si>
  <si>
    <t>001.113.219/0001-60</t>
  </si>
  <si>
    <t>022.982.925/0001-18</t>
  </si>
  <si>
    <t>005.363.690/0001-67</t>
  </si>
  <si>
    <t>038.634.242/0001-00</t>
  </si>
  <si>
    <t>016.956.677/0001-38</t>
  </si>
  <si>
    <t>035.665.211/0001-28</t>
  </si>
  <si>
    <t>007.906.793/0001-51</t>
  </si>
  <si>
    <t>028.477.685/0001-80</t>
  </si>
  <si>
    <t>005.881.441/0001-63</t>
  </si>
  <si>
    <t>000.987.236/0001-63</t>
  </si>
  <si>
    <t>029.470.692/0001-13</t>
  </si>
  <si>
    <t>026.438.913/0001-88</t>
  </si>
  <si>
    <t>014.619.667/0001-81</t>
  </si>
  <si>
    <t>023.909.177/0001-00</t>
  </si>
  <si>
    <t>033.803.691/0001-10</t>
  </si>
  <si>
    <t>035.165.246/0001-06</t>
  </si>
  <si>
    <t>002.534.653/0001-86</t>
  </si>
  <si>
    <t>044.888.871/0001-69</t>
  </si>
  <si>
    <t>042.276.517/0001-58</t>
  </si>
  <si>
    <t>002.265.872/0001-07</t>
  </si>
  <si>
    <t>050.721.360/0001-50</t>
  </si>
  <si>
    <t>014.385.825/0001-86</t>
  </si>
  <si>
    <t>044.032.421/0001-70</t>
  </si>
  <si>
    <t>026.988.940/0001-24</t>
  </si>
  <si>
    <t>005.355.135/0001-93</t>
  </si>
  <si>
    <t>088.978.606/0001-47</t>
  </si>
  <si>
    <t>035.475.312/0001-36</t>
  </si>
  <si>
    <t>044.570.311/0001-61</t>
  </si>
  <si>
    <t>045.694.996/0001-10</t>
  </si>
  <si>
    <t>028.556.973/0001-20</t>
  </si>
  <si>
    <t>035.649.603/0001-01</t>
  </si>
  <si>
    <t>039.535.425/0001-30</t>
  </si>
  <si>
    <t>045.123.456/0001-87</t>
  </si>
  <si>
    <t>023.083.383/0001-04</t>
  </si>
  <si>
    <t>050.901.671/0001-00</t>
  </si>
  <si>
    <t>029.246.128/0001-11</t>
  </si>
  <si>
    <t>001.831.532/0001-33</t>
  </si>
  <si>
    <t>036.726.274/0001-00</t>
  </si>
  <si>
    <t>037.143.334/0001-24</t>
  </si>
  <si>
    <t>049.847.331/0001-50</t>
  </si>
  <si>
    <t>066.209.362/0001-03</t>
  </si>
  <si>
    <t>041.421.379/0001-90</t>
  </si>
  <si>
    <t>029.795.190/0001-62</t>
  </si>
  <si>
    <t>050.850.666/0001-07</t>
  </si>
  <si>
    <t>046.674.060/0001-90</t>
  </si>
  <si>
    <t>051.362.368/0001-30</t>
  </si>
  <si>
    <t>024.271.279/0001-06</t>
  </si>
  <si>
    <t>047.635.671/0001-92</t>
  </si>
  <si>
    <t>040.582.798/0001-41</t>
  </si>
  <si>
    <t>030.272.056/0001-66</t>
  </si>
  <si>
    <t>044.637.793/0001-20</t>
  </si>
  <si>
    <t>013.616.154/0001-54</t>
  </si>
  <si>
    <t>038.185.478/0001-06</t>
  </si>
  <si>
    <t>000.688.793/0001-83</t>
  </si>
  <si>
    <t>049.218.819/0001-19</t>
  </si>
  <si>
    <t>038.407.341/0001-59</t>
  </si>
  <si>
    <t>043.564.107/0001-75</t>
  </si>
  <si>
    <t>041.757.407/0001-45</t>
  </si>
  <si>
    <t>039.822.835/0001-62</t>
  </si>
  <si>
    <t>001.181.263/0001-07</t>
  </si>
  <si>
    <t>050.893.355/0001-25</t>
  </si>
  <si>
    <t>007.509.304/0001-28</t>
  </si>
  <si>
    <t>025.383.640/0001-59</t>
  </si>
  <si>
    <t>004.067.472/0001-12</t>
  </si>
  <si>
    <t>003.596.757/0001-88</t>
  </si>
  <si>
    <t>040.938.741/0001-32</t>
  </si>
  <si>
    <t>045.501.529/0001-27</t>
  </si>
  <si>
    <t>018.868.117/0001-57</t>
  </si>
  <si>
    <t>030.104.393/0001-44</t>
  </si>
  <si>
    <t>005.997.418/0001-39</t>
  </si>
  <si>
    <t>002.776.536/0001-29</t>
  </si>
  <si>
    <t>004.962.112/0001-84</t>
  </si>
  <si>
    <t>001.535.822/0001-30</t>
  </si>
  <si>
    <t>045.452.509/0001-03</t>
  </si>
  <si>
    <t>051.980.425/0001-45</t>
  </si>
  <si>
    <t>041.388.946/0001-54</t>
  </si>
  <si>
    <t>006.315.490/0001-00</t>
  </si>
  <si>
    <t>048.956.491/0001-75</t>
  </si>
  <si>
    <t>022.143.692/0001-60</t>
  </si>
  <si>
    <t>055.466.241/0001-12</t>
  </si>
  <si>
    <t>030.233.156/0001-83</t>
  </si>
  <si>
    <t>018.709.981/0001-06</t>
  </si>
  <si>
    <t>046.865.282/0001-90</t>
  </si>
  <si>
    <t>010.256.168/0001-16</t>
  </si>
  <si>
    <t>040.828.273/0001-43</t>
  </si>
  <si>
    <t>044.126.379/0001-56</t>
  </si>
  <si>
    <t>027.180.131/0001-54</t>
  </si>
  <si>
    <t>028.695.654/0001-04</t>
  </si>
  <si>
    <t>020.309.962/0001-34</t>
  </si>
  <si>
    <t>001.376.967/0001-35</t>
  </si>
  <si>
    <t>049.344.344/0001-07</t>
  </si>
  <si>
    <t>092.279.363/0001-26</t>
  </si>
  <si>
    <t>032.213.847/0001-40</t>
  </si>
  <si>
    <t>013.323.483/0001-07</t>
  </si>
  <si>
    <t>014.090.422/0001-00</t>
  </si>
  <si>
    <t>044.470.678/0001-03</t>
  </si>
  <si>
    <t>056.146.561/0001-58</t>
  </si>
  <si>
    <t>057.698.087/0001-30</t>
  </si>
  <si>
    <t>086.490.885/0001-70</t>
  </si>
  <si>
    <t>039.572.608/0001-26</t>
  </si>
  <si>
    <t>020.242.216/0001-70</t>
  </si>
  <si>
    <t>046.778.324/0001-56</t>
  </si>
  <si>
    <t>032.552.159/0001-05</t>
  </si>
  <si>
    <t>033.611.837/0001-26</t>
  </si>
  <si>
    <t>014.202.427/0001-87</t>
  </si>
  <si>
    <t>032.781.707/0001-79</t>
  </si>
  <si>
    <t>027.508.008/0001-10</t>
  </si>
  <si>
    <t>041.921.772/0001-43</t>
  </si>
  <si>
    <t>057.696.093/0001-58</t>
  </si>
  <si>
    <t>002.862.437/0001-60</t>
  </si>
  <si>
    <t>004.323.643/0001-27</t>
  </si>
  <si>
    <t>005.374.432/0001-86</t>
  </si>
  <si>
    <t>010.354.613/0001-80</t>
  </si>
  <si>
    <t>005.281.194/0001-64</t>
  </si>
  <si>
    <t>018.498.459/0001-22</t>
  </si>
  <si>
    <t>010.672.840/0001-54</t>
  </si>
  <si>
    <t>003.524.760/0001-96</t>
  </si>
  <si>
    <t>021.285.266/0001-06</t>
  </si>
  <si>
    <t>007.645.213/0001-10</t>
  </si>
  <si>
    <t>009.674.456/0001-01</t>
  </si>
  <si>
    <t>015.638.029/0001-70</t>
  </si>
  <si>
    <t>052.755.043/0001-80</t>
  </si>
  <si>
    <t>TECHNO MAG COMERCIO DE MATERIAIS E SERVICOS DE MANUTENCAO LTDA ME</t>
  </si>
  <si>
    <t>MENEGAZZO COMERCIO ATACADISTA DE TINTAS LTDA ME</t>
  </si>
  <si>
    <t>COMERCIAL SEGURANCA LTDA ME</t>
  </si>
  <si>
    <t>JSA DISTRIBUIDORA LTDA ME</t>
  </si>
  <si>
    <t>RGF EMPREENDIMENTOS MINERAIS LTDA EPP</t>
  </si>
  <si>
    <t>DIFARMIG LTDA</t>
  </si>
  <si>
    <t>HBEAUTY COSMETICOS LTDA ME</t>
  </si>
  <si>
    <t>JSA INDUSTRIA DE COSMETICOS LTDA EPP</t>
  </si>
  <si>
    <t>AGUIA LIDER TRANSPORTE RODOVIARIO LTDA EPP</t>
  </si>
  <si>
    <t>FENIX CAMISARIA LTDA ME</t>
  </si>
  <si>
    <t>SAGESSE TEXTIL LTDA EPP</t>
  </si>
  <si>
    <t>DISEP ALIMENTOS LTDA ME</t>
  </si>
  <si>
    <t>RJS CORREIAS E EMENDAS LTDA</t>
  </si>
  <si>
    <t>FOOD PAN INDUSTRIA ALIMENTICIA LTDA</t>
  </si>
  <si>
    <t>AGROEP PISCICULTURA LTDA ME</t>
  </si>
  <si>
    <t>PARTNER SECURITIZADORA S/A</t>
  </si>
  <si>
    <t>W M DE CASTRO NETO PRODUTOS FARMACEUTICOS EPP</t>
  </si>
  <si>
    <t>DLM COLLECTION COMERCIO LTDA ME</t>
  </si>
  <si>
    <t>NOVA CALDERARIA MONTAGEM LTDA EPP</t>
  </si>
  <si>
    <t>CALDENAS MONTAGEM DE CALDEIRARIA E SOLDAS LTDA</t>
  </si>
  <si>
    <t>JTH ASSESSORIA EMPRESARIAL LTDA ME</t>
  </si>
  <si>
    <t>LUCAS ALLA LOGISTICA LTDA</t>
  </si>
  <si>
    <t>DFJ CONSULTORIA E TECNOLOGIA LTDA EPP</t>
  </si>
  <si>
    <t>LMJJ ASSESSORIA EMPRESARIAL LTDA EPP</t>
  </si>
  <si>
    <t>ZAMARIAM MENEGAZZO LTDA ME</t>
  </si>
  <si>
    <t>JRG SOLUCOES INDUSTRIAIS LTDA</t>
  </si>
  <si>
    <t>JRG SOLUCOES EM SERVICOS LTDA ME</t>
  </si>
  <si>
    <t>TRANSPORTADORA PACHECO LTDA EPP</t>
  </si>
  <si>
    <t>BBS COMPONENTES DE AUTOMACAO CONTROLE E TRANSPORTADORES LTDA EPP</t>
  </si>
  <si>
    <t>DASG CONSULTORIA LTDA EPP</t>
  </si>
  <si>
    <t>FRUTABELLA INDUSTRIA E COMERCIO DE ALIMENTOS LTDA</t>
  </si>
  <si>
    <t>SENSORVIX INTELIGENCIA EM AUTOMACAO LTDA ME</t>
  </si>
  <si>
    <t>MILK LAT LTDA EPP</t>
  </si>
  <si>
    <t>HDR ENGENHARIA E LOCACOES LTDA ME</t>
  </si>
  <si>
    <t>DENTAL FREE MATERIAIS E SOLUCOES ODONTOLOGICAS LTDA ME</t>
  </si>
  <si>
    <t>LIDER DISTRIBUIDORA DE MOVEIS E EQUIPAMENTOS PARA SAUDE LTDA EPP</t>
  </si>
  <si>
    <t>SNT LOG LTDA ME</t>
  </si>
  <si>
    <t>NITROTEX INDUSTRIA E COMERCIO TEXTEIS LTDA ME</t>
  </si>
  <si>
    <t>PEDRA BONITA COMERCIO E MOAGEM DE COMBUSTIVEIS SOLIDOS LTDA</t>
  </si>
  <si>
    <t>MINAS CAL LOGISTICA LTDA</t>
  </si>
  <si>
    <t>HIDROCARBONETOS IMPORT LTDA</t>
  </si>
  <si>
    <t>ALCOB COMPANHIA METAIS DO BRASIL LTDA</t>
  </si>
  <si>
    <t>EMCASH SERVICOS FINANCEIROS SOCIEDADE EMPRESTIMO ENTRE PESSOAS S/A</t>
  </si>
  <si>
    <t>CARTONAGEM RODRIGUES LTDA ME</t>
  </si>
  <si>
    <t>PHOENIX LOGISTICA LTDA EPP</t>
  </si>
  <si>
    <t>BIO AROEIRA PISCINAS ACESSORIOS E EMBALAGENS LTDA ME</t>
  </si>
  <si>
    <t>CONQUISTA COMERCIO E SERVICOS DE GEOTECNIA LTDA EPP</t>
  </si>
  <si>
    <t>AVM INDUSTRIA E COMERCIO DE EMBALAGENS LTDA</t>
  </si>
  <si>
    <t>ARTECAL ELETROCENTROS SERVICOS E SOLUCOES LTDA EPP</t>
  </si>
  <si>
    <t>ENGREAMAT SERVICOS LTDA ME</t>
  </si>
  <si>
    <t>BETIM EPI E UNIFORMES LTDA EPP</t>
  </si>
  <si>
    <t>FRIGORIFICO BRAZFRIG INDUSTRIA E IMPORTACAO LTDA EPP</t>
  </si>
  <si>
    <t>E DE P BATISTA DISTRIBUIDORA ME</t>
  </si>
  <si>
    <t>PRES PECAS DE REPOSICAO PARA EQUIPAMENTOS SIDERURGICOS LTDA EPP</t>
  </si>
  <si>
    <t>CALDAS SEG INDUSTRIA E COMERCIO DE EPI S LTDA</t>
  </si>
  <si>
    <t>SAGESSE INDUSTRIAL TEXTIL LTDA</t>
  </si>
  <si>
    <t>S2 SYNERGY TECNOLOGIA EM POLIURETANO LTDA EPP</t>
  </si>
  <si>
    <t>A L M CARTONAGENS LTDA ME</t>
  </si>
  <si>
    <t>TORQUE IMPLEMENTOS E SERVICOS LTDA ME</t>
  </si>
  <si>
    <t>JFIX UNIDADE DE TINTAS E EFEITOS DECORATIVOS DO BRASIL LTDA EPP</t>
  </si>
  <si>
    <t>RODOSILVER TRANSPORTES LTDA EPP</t>
  </si>
  <si>
    <t>SUPER BULL IMPORTACAO E COMERCIO DE EQUIPAMENTOS LTDA EPP</t>
  </si>
  <si>
    <t>MINAS MIX INDUSTRIA E COMERCIO DE PRODUTOS ALIMENTICIOS LTDA ME</t>
  </si>
  <si>
    <t>METALAB COMERCIO E INDUSTRIA FARMACEUTICA LTDA ME</t>
  </si>
  <si>
    <t>L H TRANSPORTES E LOCACAO LTDA ME</t>
  </si>
  <si>
    <t>SLB RECOMECO COMERCIO DE ROUPAS LTDA ME</t>
  </si>
  <si>
    <t>DIALISE SOLUCOES INDUSTRIAIS LTDA EPP</t>
  </si>
  <si>
    <t>BH BRITADORES LTDA EPP</t>
  </si>
  <si>
    <t>038.479.255/0001-51</t>
  </si>
  <si>
    <t>2025-06-2</t>
  </si>
  <si>
    <t>041.397.377/0001-03</t>
  </si>
  <si>
    <t>INCLUSAO ANOT.INADIMPLENCIA</t>
  </si>
  <si>
    <t>EXCLUSAO ANOT.INADIMPLENCIA</t>
  </si>
  <si>
    <t>033.281.410/0001-07</t>
  </si>
  <si>
    <t>ALTERACAO RAMO DE ATIVIDADE</t>
  </si>
  <si>
    <t>013.918.473/0001-14</t>
  </si>
  <si>
    <t>026.628.832/0001-40</t>
  </si>
  <si>
    <t>3J FUNDICAO INDUSTRIAL LTDA</t>
  </si>
  <si>
    <t>029.258.293/0001-93</t>
  </si>
  <si>
    <t>RB DISTRIBUIDORA DE PRODUTOS DE HIGIENE LTDA</t>
  </si>
  <si>
    <t>052.432.693/0001-95</t>
  </si>
  <si>
    <t>SAGESSE INDUSTRIAL TEXTIL LTDA EPP</t>
  </si>
  <si>
    <t>042.119.428/0001-06</t>
  </si>
  <si>
    <t>TRATOR GLASS LTDA ME</t>
  </si>
  <si>
    <t>TIAGO NEVES</t>
  </si>
  <si>
    <t>035.298.171/0001-23</t>
  </si>
  <si>
    <t>028.514.938/0001-49</t>
  </si>
  <si>
    <t>SAGATEC LTDA</t>
  </si>
  <si>
    <t>035.797.639/0001-24</t>
  </si>
  <si>
    <t>DESTAK DISTRIBUIDORA PRODUTOS EQUIPAMENTOS HOSPITA</t>
  </si>
  <si>
    <t>VALERIA</t>
  </si>
  <si>
    <t>WASHINGTON</t>
  </si>
  <si>
    <t>JJPH</t>
  </si>
  <si>
    <t>CREDTEM</t>
  </si>
  <si>
    <t>044.921.612/0001-92</t>
  </si>
  <si>
    <t>051.323.061/0001-20</t>
  </si>
  <si>
    <t>A2 VIDROS INDUSTRIA E COMERCIO LTDA</t>
  </si>
  <si>
    <t>031.743.464/0001-11</t>
  </si>
  <si>
    <t>SKY JEANS LTDA ME</t>
  </si>
  <si>
    <t>FERNANDO ABRAS</t>
  </si>
  <si>
    <t>027.647.097/0001-85</t>
  </si>
  <si>
    <t>008.196.295/0001-25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</si>
</sst>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14" fontId="1" fillId="0" borderId="0" xfId="0" applyNumberFormat="1" applyFont="1" applyAlignment="1">
      <alignment horizontal="center" vertical="top"/>
    </xf>
    <xf numFmtId="0" fontId="1" fillId="0" borderId="0" xfId="0" applyFont="1"/>
    <xf numFmtId="0" fontId="0" fillId="0" borderId="0" xfId="0" pivotButton="1"/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1" xfId="0" applyBorder="1"/>
    <xf numFmtId="0" fontId="0" fillId="0" borderId="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1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49" fontId="0" fillId="0" borderId="0" xfId="0" applyNumberFormat="1"/>
    <xf numFmtId="14" fontId="0" fillId="0" borderId="0" xfId="0" quotePrefix="1" applyNumberFormat="1" applyAlignment="1">
      <alignment horizontal="center" vertical="top"/>
    </xf>
    <xf numFmtId="0" fontId="0" fillId="0" borderId="5" xfId="0" applyNumberFormat="1" applyBorder="1"/>
    <xf numFmtId="0" fontId="0" fillId="0" borderId="2" xfId="0" applyNumberFormat="1" applyBorder="1"/>
    <xf numFmtId="0" fontId="0" fillId="0" borderId="6" xfId="0" applyNumberFormat="1" applyBorder="1"/>
    <xf numFmtId="0" fontId="0" fillId="0" borderId="7" xfId="0" applyNumberFormat="1" applyBorder="1"/>
    <xf numFmtId="0" fontId="0" fillId="0" borderId="4" xfId="0" applyNumberFormat="1" applyBorder="1"/>
    <xf numFmtId="0" fontId="0" fillId="0" borderId="3" xfId="0" applyNumberFormat="1" applyBorder="1"/>
    <xf numFmtId="0" fontId="2" fillId="0" borderId="1" xfId="0" applyNumberFormat="1" applyFont="1" applyBorder="1"/>
  </cellXfs>
  <cellStyles count="1">
    <cellStyle name="Normal" xfId="0" builtinId="0"/>
  </cellStyles>
  <dxfs count="94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ill>
        <patternFill patternType="solid">
          <bgColor rgb="FFFF6021"/>
        </patternFill>
      </fill>
    </dxf>
    <dxf>
      <font>
        <color theme="1" tint="4.9989318521683403E-2"/>
      </font>
    </dxf>
    <dxf>
      <font>
        <color theme="1" tint="4.9989318521683403E-2"/>
      </font>
    </dxf>
    <dxf>
      <font>
        <color theme="5" tint="0.39997558519241921"/>
      </font>
    </dxf>
    <dxf>
      <font>
        <b val="0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ill>
        <patternFill patternType="solid">
          <bgColor rgb="FFFF6021"/>
        </patternFill>
      </fill>
    </dxf>
    <dxf>
      <font>
        <color theme="1" tint="4.9989318521683403E-2"/>
      </font>
    </dxf>
    <dxf>
      <font>
        <color theme="1" tint="4.9989318521683403E-2"/>
      </font>
    </dxf>
    <dxf>
      <font>
        <color theme="5" tint="0.39997558519241921"/>
      </font>
    </dxf>
    <dxf>
      <font>
        <b val="0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19" formatCode="dd/mm/yyyy"/>
      <alignment horizontal="center" vertical="top" textRotation="0" wrapText="0" indent="0" justifyLastLine="0" shrinkToFit="0" readingOrder="0"/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b val="0"/>
      </font>
    </dxf>
    <dxf>
      <font>
        <color theme="5" tint="0.39997558519241921"/>
      </font>
    </dxf>
    <dxf>
      <font>
        <color theme="1" tint="4.9989318521683403E-2"/>
      </font>
    </dxf>
    <dxf>
      <font>
        <color theme="1" tint="4.9989318521683403E-2"/>
      </font>
    </dxf>
    <dxf>
      <fill>
        <patternFill patternType="solid">
          <bgColor rgb="FFFF6021"/>
        </patternFill>
      </fill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82BC00"/>
        </patternFill>
      </fill>
    </dxf>
    <dxf>
      <font>
        <color theme="2"/>
      </font>
      <fill>
        <patternFill>
          <bgColor rgb="FFFF0000"/>
        </patternFill>
      </fill>
    </dxf>
    <dxf>
      <fill>
        <patternFill>
          <bgColor rgb="FF00B000"/>
        </patternFill>
      </fill>
    </dxf>
    <dxf>
      <font>
        <color auto="1"/>
      </font>
      <fill>
        <patternFill>
          <bgColor rgb="FF00B004"/>
        </patternFill>
      </fill>
    </dxf>
    <dxf>
      <font>
        <color theme="1" tint="4.9989318521683403E-2"/>
      </font>
    </dxf>
    <dxf>
      <fill>
        <patternFill>
          <bgColor rgb="FFFF6021"/>
        </patternFill>
      </fill>
    </dxf>
  </dxfs>
  <tableStyles count="0" defaultTableStyle="TableStyleMedium2" defaultPivotStyle="PivotStyleLight16"/>
  <colors>
    <mruColors>
      <color rgb="FFFF6021"/>
      <color rgb="FF82BC00"/>
      <color rgb="FF67BC00"/>
      <color rgb="FF00B000"/>
      <color rgb="FF00B0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uário Comercial 05" refreshedDate="45839.574385995373" createdVersion="8" refreshedVersion="8" minRefreshableVersion="3" recordCount="3001" xr:uid="{0C3E3862-B922-4751-8B7C-6C216549D25F}">
  <cacheSource type="worksheet">
    <worksheetSource ref="A1:J1048576" sheet="E-Mail BD"/>
  </cacheSource>
  <cacheFields count="11">
    <cacheField name="CNPJ" numFmtId="0">
      <sharedItems containsBlank="1"/>
    </cacheField>
    <cacheField name="Razão Social" numFmtId="0">
      <sharedItems containsBlank="1" count="497">
        <s v="ACQUION FOODTECH S/A"/>
        <s v="BOM PASTOR PAPEIS LTDA"/>
        <s v="IMPORTEXTIL COMERCIO DE TECIDOS LTDA"/>
        <s v="MBIOLOG DIAGNOSTICOS LTDA"/>
        <s v="WJ CALDEIRARIA INDUSTRIA E COMERCIO LTDA ME"/>
        <s v="BETMIX CONCRETO LTDA"/>
        <s v="ARCA CONSTRUCOES E INCORPORACOES LTDA"/>
        <s v="COM IND DE CEREAIS E TRANSPORTES MACIEL LTDA"/>
        <s v="BIOLIFE HEALTH IMPORTACAO E DISTRIBUICAO DE PRODUT"/>
        <s v="MASTERVET COMERCIO DE PRODUTOS AGROPECUARIOS LTDA"/>
        <s v="RODOBOX TRANSPORTES E ARMAZENAGEM DE CARGAS LTDA"/>
        <s v="MEIO OESTE PAPEIS LTDA ME"/>
        <s v="TRANSNECHER COMERCIO TRANSPORTES E EMPREENDIMENTOS"/>
        <s v="CERVEJARIA SOUZA LTDA"/>
        <s v="GREEN FARMING FAZENDAS RENOVAVEIS LTDA"/>
        <s v="UBERTEC SERVICE USINAGEM LTDA EPP"/>
        <s v="CONSULOC ENGENHARIA LTDA EPP"/>
        <s v="DIVINA INDUSTRIA DE COURO LTDA"/>
        <s v="MEK SOL FUNDACOES E SERVICOS GEOTECNICOS LTDA EPP"/>
        <s v="PLURIFORME INDUSTRIA E COMERCIO DE UNIFORMES LTDA"/>
        <s v="SUPER HARD TECNOLOGIA EM TRATAMENTO DE SUPERFICIES"/>
        <s v="ESSENZA INDUSTRIA QUIMICA LTDA"/>
        <s v="MUTCD CENTRO DISTRIBUICAO IND FABRICANTE COSMETICO"/>
        <s v="COLIBRI IND MEDIC SUPLEMENTOS PARA PECUARIA VETERI"/>
        <s v="DECISION DESENVOLVIMENTO DE SISTEMAS LTDA"/>
        <s v="RPT SOLUCOES AMBIENTAIS LTDA"/>
        <s v="ECOPINUS INDUSTRIA E COMERCIO DE EMBALAGENS DE MAD"/>
        <s v="MAPE TRATAMENTO DE RESIDUOS LTDA"/>
        <s v="VIC LOGISTICA LTDA"/>
        <s v="INDUSTRIA E CERVEJARIA ARTESANAL DE MINAS GERAIS L"/>
        <s v="ALEXANDRE ROSA VICENTE E SERVICOS LTDA ME"/>
        <s v="HERBAMED LABORATORIO NUTRACEUTICO LTDA"/>
        <s v="EVOLUTION MACHINES LTDA ME"/>
        <s v="AMP INDUSTRIA E COMERCIO DE CONDUTORES LTDA"/>
        <s v="SIAP COMERCIO DE PRODUTOS AGROPECUARIOS LTDA"/>
        <s v="VALENTE PRODUCOES LTDA ME"/>
        <s v="DISPA DISTRIBUIDORA SAO PAULO LTDA ME"/>
        <s v="ARTECAL ELETROCENTROS S/A"/>
        <s v="ISOBASE POLIESTIRENO LTDA EPP"/>
        <s v="COOPERATIVA TRANSP AUTON CARGAS PASSAG SERVICOS LO"/>
        <s v="ESPECIALI INDUSTRIA DE ALIMENTOS LTDA ME"/>
        <s v="PREMOLDADOS MATOSINHOS LTDA EPP"/>
        <s v="VIVAN TRANSPORTES LTDA"/>
        <s v="MINAS ALIMENTOS E FRUTAS SECAS LTDA EPP"/>
        <s v="TRANSHENRY TRANSPORTES LTDA"/>
        <s v="FARINELLI NUTRIMENTOS LTDA"/>
        <s v="NOVA DISTRIBUIDORA E ATACADO DE LIMPEZA LTDA"/>
        <s v="UNITA AUTO PECAS LTDA EPP"/>
        <s v="BIBE PRODUTOS INFANTIS LTDA"/>
        <s v="VIC LOGISTICA LTDA EM RECUPERACAO JUDICIAL"/>
        <s v="STONE ENGENHARIA E MONTAGENS INDUSTRIAIS LTDA"/>
        <s v="PHOENIX LOG TRANSPORTES LTDA EPP"/>
        <s v="ENXOVAIS MINAS LTDA ME"/>
        <s v="MG CONSULT DIST LTDA EPP"/>
        <s v="MOLAS ANEL POSTO DE TROCA LTDA EPP"/>
        <s v="XEQUE MATE BEBIDAS LTDA ME"/>
        <s v="JR X IMPORT LTDA EPP"/>
        <s v="PALMILHADO INDUSTRIA E COMERCIO LTDA"/>
        <s v="RODOANEL REFORMADORA DE IMPLEMENTOS RODOVIARIOS LT"/>
        <s v="HT SERVICOS DE TRANSPORTE E LOCACAO LTDA"/>
        <s v="MAIS DISTRIBUIDORA LTDA"/>
        <s v="DINAMICA COM FERRAMENTAS EQUIPAMENTOS PROTECAO IND"/>
        <s v="CONQUISTA INDUSTRIA DE MOVEIS S/A"/>
        <s v="VLF IMPERIAL LATICINIOS LTDA ME"/>
        <s v="ALLIAGE S A INDUSTRIAS MEDICO ODONTOLOGICA"/>
        <s v="PREMIUMGRAF SERVICOS GRAFICOS LTDA ME"/>
        <s v="VALADRES DIESEL LTDA EM RECUPERACAO JUDICIAL"/>
        <s v="JMS EMBALAGENS INDUSTRIAIS LTDA"/>
        <s v="MONTAGEM MINAS GERAIS LTDA ME"/>
        <s v="ALBERTO H DA SILVA ME"/>
        <s v="BOM PASTOR PAPEIS LTDA EM RECUPERACAO JUDICIAL"/>
        <s v="MEDICAL PRIME IMP EXPORT DISTRIB PRODUTOS MEDICOS"/>
        <s v="OLINDA IMPORTACAO E COMERCIO LTDA"/>
        <s v="UNIVERSO INOX INDUSTRIA E COMERCIO LTDA EPP"/>
        <s v="JF GOLD DISTRIBUIDORA LTDA EPP"/>
        <s v="ALPS FOMENTO MERCANTIL LTDA"/>
        <s v="POOLMAK SISTEMAS ESTRUTURAIS LTDA"/>
        <s v="RECICOLOGY INDUSTRIA E COMERCIO DE PRODUTOS RECICL"/>
        <s v="MOINHO DE TRIGO JM LTDA"/>
        <s v="REI DO MILHO ATACADISTA E VAREJISTA LTDA ME"/>
        <s v="PRIVILEGIO CONFECCOES CAMA MESA E BANHO LTDA EPP"/>
        <s v="PARTNER SECURITY SERVICOS DE SEGURANCA LTDA"/>
        <s v="RIMAG COMERCIO ATACADISTA DE ALIMENTOS IMPORTACAO"/>
        <s v="SGAMAQ INOVACAO AGROINDUSTRIAL LTDA"/>
        <s v="37 054 821 LARISSA GONTIJO AZEVEDO ME"/>
        <s v="OXIGAS RESIDUOS ESPECIAIS LTDA EPP"/>
        <s v="ESCUDO ADMINISTRACAO E SERVICOS LTDA EM RECUPERACA"/>
        <s v="ESCUDO VIGILANCIA E SEGURANCA LTDA EM RECUPERACAO"/>
        <s v="MORIA PRESTACAO DE SERVICOS LTDA ME"/>
        <s v="TOUROS IMPLEMENTOS LTDA ME"/>
        <s v="PROSPER MINERACAO S/A"/>
        <s v="STA SERVICOS LTDA"/>
        <s v="LUCCI ILUMINACAO LTDA EPP"/>
        <s v="DETRONIC ENERGIA E SERVICOS LTDA"/>
        <s v="MAAT COMERCIO DE VESTUARIO LTDA EPP"/>
        <s v="GLOBAL ACO SERVICOS E PRODUTOS SIDERURGICOS LTDA E"/>
        <s v="SAVIXX COMERCIO INTERNACIONAL S/A"/>
        <s v="EDUARDO LUIZ SILVA DA LUZ ME"/>
        <s v="VALADARES DIESEL LTDA EM RECUPERACAO JUDICIAL"/>
        <s v="COMGROUP AGROINDUSTRIAL LTDA"/>
        <s v="EXPRESSO PAV CONSTRUCOES E SERVICOS LTDA ME"/>
        <s v="AGROINDUSTRIA FRUTAS JARDINS LTDA"/>
        <s v="RESERVA TRADE LTDA ME"/>
        <s v="JFIX INDUSTRIA QUIMICA LTDA ME"/>
        <s v="LIZZENA COSMETICOS LTDA EPP"/>
        <s v="LABOR ELETRIC INDUSTRIA E COMERCIO UNIPESSOAL LTDA"/>
        <s v="ENCADESP LTDA ME"/>
        <s v="SIQUEIRA E GAIPO INDUSTRIA E MATERIAIS ESPORTIVOS"/>
        <s v="GRF JEANS WEAR LTDA ME"/>
        <s v="REAL ESTRUTURAS E CONSTRUCOES LTDA"/>
        <s v="FRANZAO COLCHOES LTDA EPP"/>
        <s v="MARCAS COMERCIO LTDA ME"/>
        <s v="CALDEM CONSTRUCOES MECANICAS LTDA EPP"/>
        <s v="BIO HEALTH COLCHOES LTDA EPP"/>
        <s v="OFFICER INDUSTRIA QUIMICA LTDA EPP"/>
        <s v="AGRO INDUSTRIAL LAZZERI LTDA"/>
        <s v="ELFRIG FRIGORIFICO ELDORADO LTDA ME"/>
        <s v="SAFRA OURO AGRONEGOCIOS LTDA EPP"/>
        <s v="FRUIT INDUSTRIA E COMERCIO LTDA ME"/>
        <s v="CIA TEXTIL LTDA ME"/>
        <s v="ALPLAST ATACADISTA E APOIO ADMINISTRATIVO LTDA EPP"/>
        <s v="GEDIBOR RUBBER POLYURETHANE LTDA EPP"/>
        <s v="TDR TRANSPORTES LOGISTICA LTDA"/>
        <s v="GRF JEANS WEAR LTDA EPP"/>
        <s v="FARBIA CHEMICALS COMERCIO IMPORTACAO E EXPORTACAO"/>
        <s v="PARTNER SOLUCOES EMPRESARIAIS LTDA ME"/>
        <s v="GLOBAL ACO SERV PRODUTOS SIDERURGICOS LTDA RECUPER"/>
        <s v="ORTHOSIDE INDUSTRIA E COMERCIO LTDA EPP"/>
        <s v="M TRATORES LTDA EPP"/>
        <s v="FRUTAS JARDINS LTDA"/>
        <s v="FUNDACAO DE ENSINO E PESQUISA DO SUL DE MINAS FEPE"/>
        <s v="INDUSTRIA E COMERCIO DE CHURRASQUEIRAS BOM JESUS L"/>
        <s v="COMERCIAL GODINHO FERREIRA LTDA"/>
        <s v="P P DISTRIBUIDORA LTDA"/>
        <s v="LIDER COMERCIO DE UNIFORMES E EPI S LTDA ME"/>
        <s v="USIPARTS COMERCIO DE PECAS PARA USINAS LTDA ME"/>
        <s v="D M RODRIGUES LTDA ME"/>
        <s v="BEIJA FLOR COMERCIO DE TINTAS LTDA"/>
        <s v="TREGA FILHOS EMPACOTAMENTO E DISTRIBUICAO LTDA ME"/>
        <s v="MAIS LAR ENGENHARIA LTDA"/>
        <s v="ORNELAS RESENDE TORRES TRANSPORTE E LOGISTICA LTDA"/>
        <s v="METAL STAMP INDUSTRIA E COMERCIO LTDA"/>
        <s v="QUALITY PACK INDUSTRIA E COMERCIO LTDA ME"/>
        <s v="JABEZ SERVICOS COMPARTILHADOS LTDA ME"/>
        <s v="MINAS CLEAN DISTRIBUIDORA DE PRODUTOS PARA LIMPEZA"/>
        <s v="KUARA COMERCIAL E EXPORTADORA DE FRUTAS LTDA"/>
        <s v="CNM CHICOTES ELETRICOS LTDA EPP"/>
        <s v="A C ESPORTES S A F"/>
        <s v="ABN CONSULTORIA E PROJETOS LTDA EPP"/>
        <s v="CF COMEX IMPORTACAO EQUIPAMENTOS E SERVICOS LTDA"/>
        <s v="ACO X LTDA ME"/>
        <s v="VGS COMERCIO DE EMBALAGENS DE MADEIRAS LTDA ME"/>
        <s v="TORQUE FERRAMENTAS LTDA ME"/>
        <s v="S A COMERCIO E INDUSTRIA DE CALCADOS LTDA ME"/>
        <s v="SH METALIZACOES LTDA EPP"/>
        <s v="ORNELAS TRANSPORTE E LOGISTICA LTDA"/>
        <s v="ELO TELECOMUNICACOES E CONSTRUCOES S/A"/>
        <s v="ALTAG NEGOCIOS AGRICOLAS LTDA"/>
        <s v="GRAFICA ROMANA LTDA ME"/>
        <s v="JUATUBA MOVEIS E EMBALAGENS LTDA"/>
        <s v="TERRAPLAST INDUSTRIA E COMERCIO DE EQUIPAMENTOS DE"/>
        <s v="FUMEF FUNDICAO E MECANICA DE FERROS LTDA"/>
        <s v="NUTRIENS FERTIL LTDA ME"/>
        <s v="ONFARM BRASIL LTDA ME"/>
        <s v="PARANAIBA FERTILIZANTES IND E COM LTDA EM RECUPERA"/>
        <s v="IVA LOCACOES E CONSTRUCOES LTDA EPP"/>
        <s v="RENOVAR AGRICOLA LTDA"/>
        <s v="DIOTTONI INDUSTRIA E COMERCIO DE ALIMENTOS LTDA ME"/>
        <s v="MAPP COM IMPORTACAO EXPORTACAO IND PRODUTOS ALIMEN"/>
        <s v="A 8 ENGENHARIA LTDA ME"/>
        <s v="REAL FILTROS E ACESSORIOS AUTOMOTIVOS LTDA EPP"/>
        <s v="GOIARTE SOLUCOES CONSTRUTIVAS EM CONCRETO LTDA"/>
        <s v="SMARTCENTER SOLUCOES INTELIGENTES LTDA ME"/>
        <s v="SMARTCENTERGROUP COMERCIO DE EQUIPAMENTOS DE INFOR"/>
        <s v="MUNDO AGRO COMERCIO E DISTRIBUICAO DE CALCADOS LTD"/>
        <s v="REAL FILTROS E ACESSORIOS AUTOMOTIVOS LTDA"/>
        <s v="AZ HIDRAULICA USINAGEM LTDA EPP"/>
        <s v="MUTCD CENTRO DE DISTRIBUICAO DE IND FABRICANTE DE"/>
        <s v="RODOVIEIRA TRANSPORTE LTDA"/>
        <s v="SAFRA AGRICOLA E PECUARIA LTDA EPP"/>
        <s v="PRODUTOS PORTEIRAO COM DIST E REP LTDA EPP"/>
        <s v="CARGA EQUIPAMENTOS RODOVIARIOS LTDA ME"/>
        <s v="JANE FIGUEIRA CONFECCOES LTDA ME"/>
        <s v="IBFX COMERCIO IMPORTACAO E EXPORTACAO LTDA EPP"/>
        <s v="CLAUDINEA GOMES DA SILVA VIANA 04007455694"/>
        <s v="SUPREMO PLASTICOS LTDA ME"/>
        <s v="ACO COELHO INDUSTRIA E COMERCIO DE MOVEIS LTDA EPP"/>
        <s v="OLIVEIRA E SILVA COMERCIO DE MADEIRAS E EMBALAGENS"/>
        <s v="SEU TRATOR LTDA EPP"/>
        <s v="PLATINUM INDUSTRIA DE CONFECCOES LTDA"/>
        <s v="SOCIAL S/A"/>
        <s v="APOLO DISTRIBUIDORA LTDA"/>
        <s v="ENGREMAT ENG PROJETO MANUTENCAO INSPECAO MONTAGENS"/>
        <s v="CONSTRUENGE ENGENHARIA E GERENCIAMENTO LTDA"/>
        <s v="ANDRADE ELETRO TECNICA LTDA EPP"/>
        <s v="CONQUISTA INDUSTRIA DE MOVEIS S A EM RECUPERACAO J"/>
        <s v="METALCROMO METALIZACAO E CROMO DURO INDUSTRIAL LTD"/>
        <s v="TRANSPORTES TRANS BERTIN LTDA"/>
        <s v="MECALD MECANICA E CALDEIRARIA LTDA EPP"/>
        <s v="REAL DISTRIBUIDORA DE PRODUTOS PARA MARMORARIA LTD"/>
        <s v="BEECORP BEM ESTAR CORPORATIVO LTDA ME"/>
        <s v="ALPHA DISTRIBUIDORA DE PECAS LTDA ME"/>
        <s v="TP DISTRIBUIDORA DE PECAS LTDA EPP"/>
        <s v="FAC INDUSTRIA E SERVICOS LTDA ME"/>
        <s v="TUBOLARES VITORIA INDUSTRIA E COMERCIO LTDA ME"/>
        <s v="AVIAMENTOS CENTRAL LTDA ME"/>
        <s v="BIOTECH LOGISTICA LTDA"/>
        <s v="PRADO MOREIRA TEXTIL LTDA ME"/>
        <s v="ARTE FINAL INDUSTRIA E COMERCIO DE COURO LTDA"/>
        <s v="FILIPE AUGUSTO DO CARMO GUSMAO LTDA ME"/>
        <s v="COMERCIAL JLX DISTRIBUIDORA LTDA ME"/>
        <s v="MAIS PURA AGUA MINERAL LTDA EPP"/>
        <s v="COMERCIAL GTS INFORMATICA LTDA EPP"/>
        <s v="MUNDYSERVICE COMERCIO DE PECAS E ASSISTENCIA TECNI"/>
        <s v="STA TECHCANA LTDA"/>
        <s v="DLTX INDUSTRIA E COMERCIO LTDA EPP"/>
        <s v="CENTRAL DE SUPRIMENTOS INDUSTRIAIS LTDA EPP"/>
        <s v="LTA USINAGEM LTDA EPP"/>
        <s v="GLOBALMAX INDUSTRIA PLASTICA S/A"/>
        <s v="NUTRIBEM SAL E RACOES LTDA"/>
        <s v="LINGERIE E CIA LTDA ME"/>
        <s v="SAFRA AGRICOLA E PECUARIA LTDA"/>
        <s v="C V T O IND E COM LTDA EPP"/>
        <s v="REFRACONT BRASIL LTDA"/>
        <s v="FRAITECH INTELIGENCIA EM AUTOMACAO LTDA"/>
        <s v="CENTRAL DO M R O COMERCIAL IMPORTACOES E SERVICOS"/>
        <s v="GALLE INDUSTRIA E COMERCIO DE TINTAS E VERNIZES LT"/>
        <s v="COMERCIAL PROGRESSO LTDA EPP"/>
        <s v="BETEL UNIFORMES PROFISSIONAIS LTDA ME"/>
        <s v="LAF COMERCIAL LTDA ME"/>
        <s v="TERRA PECAS GENUINAS LTDA EPP"/>
        <s v="REVPACK TECNOLOGIA E COMERCIO DE COMPONENTES PLAST"/>
        <s v="ANGIOMEDIC COMERCIO DE MATERIAL MEDICO HOSPITALAR"/>
        <s v="GAMA COMERCIO E TRANSPORTES LTDA EPP"/>
        <s v="MINASPOL INDUSTRIA E COMERCIO DE COMPOSTOS POLIMER"/>
        <s v="LINDINALDO ANISIO DA SILVA ME"/>
        <s v="LOTUS DESENVOLVIMENTO IMOBILIARIO LTDA"/>
        <s v="PROMEL IND COM IMP E EXP DE PRODS NATURAIS LTDA"/>
        <s v="GRAFICA JSA LTDA EPP"/>
        <s v="AUTOMOTIV DO BRASIL INDUSTRIAL LTDA"/>
        <s v="ITAQUAFER FERRAMENTAS LTDA ME"/>
        <s v="JSA INDUSTRIA DE COSMETICOS LTDA EPP"/>
        <s v="METALAB COMERCIO E INDUSTRIA FARMACEUTICA LTDA ME"/>
        <s v="NOVA CALDERARIA MONTAGEM LTDA EPP"/>
        <s v="CALDAS SEG INDUSTRIA E COMERCIO DE EPI S LTDA"/>
        <s v="3J FUNDICAO INDUSTRIAL LTDA"/>
        <s v="RB DISTRIBUIDORA DE PRODUTOS DE HIGIENE LTDA"/>
        <s v="SAGESSE INDUSTRIAL TEXTIL LTDA EPP"/>
        <s v="TRATOR GLASS LTDA ME"/>
        <s v="SENSORVIX INTELIGENCIA EM AUTOMACAO LTDA ME"/>
        <s v="SAGATEC LTDA"/>
        <s v="DESTAK DISTRIBUIDORA PRODUTOS EQUIPAMENTOS HOSPITA"/>
        <s v="HBEAUTY COSMETICOS LTDA ME"/>
        <s v="A2 VIDROS INDUSTRIA E COMERCIO LTDA"/>
        <s v="COMERCIAL SEGURANCA LTDA ME"/>
        <s v="SKY JEANS LTDA ME"/>
        <s v="W M DE CASTRO NETO PRODUTOS FARMACEUTICOS EPP"/>
        <m/>
        <s v="  ACQUION FOODTECH S/A" u="1"/>
        <s v="  BOM PASTOR PAPEIS LTDA" u="1"/>
        <s v="  IMPORTEXTIL COMERCIO DE TECIDOS LTDA" u="1"/>
        <s v="  MBIOLOG DIAGNOSTICOS LTDA" u="1"/>
        <s v="  WJ CALDEIRARIA INDUSTRIA E COMERCIO LTDA ME" u="1"/>
        <s v="  BETMIX CONCRETO LTDA" u="1"/>
        <s v="  ARCA CONSTRUCOES E INCORPORACOES LTDA" u="1"/>
        <s v="  COM IND DE CEREAIS E TRANSPORTES MACIEL LTDA" u="1"/>
        <s v="  BIOLIFE HEALTH IMPORTACAO E DISTRIBUICAO DE PRODUT" u="1"/>
        <s v="  MASTERVET COMERCIO DE PRODUTOS AGROPECUARIOS LTDA" u="1"/>
        <s v="  RODOBOX TRANSPORTES E ARMAZENAGEM DE CARGAS LTDA" u="1"/>
        <s v="  MEIO OESTE PAPEIS LTDA ME" u="1"/>
        <s v="  TRANSNECHER COMERCIO TRANSPORTES E EMPREENDIMENTOS" u="1"/>
        <s v="  CERVEJARIA SOUZA LTDA" u="1"/>
        <s v="  GREEN FARMING FAZENDAS RENOVAVEIS LTDA" u="1"/>
        <s v="  UBERTEC SERVICE USINAGEM LTDA EPP" u="1"/>
        <s v="  CONSULOC ENGENHARIA LTDA EPP" u="1"/>
        <s v="  DIVINA INDUSTRIA DE COURO LTDA" u="1"/>
        <s v="  MEK SOL FUNDACOES E SERVICOS GEOTECNICOS LTDA EPP" u="1"/>
        <s v="  PLURIFORME INDUSTRIA E COMERCIO DE UNIFORMES LTDA" u="1"/>
        <s v="  SUPER HARD TECNOLOGIA EM TRATAMENTO DE SUPERFICIES" u="1"/>
        <s v="  ESSENZA INDUSTRIA QUIMICA LTDA" u="1"/>
        <s v="  MUTCD CENTRO DISTRIBUICAO IND FABRICANTE COSMETICO" u="1"/>
        <s v="  COLIBRI IND MEDIC SUPLEMENTOS PARA PECUARIA VETERI" u="1"/>
        <s v="  DECISION DESENVOLVIMENTO DE SISTEMAS LTDA" u="1"/>
        <s v="  RPT SOLUCOES AMBIENTAIS LTDA" u="1"/>
        <s v="  ECOPINUS INDUSTRIA E COMERCIO DE EMBALAGENS DE MAD" u="1"/>
        <s v="  MAPE TRATAMENTO DE RESIDUOS LTDA" u="1"/>
        <s v="  VIC LOGISTICA LTDA" u="1"/>
        <s v="  INDUSTRIA E CERVEJARIA ARTESANAL DE MINAS GERAIS L" u="1"/>
        <s v="  ALEXANDRE ROSA VICENTE E SERVICOS LTDA ME" u="1"/>
        <s v="  HERBAMED LABORATORIO NUTRACEUTICO LTDA" u="1"/>
        <s v="  EVOLUTION MACHINES LTDA ME" u="1"/>
        <s v="  AMP INDUSTRIA E COMERCIO DE CONDUTORES LTDA" u="1"/>
        <s v="  SIAP COMERCIO DE PRODUTOS AGROPECUARIOS LTDA" u="1"/>
        <s v="  VALENTE PRODUCOES LTDA ME" u="1"/>
        <s v="  DISPA DISTRIBUIDORA SAO PAULO LTDA ME" u="1"/>
        <s v="  ARTECAL ELETROCENTROS S/A" u="1"/>
        <s v="  ISOBASE POLIESTIRENO LTDA EPP" u="1"/>
        <s v="  COOPERATIVA TRANSP AUTON CARGAS PASSAG SERVICOS LO" u="1"/>
        <s v="  ESPECIALI INDUSTRIA DE ALIMENTOS LTDA ME" u="1"/>
        <s v="  PREMOLDADOS MATOSINHOS LTDA EPP" u="1"/>
        <s v="  VIVAN TRANSPORTES LTDA" u="1"/>
        <s v="  MINAS ALIMENTOS E FRUTAS SECAS LTDA EPP" u="1"/>
        <s v="  TRANSHENRY TRANSPORTES LTDA" u="1"/>
        <s v="  FARINELLI NUTRIMENTOS LTDA" u="1"/>
        <s v="  NOVA DISTRIBUIDORA E ATACADO DE LIMPEZA LTDA" u="1"/>
        <s v="  UNITA AUTO PECAS LTDA EPP" u="1"/>
        <s v="  BIBE PRODUTOS INFANTIS LTDA" u="1"/>
        <s v="  VIC LOGISTICA LTDA EM RECUPERACAO JUDICIAL" u="1"/>
        <s v="  STONE ENGENHARIA E MONTAGENS INDUSTRIAIS LTDA" u="1"/>
        <s v="  PHOENIX LOG TRANSPORTES LTDA EPP" u="1"/>
        <s v="  ENXOVAIS MINAS LTDA ME" u="1"/>
        <s v="  MG CONSULT DIST LTDA EPP" u="1"/>
        <s v="  MOLAS ANEL POSTO DE TROCA LTDA EPP" u="1"/>
        <s v="  XEQUE MATE BEBIDAS LTDA ME" u="1"/>
        <s v="  JR X IMPORT LTDA EPP" u="1"/>
        <s v="  PALMILHADO INDUSTRIA E COMERCIO LTDA" u="1"/>
        <s v="  RODOANEL REFORMADORA DE IMPLEMENTOS RODOVIARIOS LT" u="1"/>
        <s v="  HT SERVICOS DE TRANSPORTE E LOCACAO LTDA" u="1"/>
        <s v="  MAIS DISTRIBUIDORA LTDA" u="1"/>
        <s v="  DINAMICA COM FERRAMENTAS EQUIPAMENTOS PROTECAO IND" u="1"/>
        <s v="  CONQUISTA INDUSTRIA DE MOVEIS S/A" u="1"/>
        <s v="  VLF IMPERIAL LATICINIOS LTDA ME" u="1"/>
        <s v="  ALLIAGE S A INDUSTRIAS MEDICO ODONTOLOGICA" u="1"/>
        <s v="  PREMIUMGRAF SERVICOS GRAFICOS LTDA ME" u="1"/>
        <s v="  VALADRES DIESEL LTDA EM RECUPERACAO JUDICIAL" u="1"/>
        <s v="  JMS EMBALAGENS INDUSTRIAIS LTDA" u="1"/>
        <s v="  MONTAGEM MINAS GERAIS LTDA ME" u="1"/>
        <s v="  ALBERTO H DA SILVA ME" u="1"/>
        <s v="  BOM PASTOR PAPEIS LTDA EM RECUPERACAO JUDICIAL" u="1"/>
        <s v="  MEDICAL PRIME IMP EXPORT DISTRIB PRODUTOS MEDICOS" u="1"/>
        <s v="  OLINDA IMPORTACAO E COMERCIO LTDA" u="1"/>
        <s v="  UNIVERSO INOX INDUSTRIA E COMERCIO LTDA EPP" u="1"/>
        <s v="  JF GOLD DISTRIBUIDORA LTDA EPP" u="1"/>
        <s v="  ALPS FOMENTO MERCANTIL LTDA" u="1"/>
        <s v="  POOLMAK SISTEMAS ESTRUTURAIS LTDA" u="1"/>
        <s v="  RECICOLOGY INDUSTRIA E COMERCIO DE PRODUTOS RECICL" u="1"/>
        <s v="  MOINHO DE TRIGO JM LTDA" u="1"/>
        <s v="  REI DO MILHO ATACADISTA E VAREJISTA LTDA ME" u="1"/>
        <s v="  PRIVILEGIO CONFECCOES CAMA MESA E BANHO LTDA EPP" u="1"/>
        <s v="  PARTNER SECURITY SERVICOS DE SEGURANCA LTDA" u="1"/>
        <s v="  RIMAG COMERCIO ATACADISTA DE ALIMENTOS IMPORTACAO" u="1"/>
        <s v="  SGAMAQ INOVACAO AGROINDUSTRIAL LTDA" u="1"/>
        <s v="  37 054 821 LARISSA GONTIJO AZEVEDO ME" u="1"/>
        <s v="  OXIGAS RESIDUOS ESPECIAIS LTDA EPP" u="1"/>
        <s v="  ESCUDO ADMINISTRACAO E SERVICOS LTDA EM RECUPERACA" u="1"/>
        <s v="  ESCUDO VIGILANCIA E SEGURANCA LTDA EM RECUPERACAO" u="1"/>
        <s v="  MORIA PRESTACAO DE SERVICOS LTDA ME" u="1"/>
        <s v="  TOUROS IMPLEMENTOS LTDA ME" u="1"/>
        <s v="  PROSPER MINERACAO S/A" u="1"/>
        <s v="  STA SERVICOS LTDA" u="1"/>
        <s v="  LUCCI ILUMINACAO LTDA EPP" u="1"/>
        <s v="  DETRONIC ENERGIA E SERVICOS LTDA" u="1"/>
        <s v="  MAAT COMERCIO DE VESTUARIO LTDA EPP" u="1"/>
        <s v="  GLOBAL ACO SERVICOS E PRODUTOS SIDERURGICOS LTDA E" u="1"/>
        <s v="  SAVIXX COMERCIO INTERNACIONAL S/A" u="1"/>
        <s v="  EDUARDO LUIZ SILVA DA LUZ ME" u="1"/>
        <s v="  VALADARES DIESEL LTDA EM RECUPERACAO JUDICIAL" u="1"/>
        <s v="  COMGROUP AGROINDUSTRIAL LTDA" u="1"/>
        <s v="  EXPRESSO PAV CONSTRUCOES E SERVICOS LTDA ME" u="1"/>
        <s v="  AGROINDUSTRIA FRUTAS JARDINS LTDA" u="1"/>
        <s v="  RESERVA TRADE LTDA ME" u="1"/>
        <s v="  JFIX INDUSTRIA QUIMICA LTDA ME" u="1"/>
        <s v="  LIZZENA COSMETICOS LTDA EPP" u="1"/>
        <s v="  LABOR ELETRIC INDUSTRIA E COMERCIO UNIPESSOAL LTDA" u="1"/>
        <s v="  ENCADESP LTDA ME" u="1"/>
        <s v="  SIQUEIRA E GAIPO INDUSTRIA E MATERIAIS ESPORTIVOS" u="1"/>
        <s v="  GRF JEANS WEAR LTDA ME" u="1"/>
        <s v="  REAL ESTRUTURAS E CONSTRUCOES LTDA" u="1"/>
        <s v="  FRANZAO COLCHOES LTDA EPP" u="1"/>
        <s v="  MARCAS COMERCIO LTDA ME" u="1"/>
        <s v="  CALDEM CONSTRUCOES MECANICAS LTDA EPP" u="1"/>
        <s v="  BIO HEALTH COLCHOES LTDA EPP" u="1"/>
        <s v="  OFFICER INDUSTRIA QUIMICA LTDA EPP" u="1"/>
        <s v="  AGRO INDUSTRIAL LAZZERI LTDA" u="1"/>
        <s v="  ELFRIG FRIGORIFICO ELDORADO LTDA ME" u="1"/>
        <s v="  SAFRA OURO AGRONEGOCIOS LTDA EPP" u="1"/>
        <s v="  FRUIT INDUSTRIA E COMERCIO LTDA ME" u="1"/>
        <s v="  CIA TEXTIL LTDA ME" u="1"/>
        <s v="  ALPLAST ATACADISTA E APOIO ADMINISTRATIVO LTDA EPP" u="1"/>
        <s v="  GEDIBOR RUBBER POLYURETHANE LTDA EPP" u="1"/>
        <s v="  TDR TRANSPORTES LOGISTICA LTDA" u="1"/>
        <s v="  GRF JEANS WEAR LTDA EPP" u="1"/>
        <s v="  FARBIA CHEMICALS COMERCIO IMPORTACAO E EXPORTACAO" u="1"/>
        <s v="  PARTNER SOLUCOES EMPRESARIAIS LTDA ME" u="1"/>
        <s v="  GLOBAL ACO SERV PRODUTOS SIDERURGICOS LTDA RECUPER" u="1"/>
        <s v="  ORTHOSIDE INDUSTRIA E COMERCIO LTDA EPP" u="1"/>
        <s v="  M TRATORES LTDA EPP" u="1"/>
        <s v="  FRUTAS JARDINS LTDA" u="1"/>
        <s v="  FUNDACAO DE ENSINO E PESQUISA DO SUL DE MINAS FEPE" u="1"/>
        <s v="  INDUSTRIA E COMERCIO DE CHURRASQUEIRAS BOM JESUS L" u="1"/>
        <s v="  COMERCIAL GODINHO FERREIRA LTDA" u="1"/>
        <s v="  P P DISTRIBUIDORA LTDA" u="1"/>
        <s v="  LIDER COMERCIO DE UNIFORMES E EPI S LTDA ME" u="1"/>
        <s v="  USIPARTS COMERCIO DE PECAS PARA USINAS LTDA ME" u="1"/>
        <s v="  D M RODRIGUES LTDA ME" u="1"/>
        <s v="  BEIJA FLOR COMERCIO DE TINTAS LTDA" u="1"/>
        <s v="  TREGA FILHOS EMPACOTAMENTO E DISTRIBUICAO LTDA ME" u="1"/>
        <s v="  MAIS LAR ENGENHARIA LTDA" u="1"/>
        <s v="  ORNELAS RESENDE TORRES TRANSPORTE E LOGISTICA LTDA" u="1"/>
        <s v="  METAL STAMP INDUSTRIA E COMERCIO LTDA" u="1"/>
        <s v="  QUALITY PACK INDUSTRIA E COMERCIO LTDA ME" u="1"/>
        <s v="  JABEZ SERVICOS COMPARTILHADOS LTDA ME" u="1"/>
        <s v="  MINAS CLEAN DISTRIBUIDORA DE PRODUTOS PARA LIMPEZA" u="1"/>
        <s v="  KUARA COMERCIAL E EXPORTADORA DE FRUTAS LTDA" u="1"/>
        <s v="  CNM CHICOTES ELETRICOS LTDA EPP" u="1"/>
        <s v="  A C ESPORTES S A F" u="1"/>
        <s v="  ABN CONSULTORIA E PROJETOS LTDA EPP" u="1"/>
        <s v="  CF COMEX IMPORTACAO EQUIPAMENTOS E SERVICOS LTDA" u="1"/>
        <s v="  ACO X LTDA ME" u="1"/>
        <s v="  VGS COMERCIO DE EMBALAGENS DE MADEIRAS LTDA ME" u="1"/>
        <s v="  TORQUE FERRAMENTAS LTDA ME" u="1"/>
        <s v="  S A COMERCIO E INDUSTRIA DE CALCADOS LTDA ME" u="1"/>
        <s v="  SH METALIZACOES LTDA EPP" u="1"/>
        <s v="  ORNELAS TRANSPORTE E LOGISTICA LTDA" u="1"/>
        <s v="  ELO TELECOMUNICACOES E CONSTRUCOES S/A" u="1"/>
        <s v="  ALTAG NEGOCIOS AGRICOLAS LTDA" u="1"/>
        <s v="  GRAFICA ROMANA LTDA ME" u="1"/>
        <s v="  JUATUBA MOVEIS E EMBALAGENS LTDA" u="1"/>
        <s v="  TERRAPLAST INDUSTRIA E COMERCIO DE EQUIPAMENTOS DE" u="1"/>
        <s v="  FUMEF FUNDICAO E MECANICA DE FERROS LTDA" u="1"/>
        <s v="  NUTRIENS FERTIL LTDA ME" u="1"/>
        <s v="  ONFARM BRASIL LTDA ME" u="1"/>
        <s v="  PARANAIBA FERTILIZANTES IND E COM LTDA EM RECUPERA" u="1"/>
        <s v="  IVA LOCACOES E CONSTRUCOES LTDA EPP" u="1"/>
        <s v="  RENOVAR AGRICOLA LTDA" u="1"/>
        <s v="  DIOTTONI INDUSTRIA E COMERCIO DE ALIMENTOS LTDA ME" u="1"/>
        <s v="  MAPP COM IMPORTACAO EXPORTACAO IND PRODUTOS ALIMEN" u="1"/>
        <s v="  A 8 ENGENHARIA LTDA ME" u="1"/>
        <s v="  REAL FILTROS E ACESSORIOS AUTOMOTIVOS LTDA EPP" u="1"/>
        <s v="  GOIARTE SOLUCOES CONSTRUTIVAS EM CONCRETO LTDA" u="1"/>
        <s v="  SMARTCENTER SOLUCOES INTELIGENTES LTDA ME" u="1"/>
        <s v="  SMARTCENTERGROUP COMERCIO DE EQUIPAMENTOS DE INFOR" u="1"/>
        <s v="  MUNDO AGRO COMERCIO E DISTRIBUICAO DE CALCADOS LTD" u="1"/>
        <s v="  REAL FILTROS E ACESSORIOS AUTOMOTIVOS LTDA" u="1"/>
        <s v="  AZ HIDRAULICA USINAGEM LTDA EPP" u="1"/>
        <s v="  MUTCD CENTRO DE DISTRIBUICAO DE IND FABRICANTE DE" u="1"/>
        <s v="  RODOVIEIRA TRANSPORTE LTDA" u="1"/>
        <s v="  SAFRA AGRICOLA E PECUARIA LTDA EPP" u="1"/>
        <s v="  PRODUTOS PORTEIRAO COM DIST E REP LTDA EPP" u="1"/>
        <s v="  CARGA EQUIPAMENTOS RODOVIARIOS LTDA ME" u="1"/>
        <s v="  JANE FIGUEIRA CONFECCOES LTDA ME" u="1"/>
        <s v="  IBFX COMERCIO IMPORTACAO E EXPORTACAO LTDA EPP" u="1"/>
        <s v="  CLAUDINEA GOMES DA SILVA VIANA 04007455694" u="1"/>
        <s v="  SUPREMO PLASTICOS LTDA ME" u="1"/>
        <s v="  ACO COELHO INDUSTRIA E COMERCIO DE MOVEIS LTDA EPP" u="1"/>
        <s v="  OLIVEIRA E SILVA COMERCIO DE MADEIRAS E EMBALAGENS" u="1"/>
        <s v="  SEU TRATOR LTDA EPP" u="1"/>
        <s v="  PLATINUM INDUSTRIA DE CONFECCOES LTDA" u="1"/>
        <s v="  SOCIAL S/A" u="1"/>
        <s v="  APOLO DISTRIBUIDORA LTDA" u="1"/>
        <s v="  ENGREMAT ENG PROJETO MANUTENCAO INSPECAO MONTAGENS" u="1"/>
        <s v="  CONSTRUENGE ENGENHARIA E GERENCIAMENTO LTDA" u="1"/>
        <s v="  ANDRADE ELETRO TECNICA LTDA EPP" u="1"/>
        <s v="  CONQUISTA INDUSTRIA DE MOVEIS S A EM RECUPERACAO J" u="1"/>
        <s v="  METALCROMO METALIZACAO E CROMO DURO INDUSTRIAL LTD" u="1"/>
        <s v="  TRANSPORTES TRANS BERTIN LTDA" u="1"/>
        <s v="  MECALD MECANICA E CALDEIRARIA LTDA EPP" u="1"/>
        <s v="  REAL DISTRIBUIDORA DE PRODUTOS PARA MARMORARIA LTD" u="1"/>
        <s v="  BEECORP BEM ESTAR CORPORATIVO LTDA ME" u="1"/>
        <s v="  ALPHA DISTRIBUIDORA DE PECAS LTDA ME" u="1"/>
        <s v="  TP DISTRIBUIDORA DE PECAS LTDA EPP" u="1"/>
        <s v="  FAC INDUSTRIA E SERVICOS LTDA ME" u="1"/>
        <s v="  TUBOLARES VITORIA INDUSTRIA E COMERCIO LTDA ME" u="1"/>
        <s v="  AVIAMENTOS CENTRAL LTDA ME" u="1"/>
        <s v="  BIOTECH LOGISTICA LTDA" u="1"/>
        <s v="  PRADO MOREIRA TEXTIL LTDA ME" u="1"/>
        <s v="  ARTE FINAL INDUSTRIA E COMERCIO DE COURO LTDA" u="1"/>
        <s v="  FILIPE AUGUSTO DO CARMO GUSMAO LTDA ME" u="1"/>
        <s v="  COMERCIAL JLX DISTRIBUIDORA LTDA ME" u="1"/>
        <s v="  MAIS PURA AGUA MINERAL LTDA EPP" u="1"/>
        <s v="  COMERCIAL GTS INFORMATICA LTDA EPP" u="1"/>
        <s v="  MUNDYSERVICE COMERCIO DE PECAS E ASSISTENCIA TECNI" u="1"/>
        <s v="  STA TECHCANA LTDA" u="1"/>
        <s v="  DLTX INDUSTRIA E COMERCIO LTDA EPP" u="1"/>
        <s v="  CENTRAL DE SUPRIMENTOS INDUSTRIAIS LTDA EPP" u="1"/>
        <s v="  LTA USINAGEM LTDA EPP" u="1"/>
        <s v="  GLOBALMAX INDUSTRIA PLASTICA S/A" u="1"/>
        <s v="  NUTRIBEM SAL E RACOES LTDA" u="1"/>
        <s v="  LINGERIE E CIA LTDA ME" u="1"/>
        <s v="  SAFRA AGRICOLA E PECUARIA LTDA" u="1"/>
        <s v="  C V T O IND E COM LTDA EPP" u="1"/>
        <s v="  REFRACONT BRASIL LTDA" u="1"/>
        <s v="  FRAITECH INTELIGENCIA EM AUTOMACAO LTDA" u="1"/>
        <s v="  CENTRAL DO M R O COMERCIAL IMPORTACOES E SERVICOS" u="1"/>
        <s v="  GALLE INDUSTRIA E COMERCIO DE TINTAS E VERNIZES LT" u="1"/>
        <s v="  COMERCIAL PROGRESSO LTDA EPP" u="1"/>
        <s v="  BETEL UNIFORMES PROFISSIONAIS LTDA ME" u="1"/>
        <s v="  LAF COMERCIAL LTDA ME" u="1"/>
        <s v="  TERRA PECAS GENUINAS LTDA EPP" u="1"/>
        <s v="  REVPACK TECNOLOGIA E COMERCIO DE COMPONENTES PLAST" u="1"/>
        <s v="  ANGIOMEDIC COMERCIO DE MATERIAL MEDICO HOSPITALAR" u="1"/>
        <s v="  GAMA COMERCIO E TRANSPORTES LTDA EPP" u="1"/>
        <s v="  MINASPOL INDUSTRIA E COMERCIO DE COMPOSTOS POLIMER" u="1"/>
        <s v="  LINDINALDO ANISIO DA SILVA ME" u="1"/>
        <s v="  LOTUS DESENVOLVIMENTO IMOBILIARIO LTDA" u="1"/>
        <s v="  PROMEL IND COM IMP E EXP DE PRODS NATURAIS LTDA" u="1"/>
        <s v="  GRAFICA JSA LTDA EPP" u="1"/>
      </sharedItems>
    </cacheField>
    <cacheField name="Alteração" numFmtId="0">
      <sharedItems containsBlank="1"/>
    </cacheField>
    <cacheField name="Data do recebimento do e-mail" numFmtId="14">
      <sharedItems containsNonDate="0" containsDate="1" containsString="0" containsBlank="1" minDate="2024-09-02T00:00:00" maxDate="2025-07-02T00:00:00"/>
    </cacheField>
    <cacheField name="Gerente" numFmtId="0">
      <sharedItems containsBlank="1" containsMixedTypes="1" containsNumber="1" containsInteger="1" minValue="0" maxValue="0" count="41">
        <s v="ADMINISTRAÇÃO"/>
        <s v="CELIO PIMENTA"/>
        <s v="LUIS GUSTAVO"/>
        <s v="MARCOS SOUZA"/>
        <s v="MARCUS VINICIUS "/>
        <s v="NATALIA NUBIA"/>
        <s v="NOELI SALETE"/>
        <s v="POENATELA"/>
        <s v="RAFAEL PARISE"/>
        <s v="WHELKYA IRIS"/>
        <s v="GRUPO OTTO"/>
        <s v="PRISCILA METZ"/>
        <s v="THAYNA/COMERCIAL"/>
        <s v="ANTONIO CARLOS"/>
        <s v="DIOGO AZEVEDO"/>
        <s v="FITZ"/>
        <s v="ROGERIO "/>
        <s v="ANDERSON FRAGA"/>
        <s v="NELSON"/>
        <s v="EDUARDO MATOSO"/>
        <s v="SEM GERENTE"/>
        <s v="THIAGO THEODORO"/>
        <s v="MARCIO LEONEL"/>
        <s v="RODRIGO VIANNA"/>
        <s v="JOSE ROBERTO"/>
        <s v="LIBER"/>
        <s v="PARTNER SECURITIZADORA"/>
        <s v="NOELI SALETE "/>
        <s v="PROSPECTAR"/>
        <s v="ANTECIPA"/>
        <s v="CAIO"/>
        <s v="ALISSON DE SOUZA LIMA"/>
        <s v="PROSPER"/>
        <s v="DALVA"/>
        <s v="ANDRE CUNHA"/>
        <s v="TIAGO NEVES"/>
        <s v="WASHINGTON"/>
        <s v="FERNANDO ABRAS"/>
        <s v="CREDTEM"/>
        <m/>
        <n v="0" u="1"/>
      </sharedItems>
    </cacheField>
    <cacheField name="Mês e Ano" numFmtId="0">
      <sharedItems containsBlank="1" count="29">
        <s v="2024-09-1"/>
        <s v="2024-09-2"/>
        <s v="2024-10-1"/>
        <s v="2024-10-2"/>
        <s v="2024-11-1"/>
        <s v="2024-11-2"/>
        <s v="2024-12-1"/>
        <s v="2024-12-2"/>
        <s v="2025-01-1"/>
        <s v="2025-01-2"/>
        <s v="2025-02-1"/>
        <s v="2025-03-2"/>
        <s v="2025-04-1"/>
        <s v="2025-04-2"/>
        <s v="2025-05-1"/>
        <s v="2025-05-2"/>
        <s v="2025-06-1"/>
        <s v="2025-06-2"/>
        <s v="2025-07-1"/>
        <m/>
        <s v="2024-09" u="1"/>
        <s v="2024-10" u="1"/>
        <s v="2024-11" u="1"/>
        <s v="2024-12" u="1"/>
        <s v="2025-01" u="1"/>
        <s v="2025-02" u="1"/>
        <s v="2025-03" u="1"/>
        <s v="2025-04" u="1"/>
        <s v="2025-05" u="1"/>
      </sharedItems>
    </cacheField>
    <cacheField name="Gerente 2" numFmtId="0">
      <sharedItems containsBlank="1" containsMixedTypes="1" containsNumber="1" containsInteger="1" minValue="0" maxValue="0" count="41">
        <s v="ADMINISTRAÇÃO"/>
        <s v="CELIO PIMENTA"/>
        <s v="LUIS GUSTAVO"/>
        <s v="MARCOS SOUZA"/>
        <s v="MARCUS VINICIUS "/>
        <s v="NATALIA NUBIA"/>
        <s v="NOELI SALETE"/>
        <s v="POENATELA"/>
        <s v="RAFAEL PARISE"/>
        <s v="WHELKYA IRIS"/>
        <s v="GRUPO OTTO"/>
        <s v="PRISCILA METZ"/>
        <s v="THAYNA/COMERCIAL"/>
        <s v="ANTONIO CARLOS"/>
        <s v="DIOGO AZEVEDO"/>
        <s v="FITZ"/>
        <s v="ROGERIO "/>
        <s v="ANDERSON FRAGA"/>
        <s v="NELSON"/>
        <s v="EDUARDO MATOSO"/>
        <s v="SEM GERENTE"/>
        <s v="THIAGO THEODORO"/>
        <s v="MARCIO LEONEL"/>
        <s v="RODRIGO VIANNA"/>
        <s v="JOSE ROBERTO"/>
        <s v="LIBER"/>
        <s v="PARTNER SECURITIZADORA"/>
        <s v="NOELI SALETE "/>
        <s v="PROSPECTAR"/>
        <s v="ANTECIPA"/>
        <s v="CAIO"/>
        <s v="ALISSON DE SOUZA LIMA"/>
        <s v="PROSPER"/>
        <s v="DALVA"/>
        <s v="ANDRE CUNHA"/>
        <s v="TIAGO NEVES"/>
        <s v="WASHINGTON"/>
        <s v="FERNANDO ABRAS"/>
        <s v="CREDTEM"/>
        <m/>
        <n v="0" u="1"/>
      </sharedItems>
    </cacheField>
    <cacheField name="Cedente" numFmtId="0">
      <sharedItems containsBlank="1" count="497">
        <s v="ACQUION FOODTECH S/A"/>
        <s v="BOM PASTOR PAPEIS LTDA"/>
        <s v="IMPORTEXTIL COMERCIO DE TECIDOS LTDA"/>
        <s v="MBIOLOG DIAGNOSTICOS LTDA"/>
        <s v="WJ CALDEIRARIA INDUSTRIA E COMERCIO LTDA ME"/>
        <s v="BETMIX CONCRETO LTDA"/>
        <s v="ARCA CONSTRUCOES E INCORPORACOES LTDA"/>
        <s v="COM IND DE CEREAIS E TRANSPORTES MACIEL LTDA"/>
        <s v="BIOLIFE HEALTH IMPORTACAO E DISTRIBUICAO DE PRODUT"/>
        <s v="MASTERVET COMERCIO DE PRODUTOS AGROPECUARIOS LTDA"/>
        <s v="RODOBOX TRANSPORTES E ARMAZENAGEM DE CARGAS LTDA"/>
        <s v="MEIO OESTE PAPEIS LTDA ME"/>
        <s v="TRANSNECHER COMERCIO TRANSPORTES E EMPREENDIMENTOS"/>
        <s v="CERVEJARIA SOUZA LTDA"/>
        <s v="GREEN FARMING FAZENDAS RENOVAVEIS LTDA"/>
        <s v="UBERTEC SERVICE USINAGEM LTDA EPP"/>
        <s v="CONSULOC ENGENHARIA LTDA EPP"/>
        <s v="DIVINA INDUSTRIA DE COURO LTDA"/>
        <s v="MEK SOL FUNDACOES E SERVICOS GEOTECNICOS LTDA EPP"/>
        <s v="PLURIFORME INDUSTRIA E COMERCIO DE UNIFORMES LTDA"/>
        <s v="SUPER HARD TECNOLOGIA EM TRATAMENTO DE SUPERFICIES"/>
        <s v="ESSENZA INDUSTRIA QUIMICA LTDA"/>
        <s v="MUTCD CENTRO DISTRIBUICAO IND FABRICANTE COSMETICO"/>
        <s v="COLIBRI IND MEDIC SUPLEMENTOS PARA PECUARIA VETERI"/>
        <s v="DECISION DESENVOLVIMENTO DE SISTEMAS LTDA"/>
        <s v="RPT SOLUCOES AMBIENTAIS LTDA"/>
        <s v="ECOPINUS INDUSTRIA E COMERCIO DE EMBALAGENS DE MAD"/>
        <s v="MAPE TRATAMENTO DE RESIDUOS LTDA"/>
        <s v="VIC LOGISTICA LTDA"/>
        <s v="INDUSTRIA E CERVEJARIA ARTESANAL DE MINAS GERAIS L"/>
        <s v="ALEXANDRE ROSA VICENTE E SERVICOS LTDA ME"/>
        <s v="HERBAMED LABORATORIO NUTRACEUTICO LTDA"/>
        <s v="EVOLUTION MACHINES LTDA ME"/>
        <s v="AMP INDUSTRIA E COMERCIO DE CONDUTORES LTDA"/>
        <s v="SIAP COMERCIO DE PRODUTOS AGROPECUARIOS LTDA"/>
        <s v="VALENTE PRODUCOES LTDA ME"/>
        <s v="DISPA DISTRIBUIDORA SAO PAULO LTDA ME"/>
        <s v="ARTECAL ELETROCENTROS S/A"/>
        <s v="ISOBASE POLIESTIRENO LTDA EPP"/>
        <s v="COOPERATIVA TRANSP AUTON CARGAS PASSAG SERVICOS LO"/>
        <s v="ESPECIALI INDUSTRIA DE ALIMENTOS LTDA ME"/>
        <s v="PREMOLDADOS MATOSINHOS LTDA EPP"/>
        <s v="VIVAN TRANSPORTES LTDA"/>
        <s v="MINAS ALIMENTOS E FRUTAS SECAS LTDA EPP"/>
        <s v="TRANSHENRY TRANSPORTES LTDA"/>
        <s v="FARINELLI NUTRIMENTOS LTDA"/>
        <s v="NOVA DISTRIBUIDORA E ATACADO DE LIMPEZA LTDA"/>
        <s v="UNITA AUTO PECAS LTDA EPP"/>
        <s v="BIBE PRODUTOS INFANTIS LTDA"/>
        <s v="VIC LOGISTICA LTDA EM RECUPERACAO JUDICIAL"/>
        <s v="STONE ENGENHARIA E MONTAGENS INDUSTRIAIS LTDA"/>
        <s v="PHOENIX LOG TRANSPORTES LTDA EPP"/>
        <s v="ENXOVAIS MINAS LTDA ME"/>
        <s v="MG CONSULT DIST LTDA EPP"/>
        <s v="MOLAS ANEL POSTO DE TROCA LTDA EPP"/>
        <s v="XEQUE MATE BEBIDAS LTDA ME"/>
        <s v="JR X IMPORT LTDA EPP"/>
        <s v="PALMILHADO INDUSTRIA E COMERCIO LTDA"/>
        <s v="RODOANEL REFORMADORA DE IMPLEMENTOS RODOVIARIOS LT"/>
        <s v="HT SERVICOS DE TRANSPORTE E LOCACAO LTDA"/>
        <s v="MAIS DISTRIBUIDORA LTDA"/>
        <s v="DINAMICA COM FERRAMENTAS EQUIPAMENTOS PROTECAO IND"/>
        <s v="CONQUISTA INDUSTRIA DE MOVEIS S/A"/>
        <s v="VLF IMPERIAL LATICINIOS LTDA ME"/>
        <s v="ALLIAGE S A INDUSTRIAS MEDICO ODONTOLOGICA"/>
        <s v="PREMIUMGRAF SERVICOS GRAFICOS LTDA ME"/>
        <s v="VALADRES DIESEL LTDA EM RECUPERACAO JUDICIAL"/>
        <s v="JMS EMBALAGENS INDUSTRIAIS LTDA"/>
        <s v="MONTAGEM MINAS GERAIS LTDA ME"/>
        <s v="ALBERTO H DA SILVA ME"/>
        <s v="BOM PASTOR PAPEIS LTDA EM RECUPERACAO JUDICIAL"/>
        <s v="MEDICAL PRIME IMP EXPORT DISTRIB PRODUTOS MEDICOS"/>
        <s v="OLINDA IMPORTACAO E COMERCIO LTDA"/>
        <s v="UNIVERSO INOX INDUSTRIA E COMERCIO LTDA EPP"/>
        <s v="JF GOLD DISTRIBUIDORA LTDA EPP"/>
        <s v="ALPS FOMENTO MERCANTIL LTDA"/>
        <s v="POOLMAK SISTEMAS ESTRUTURAIS LTDA"/>
        <s v="RECICOLOGY INDUSTRIA E COMERCIO DE PRODUTOS RECICL"/>
        <s v="MOINHO DE TRIGO JM LTDA"/>
        <s v="REI DO MILHO ATACADISTA E VAREJISTA LTDA ME"/>
        <s v="PRIVILEGIO CONFECCOES CAMA MESA E BANHO LTDA EPP"/>
        <s v="PARTNER SECURITY SERVICOS DE SEGURANCA LTDA"/>
        <s v="RIMAG COMERCIO ATACADISTA DE ALIMENTOS IMPORTACAO"/>
        <s v="SGAMAQ INOVACAO AGROINDUSTRIAL LTDA"/>
        <s v="37 054 821 LARISSA GONTIJO AZEVEDO ME"/>
        <s v="OXIGAS RESIDUOS ESPECIAIS LTDA EPP"/>
        <s v="ESCUDO ADMINISTRACAO E SERVICOS LTDA EM RECUPERACA"/>
        <s v="ESCUDO VIGILANCIA E SEGURANCA LTDA EM RECUPERACAO"/>
        <s v="MORIA PRESTACAO DE SERVICOS LTDA ME"/>
        <s v="TOUROS IMPLEMENTOS LTDA ME"/>
        <s v="PROSPER MINERACAO S/A"/>
        <s v="STA SERVICOS LTDA"/>
        <s v="LUCCI ILUMINACAO LTDA EPP"/>
        <s v="DETRONIC ENERGIA E SERVICOS LTDA"/>
        <s v="MAAT COMERCIO DE VESTUARIO LTDA EPP"/>
        <s v="GLOBAL ACO SERVICOS E PRODUTOS SIDERURGICOS LTDA E"/>
        <s v="SAVIXX COMERCIO INTERNACIONAL S/A"/>
        <s v="EDUARDO LUIZ SILVA DA LUZ ME"/>
        <s v="VALADARES DIESEL LTDA EM RECUPERACAO JUDICIAL"/>
        <s v="COMGROUP AGROINDUSTRIAL LTDA"/>
        <s v="EXPRESSO PAV CONSTRUCOES E SERVICOS LTDA ME"/>
        <s v="AGROINDUSTRIA FRUTAS JARDINS LTDA"/>
        <s v="RESERVA TRADE LTDA ME"/>
        <s v="JFIX INDUSTRIA QUIMICA LTDA ME"/>
        <s v="LIZZENA COSMETICOS LTDA EPP"/>
        <s v="LABOR ELETRIC INDUSTRIA E COMERCIO UNIPESSOAL LTDA"/>
        <s v="ENCADESP LTDA ME"/>
        <s v="SIQUEIRA E GAIPO INDUSTRIA E MATERIAIS ESPORTIVOS"/>
        <s v="GRF JEANS WEAR LTDA ME"/>
        <s v="REAL ESTRUTURAS E CONSTRUCOES LTDA"/>
        <s v="FRANZAO COLCHOES LTDA EPP"/>
        <s v="MARCAS COMERCIO LTDA ME"/>
        <s v="CALDEM CONSTRUCOES MECANICAS LTDA EPP"/>
        <s v="BIO HEALTH COLCHOES LTDA EPP"/>
        <s v="OFFICER INDUSTRIA QUIMICA LTDA EPP"/>
        <s v="AGRO INDUSTRIAL LAZZERI LTDA"/>
        <s v="ELFRIG FRIGORIFICO ELDORADO LTDA ME"/>
        <s v="SAFRA OURO AGRONEGOCIOS LTDA EPP"/>
        <s v="FRUIT INDUSTRIA E COMERCIO LTDA ME"/>
        <s v="CIA TEXTIL LTDA ME"/>
        <s v="ALPLAST ATACADISTA E APOIO ADMINISTRATIVO LTDA EPP"/>
        <s v="GEDIBOR RUBBER POLYURETHANE LTDA EPP"/>
        <s v="TDR TRANSPORTES LOGISTICA LTDA"/>
        <s v="GRF JEANS WEAR LTDA EPP"/>
        <s v="FARBIA CHEMICALS COMERCIO IMPORTACAO E EXPORTACAO"/>
        <s v="PARTNER SOLUCOES EMPRESARIAIS LTDA ME"/>
        <s v="GLOBAL ACO SERV PRODUTOS SIDERURGICOS LTDA RECUPER"/>
        <s v="ORTHOSIDE INDUSTRIA E COMERCIO LTDA EPP"/>
        <s v="M TRATORES LTDA EPP"/>
        <s v="FRUTAS JARDINS LTDA"/>
        <s v="FUNDACAO DE ENSINO E PESQUISA DO SUL DE MINAS FEPE"/>
        <s v="INDUSTRIA E COMERCIO DE CHURRASQUEIRAS BOM JESUS L"/>
        <s v="COMERCIAL GODINHO FERREIRA LTDA"/>
        <s v="P P DISTRIBUIDORA LTDA"/>
        <s v="LIDER COMERCIO DE UNIFORMES E EPI S LTDA ME"/>
        <s v="USIPARTS COMERCIO DE PECAS PARA USINAS LTDA ME"/>
        <s v="D M RODRIGUES LTDA ME"/>
        <s v="BEIJA FLOR COMERCIO DE TINTAS LTDA"/>
        <s v="TREGA FILHOS EMPACOTAMENTO E DISTRIBUICAO LTDA ME"/>
        <s v="MAIS LAR ENGENHARIA LTDA"/>
        <s v="ORNELAS RESENDE TORRES TRANSPORTE E LOGISTICA LTDA"/>
        <s v="METAL STAMP INDUSTRIA E COMERCIO LTDA"/>
        <s v="QUALITY PACK INDUSTRIA E COMERCIO LTDA ME"/>
        <s v="JABEZ SERVICOS COMPARTILHADOS LTDA ME"/>
        <s v="MINAS CLEAN DISTRIBUIDORA DE PRODUTOS PARA LIMPEZA"/>
        <s v="KUARA COMERCIAL E EXPORTADORA DE FRUTAS LTDA"/>
        <s v="CNM CHICOTES ELETRICOS LTDA EPP"/>
        <s v="A C ESPORTES S A F"/>
        <s v="ABN CONSULTORIA E PROJETOS LTDA EPP"/>
        <s v="CF COMEX IMPORTACAO EQUIPAMENTOS E SERVICOS LTDA"/>
        <s v="ACO X LTDA ME"/>
        <s v="VGS COMERCIO DE EMBALAGENS DE MADEIRAS LTDA ME"/>
        <s v="TORQUE FERRAMENTAS LTDA ME"/>
        <s v="S A COMERCIO E INDUSTRIA DE CALCADOS LTDA ME"/>
        <s v="SH METALIZACOES LTDA EPP"/>
        <s v="ORNELAS TRANSPORTE E LOGISTICA LTDA"/>
        <s v="ELO TELECOMUNICACOES E CONSTRUCOES S/A"/>
        <s v="ALTAG NEGOCIOS AGRICOLAS LTDA"/>
        <s v="GRAFICA ROMANA LTDA ME"/>
        <s v="JUATUBA MOVEIS E EMBALAGENS LTDA"/>
        <s v="TERRAPLAST INDUSTRIA E COMERCIO DE EQUIPAMENTOS DE"/>
        <s v="FUMEF FUNDICAO E MECANICA DE FERROS LTDA"/>
        <s v="NUTRIENS FERTIL LTDA ME"/>
        <s v="ONFARM BRASIL LTDA ME"/>
        <s v="PARANAIBA FERTILIZANTES IND E COM LTDA EM RECUPERA"/>
        <s v="IVA LOCACOES E CONSTRUCOES LTDA EPP"/>
        <s v="RENOVAR AGRICOLA LTDA"/>
        <s v="DIOTTONI INDUSTRIA E COMERCIO DE ALIMENTOS LTDA ME"/>
        <s v="MAPP COM IMPORTACAO EXPORTACAO IND PRODUTOS ALIMEN"/>
        <s v="A 8 ENGENHARIA LTDA ME"/>
        <s v="REAL FILTROS E ACESSORIOS AUTOMOTIVOS LTDA EPP"/>
        <s v="GOIARTE SOLUCOES CONSTRUTIVAS EM CONCRETO LTDA"/>
        <s v="SMARTCENTER SOLUCOES INTELIGENTES LTDA ME"/>
        <s v="SMARTCENTERGROUP COMERCIO DE EQUIPAMENTOS DE INFOR"/>
        <s v="MUNDO AGRO COMERCIO E DISTRIBUICAO DE CALCADOS LTD"/>
        <s v="REAL FILTROS E ACESSORIOS AUTOMOTIVOS LTDA"/>
        <s v="AZ HIDRAULICA USINAGEM LTDA EPP"/>
        <s v="MUTCD CENTRO DE DISTRIBUICAO DE IND FABRICANTE DE"/>
        <s v="RODOVIEIRA TRANSPORTE LTDA"/>
        <s v="SAFRA AGRICOLA E PECUARIA LTDA EPP"/>
        <s v="PRODUTOS PORTEIRAO COM DIST E REP LTDA EPP"/>
        <s v="CARGA EQUIPAMENTOS RODOVIARIOS LTDA ME"/>
        <s v="JANE FIGUEIRA CONFECCOES LTDA ME"/>
        <s v="IBFX COMERCIO IMPORTACAO E EXPORTACAO LTDA EPP"/>
        <s v="CLAUDINEA GOMES DA SILVA VIANA 04007455694"/>
        <s v="SUPREMO PLASTICOS LTDA ME"/>
        <s v="ACO COELHO INDUSTRIA E COMERCIO DE MOVEIS LTDA EPP"/>
        <s v="OLIVEIRA E SILVA COMERCIO DE MADEIRAS E EMBALAGENS"/>
        <s v="SEU TRATOR LTDA EPP"/>
        <s v="PLATINUM INDUSTRIA DE CONFECCOES LTDA"/>
        <s v="SOCIAL S/A"/>
        <s v="APOLO DISTRIBUIDORA LTDA"/>
        <s v="ENGREMAT ENG PROJETO MANUTENCAO INSPECAO MONTAGENS"/>
        <s v="CONSTRUENGE ENGENHARIA E GERENCIAMENTO LTDA"/>
        <s v="ANDRADE ELETRO TECNICA LTDA EPP"/>
        <s v="CONQUISTA INDUSTRIA DE MOVEIS S A EM RECUPERACAO J"/>
        <s v="METALCROMO METALIZACAO E CROMO DURO INDUSTRIAL LTD"/>
        <s v="TRANSPORTES TRANS BERTIN LTDA"/>
        <s v="MECALD MECANICA E CALDEIRARIA LTDA EPP"/>
        <s v="REAL DISTRIBUIDORA DE PRODUTOS PARA MARMORARIA LTD"/>
        <s v="BEECORP BEM ESTAR CORPORATIVO LTDA ME"/>
        <s v="ALPHA DISTRIBUIDORA DE PECAS LTDA ME"/>
        <s v="TP DISTRIBUIDORA DE PECAS LTDA EPP"/>
        <s v="FAC INDUSTRIA E SERVICOS LTDA ME"/>
        <s v="TUBOLARES VITORIA INDUSTRIA E COMERCIO LTDA ME"/>
        <s v="AVIAMENTOS CENTRAL LTDA ME"/>
        <s v="BIOTECH LOGISTICA LTDA"/>
        <s v="PRADO MOREIRA TEXTIL LTDA ME"/>
        <s v="ARTE FINAL INDUSTRIA E COMERCIO DE COURO LTDA"/>
        <s v="FILIPE AUGUSTO DO CARMO GUSMAO LTDA ME"/>
        <s v="COMERCIAL JLX DISTRIBUIDORA LTDA ME"/>
        <s v="MAIS PURA AGUA MINERAL LTDA EPP"/>
        <s v="COMERCIAL GTS INFORMATICA LTDA EPP"/>
        <s v="MUNDYSERVICE COMERCIO DE PECAS E ASSISTENCIA TECNI"/>
        <s v="STA TECHCANA LTDA"/>
        <s v="DLTX INDUSTRIA E COMERCIO LTDA EPP"/>
        <s v="CENTRAL DE SUPRIMENTOS INDUSTRIAIS LTDA EPP"/>
        <s v="LTA USINAGEM LTDA EPP"/>
        <s v="GLOBALMAX INDUSTRIA PLASTICA S/A"/>
        <s v="NUTRIBEM SAL E RACOES LTDA"/>
        <s v="LINGERIE E CIA LTDA ME"/>
        <s v="SAFRA AGRICOLA E PECUARIA LTDA"/>
        <s v="C V T O IND E COM LTDA EPP"/>
        <s v="REFRACONT BRASIL LTDA"/>
        <s v="FRAITECH INTELIGENCIA EM AUTOMACAO LTDA"/>
        <s v="CENTRAL DO M R O COMERCIAL IMPORTACOES E SERVICOS"/>
        <s v="GALLE INDUSTRIA E COMERCIO DE TINTAS E VERNIZES LT"/>
        <s v="COMERCIAL PROGRESSO LTDA EPP"/>
        <s v="BETEL UNIFORMES PROFISSIONAIS LTDA ME"/>
        <s v="LAF COMERCIAL LTDA ME"/>
        <s v="TERRA PECAS GENUINAS LTDA EPP"/>
        <s v="REVPACK TECNOLOGIA E COMERCIO DE COMPONENTES PLAST"/>
        <s v="ANGIOMEDIC COMERCIO DE MATERIAL MEDICO HOSPITALAR"/>
        <s v="GAMA COMERCIO E TRANSPORTES LTDA EPP"/>
        <s v="MINASPOL INDUSTRIA E COMERCIO DE COMPOSTOS POLIMER"/>
        <s v="LINDINALDO ANISIO DA SILVA ME"/>
        <s v="LOTUS DESENVOLVIMENTO IMOBILIARIO LTDA"/>
        <s v="PROMEL IND COM IMP E EXP DE PRODS NATURAIS LTDA"/>
        <s v="GRAFICA JSA LTDA EPP"/>
        <s v="AUTOMOTIV DO BRASIL INDUSTRIAL LTDA"/>
        <s v="ITAQUAFER FERRAMENTAS LTDA ME"/>
        <s v="JSA INDUSTRIA DE COSMETICOS LTDA EPP"/>
        <s v="METALAB COMERCIO E INDUSTRIA FARMACEUTICA LTDA ME"/>
        <s v="NOVA CALDERARIA MONTAGEM LTDA EPP"/>
        <s v="CALDAS SEG INDUSTRIA E COMERCIO DE EPI S LTDA"/>
        <s v="3J FUNDICAO INDUSTRIAL LTDA"/>
        <s v="RB DISTRIBUIDORA DE PRODUTOS DE HIGIENE LTDA"/>
        <s v="SAGESSE INDUSTRIAL TEXTIL LTDA EPP"/>
        <s v="TRATOR GLASS LTDA ME"/>
        <s v="SENSORVIX INTELIGENCIA EM AUTOMACAO LTDA ME"/>
        <s v="SAGATEC LTDA"/>
        <s v="DESTAK DISTRIBUIDORA PRODUTOS EQUIPAMENTOS HOSPITA"/>
        <s v="HBEAUTY COSMETICOS LTDA ME"/>
        <s v="A2 VIDROS INDUSTRIA E COMERCIO LTDA"/>
        <s v="COMERCIAL SEGURANCA LTDA ME"/>
        <s v="SKY JEANS LTDA ME"/>
        <s v="W M DE CASTRO NETO PRODUTOS FARMACEUTICOS EPP"/>
        <m/>
        <s v="  ACQUION FOODTECH S/A" u="1"/>
        <s v="  BOM PASTOR PAPEIS LTDA" u="1"/>
        <s v="  IMPORTEXTIL COMERCIO DE TECIDOS LTDA" u="1"/>
        <s v="  MBIOLOG DIAGNOSTICOS LTDA" u="1"/>
        <s v="  WJ CALDEIRARIA INDUSTRIA E COMERCIO LTDA ME" u="1"/>
        <s v="  BETMIX CONCRETO LTDA" u="1"/>
        <s v="  ARCA CONSTRUCOES E INCORPORACOES LTDA" u="1"/>
        <s v="  COM IND DE CEREAIS E TRANSPORTES MACIEL LTDA" u="1"/>
        <s v="  BIOLIFE HEALTH IMPORTACAO E DISTRIBUICAO DE PRODUT" u="1"/>
        <s v="  MASTERVET COMERCIO DE PRODUTOS AGROPECUARIOS LTDA" u="1"/>
        <s v="  RODOBOX TRANSPORTES E ARMAZENAGEM DE CARGAS LTDA" u="1"/>
        <s v="  MEIO OESTE PAPEIS LTDA ME" u="1"/>
        <s v="  TRANSNECHER COMERCIO TRANSPORTES E EMPREENDIMENTOS" u="1"/>
        <s v="  CERVEJARIA SOUZA LTDA" u="1"/>
        <s v="  GREEN FARMING FAZENDAS RENOVAVEIS LTDA" u="1"/>
        <s v="  UBERTEC SERVICE USINAGEM LTDA EPP" u="1"/>
        <s v="  CONSULOC ENGENHARIA LTDA EPP" u="1"/>
        <s v="  DIVINA INDUSTRIA DE COURO LTDA" u="1"/>
        <s v="  MEK SOL FUNDACOES E SERVICOS GEOTECNICOS LTDA EPP" u="1"/>
        <s v="  PLURIFORME INDUSTRIA E COMERCIO DE UNIFORMES LTDA" u="1"/>
        <s v="  SUPER HARD TECNOLOGIA EM TRATAMENTO DE SUPERFICIES" u="1"/>
        <s v="  ESSENZA INDUSTRIA QUIMICA LTDA" u="1"/>
        <s v="  MUTCD CENTRO DISTRIBUICAO IND FABRICANTE COSMETICO" u="1"/>
        <s v="  COLIBRI IND MEDIC SUPLEMENTOS PARA PECUARIA VETERI" u="1"/>
        <s v="  DECISION DESENVOLVIMENTO DE SISTEMAS LTDA" u="1"/>
        <s v="  RPT SOLUCOES AMBIENTAIS LTDA" u="1"/>
        <s v="  ECOPINUS INDUSTRIA E COMERCIO DE EMBALAGENS DE MAD" u="1"/>
        <s v="  MAPE TRATAMENTO DE RESIDUOS LTDA" u="1"/>
        <s v="  VIC LOGISTICA LTDA" u="1"/>
        <s v="  INDUSTRIA E CERVEJARIA ARTESANAL DE MINAS GERAIS L" u="1"/>
        <s v="  ALEXANDRE ROSA VICENTE E SERVICOS LTDA ME" u="1"/>
        <s v="  HERBAMED LABORATORIO NUTRACEUTICO LTDA" u="1"/>
        <s v="  EVOLUTION MACHINES LTDA ME" u="1"/>
        <s v="  AMP INDUSTRIA E COMERCIO DE CONDUTORES LTDA" u="1"/>
        <s v="  SIAP COMERCIO DE PRODUTOS AGROPECUARIOS LTDA" u="1"/>
        <s v="  VALENTE PRODUCOES LTDA ME" u="1"/>
        <s v="  DISPA DISTRIBUIDORA SAO PAULO LTDA ME" u="1"/>
        <s v="  ARTECAL ELETROCENTROS S/A" u="1"/>
        <s v="  ISOBASE POLIESTIRENO LTDA EPP" u="1"/>
        <s v="  COOPERATIVA TRANSP AUTON CARGAS PASSAG SERVICOS LO" u="1"/>
        <s v="  ESPECIALI INDUSTRIA DE ALIMENTOS LTDA ME" u="1"/>
        <s v="  PREMOLDADOS MATOSINHOS LTDA EPP" u="1"/>
        <s v="  VIVAN TRANSPORTES LTDA" u="1"/>
        <s v="  MINAS ALIMENTOS E FRUTAS SECAS LTDA EPP" u="1"/>
        <s v="  TRANSHENRY TRANSPORTES LTDA" u="1"/>
        <s v="  FARINELLI NUTRIMENTOS LTDA" u="1"/>
        <s v="  NOVA DISTRIBUIDORA E ATACADO DE LIMPEZA LTDA" u="1"/>
        <s v="  UNITA AUTO PECAS LTDA EPP" u="1"/>
        <s v="  BIBE PRODUTOS INFANTIS LTDA" u="1"/>
        <s v="  VIC LOGISTICA LTDA EM RECUPERACAO JUDICIAL" u="1"/>
        <s v="  STONE ENGENHARIA E MONTAGENS INDUSTRIAIS LTDA" u="1"/>
        <s v="  PHOENIX LOG TRANSPORTES LTDA EPP" u="1"/>
        <s v="  ENXOVAIS MINAS LTDA ME" u="1"/>
        <s v="  MG CONSULT DIST LTDA EPP" u="1"/>
        <s v="  MOLAS ANEL POSTO DE TROCA LTDA EPP" u="1"/>
        <s v="  XEQUE MATE BEBIDAS LTDA ME" u="1"/>
        <s v="  JR X IMPORT LTDA EPP" u="1"/>
        <s v="  PALMILHADO INDUSTRIA E COMERCIO LTDA" u="1"/>
        <s v="  RODOANEL REFORMADORA DE IMPLEMENTOS RODOVIARIOS LT" u="1"/>
        <s v="  HT SERVICOS DE TRANSPORTE E LOCACAO LTDA" u="1"/>
        <s v="  MAIS DISTRIBUIDORA LTDA" u="1"/>
        <s v="  DINAMICA COM FERRAMENTAS EQUIPAMENTOS PROTECAO IND" u="1"/>
        <s v="  CONQUISTA INDUSTRIA DE MOVEIS S/A" u="1"/>
        <s v="  VLF IMPERIAL LATICINIOS LTDA ME" u="1"/>
        <s v="  ALLIAGE S A INDUSTRIAS MEDICO ODONTOLOGICA" u="1"/>
        <s v="  PREMIUMGRAF SERVICOS GRAFICOS LTDA ME" u="1"/>
        <s v="  VALADRES DIESEL LTDA EM RECUPERACAO JUDICIAL" u="1"/>
        <s v="  JMS EMBALAGENS INDUSTRIAIS LTDA" u="1"/>
        <s v="  MONTAGEM MINAS GERAIS LTDA ME" u="1"/>
        <s v="  ALBERTO H DA SILVA ME" u="1"/>
        <s v="  BOM PASTOR PAPEIS LTDA EM RECUPERACAO JUDICIAL" u="1"/>
        <s v="  MEDICAL PRIME IMP EXPORT DISTRIB PRODUTOS MEDICOS" u="1"/>
        <s v="  OLINDA IMPORTACAO E COMERCIO LTDA" u="1"/>
        <s v="  UNIVERSO INOX INDUSTRIA E COMERCIO LTDA EPP" u="1"/>
        <s v="  JF GOLD DISTRIBUIDORA LTDA EPP" u="1"/>
        <s v="  ALPS FOMENTO MERCANTIL LTDA" u="1"/>
        <s v="  POOLMAK SISTEMAS ESTRUTURAIS LTDA" u="1"/>
        <s v="  RECICOLOGY INDUSTRIA E COMERCIO DE PRODUTOS RECICL" u="1"/>
        <s v="  MOINHO DE TRIGO JM LTDA" u="1"/>
        <s v="  REI DO MILHO ATACADISTA E VAREJISTA LTDA ME" u="1"/>
        <s v="  PRIVILEGIO CONFECCOES CAMA MESA E BANHO LTDA EPP" u="1"/>
        <s v="  PARTNER SECURITY SERVICOS DE SEGURANCA LTDA" u="1"/>
        <s v="  RIMAG COMERCIO ATACADISTA DE ALIMENTOS IMPORTACAO" u="1"/>
        <s v="  SGAMAQ INOVACAO AGROINDUSTRIAL LTDA" u="1"/>
        <s v="  37 054 821 LARISSA GONTIJO AZEVEDO ME" u="1"/>
        <s v="  OXIGAS RESIDUOS ESPECIAIS LTDA EPP" u="1"/>
        <s v="  ESCUDO ADMINISTRACAO E SERVICOS LTDA EM RECUPERACA" u="1"/>
        <s v="  ESCUDO VIGILANCIA E SEGURANCA LTDA EM RECUPERACAO" u="1"/>
        <s v="  MORIA PRESTACAO DE SERVICOS LTDA ME" u="1"/>
        <s v="  TOUROS IMPLEMENTOS LTDA ME" u="1"/>
        <s v="  PROSPER MINERACAO S/A" u="1"/>
        <s v="  STA SERVICOS LTDA" u="1"/>
        <s v="  LUCCI ILUMINACAO LTDA EPP" u="1"/>
        <s v="  DETRONIC ENERGIA E SERVICOS LTDA" u="1"/>
        <s v="  MAAT COMERCIO DE VESTUARIO LTDA EPP" u="1"/>
        <s v="  GLOBAL ACO SERVICOS E PRODUTOS SIDERURGICOS LTDA E" u="1"/>
        <s v="  SAVIXX COMERCIO INTERNACIONAL S/A" u="1"/>
        <s v="  EDUARDO LUIZ SILVA DA LUZ ME" u="1"/>
        <s v="  VALADARES DIESEL LTDA EM RECUPERACAO JUDICIAL" u="1"/>
        <s v="  COMGROUP AGROINDUSTRIAL LTDA" u="1"/>
        <s v="  EXPRESSO PAV CONSTRUCOES E SERVICOS LTDA ME" u="1"/>
        <s v="  AGROINDUSTRIA FRUTAS JARDINS LTDA" u="1"/>
        <s v="  RESERVA TRADE LTDA ME" u="1"/>
        <s v="  JFIX INDUSTRIA QUIMICA LTDA ME" u="1"/>
        <s v="  LIZZENA COSMETICOS LTDA EPP" u="1"/>
        <s v="  LABOR ELETRIC INDUSTRIA E COMERCIO UNIPESSOAL LTDA" u="1"/>
        <s v="  ENCADESP LTDA ME" u="1"/>
        <s v="  SIQUEIRA E GAIPO INDUSTRIA E MATERIAIS ESPORTIVOS" u="1"/>
        <s v="  GRF JEANS WEAR LTDA ME" u="1"/>
        <s v="  REAL ESTRUTURAS E CONSTRUCOES LTDA" u="1"/>
        <s v="  FRANZAO COLCHOES LTDA EPP" u="1"/>
        <s v="  MARCAS COMERCIO LTDA ME" u="1"/>
        <s v="  CALDEM CONSTRUCOES MECANICAS LTDA EPP" u="1"/>
        <s v="  BIO HEALTH COLCHOES LTDA EPP" u="1"/>
        <s v="  OFFICER INDUSTRIA QUIMICA LTDA EPP" u="1"/>
        <s v="  AGRO INDUSTRIAL LAZZERI LTDA" u="1"/>
        <s v="  ELFRIG FRIGORIFICO ELDORADO LTDA ME" u="1"/>
        <s v="  SAFRA OURO AGRONEGOCIOS LTDA EPP" u="1"/>
        <s v="  FRUIT INDUSTRIA E COMERCIO LTDA ME" u="1"/>
        <s v="  CIA TEXTIL LTDA ME" u="1"/>
        <s v="  ALPLAST ATACADISTA E APOIO ADMINISTRATIVO LTDA EPP" u="1"/>
        <s v="  GEDIBOR RUBBER POLYURETHANE LTDA EPP" u="1"/>
        <s v="  TDR TRANSPORTES LOGISTICA LTDA" u="1"/>
        <s v="  GRF JEANS WEAR LTDA EPP" u="1"/>
        <s v="  FARBIA CHEMICALS COMERCIO IMPORTACAO E EXPORTACAO" u="1"/>
        <s v="  PARTNER SOLUCOES EMPRESARIAIS LTDA ME" u="1"/>
        <s v="  GLOBAL ACO SERV PRODUTOS SIDERURGICOS LTDA RECUPER" u="1"/>
        <s v="  ORTHOSIDE INDUSTRIA E COMERCIO LTDA EPP" u="1"/>
        <s v="  M TRATORES LTDA EPP" u="1"/>
        <s v="  FRUTAS JARDINS LTDA" u="1"/>
        <s v="  FUNDACAO DE ENSINO E PESQUISA DO SUL DE MINAS FEPE" u="1"/>
        <s v="  INDUSTRIA E COMERCIO DE CHURRASQUEIRAS BOM JESUS L" u="1"/>
        <s v="  COMERCIAL GODINHO FERREIRA LTDA" u="1"/>
        <s v="  P P DISTRIBUIDORA LTDA" u="1"/>
        <s v="  LIDER COMERCIO DE UNIFORMES E EPI S LTDA ME" u="1"/>
        <s v="  USIPARTS COMERCIO DE PECAS PARA USINAS LTDA ME" u="1"/>
        <s v="  D M RODRIGUES LTDA ME" u="1"/>
        <s v="  BEIJA FLOR COMERCIO DE TINTAS LTDA" u="1"/>
        <s v="  TREGA FILHOS EMPACOTAMENTO E DISTRIBUICAO LTDA ME" u="1"/>
        <s v="  MAIS LAR ENGENHARIA LTDA" u="1"/>
        <s v="  ORNELAS RESENDE TORRES TRANSPORTE E LOGISTICA LTDA" u="1"/>
        <s v="  METAL STAMP INDUSTRIA E COMERCIO LTDA" u="1"/>
        <s v="  QUALITY PACK INDUSTRIA E COMERCIO LTDA ME" u="1"/>
        <s v="  JABEZ SERVICOS COMPARTILHADOS LTDA ME" u="1"/>
        <s v="  MINAS CLEAN DISTRIBUIDORA DE PRODUTOS PARA LIMPEZA" u="1"/>
        <s v="  KUARA COMERCIAL E EXPORTADORA DE FRUTAS LTDA" u="1"/>
        <s v="  CNM CHICOTES ELETRICOS LTDA EPP" u="1"/>
        <s v="  A C ESPORTES S A F" u="1"/>
        <s v="  ABN CONSULTORIA E PROJETOS LTDA EPP" u="1"/>
        <s v="  CF COMEX IMPORTACAO EQUIPAMENTOS E SERVICOS LTDA" u="1"/>
        <s v="  ACO X LTDA ME" u="1"/>
        <s v="  VGS COMERCIO DE EMBALAGENS DE MADEIRAS LTDA ME" u="1"/>
        <s v="  TORQUE FERRAMENTAS LTDA ME" u="1"/>
        <s v="  S A COMERCIO E INDUSTRIA DE CALCADOS LTDA ME" u="1"/>
        <s v="  SH METALIZACOES LTDA EPP" u="1"/>
        <s v="  ORNELAS TRANSPORTE E LOGISTICA LTDA" u="1"/>
        <s v="  ELO TELECOMUNICACOES E CONSTRUCOES S/A" u="1"/>
        <s v="  ALTAG NEGOCIOS AGRICOLAS LTDA" u="1"/>
        <s v="  GRAFICA ROMANA LTDA ME" u="1"/>
        <s v="  JUATUBA MOVEIS E EMBALAGENS LTDA" u="1"/>
        <s v="  TERRAPLAST INDUSTRIA E COMERCIO DE EQUIPAMENTOS DE" u="1"/>
        <s v="  FUMEF FUNDICAO E MECANICA DE FERROS LTDA" u="1"/>
        <s v="  NUTRIENS FERTIL LTDA ME" u="1"/>
        <s v="  ONFARM BRASIL LTDA ME" u="1"/>
        <s v="  PARANAIBA FERTILIZANTES IND E COM LTDA EM RECUPERA" u="1"/>
        <s v="  IVA LOCACOES E CONSTRUCOES LTDA EPP" u="1"/>
        <s v="  RENOVAR AGRICOLA LTDA" u="1"/>
        <s v="  DIOTTONI INDUSTRIA E COMERCIO DE ALIMENTOS LTDA ME" u="1"/>
        <s v="  MAPP COM IMPORTACAO EXPORTACAO IND PRODUTOS ALIMEN" u="1"/>
        <s v="  A 8 ENGENHARIA LTDA ME" u="1"/>
        <s v="  REAL FILTROS E ACESSORIOS AUTOMOTIVOS LTDA EPP" u="1"/>
        <s v="  GOIARTE SOLUCOES CONSTRUTIVAS EM CONCRETO LTDA" u="1"/>
        <s v="  SMARTCENTER SOLUCOES INTELIGENTES LTDA ME" u="1"/>
        <s v="  SMARTCENTERGROUP COMERCIO DE EQUIPAMENTOS DE INFOR" u="1"/>
        <s v="  MUNDO AGRO COMERCIO E DISTRIBUICAO DE CALCADOS LTD" u="1"/>
        <s v="  REAL FILTROS E ACESSORIOS AUTOMOTIVOS LTDA" u="1"/>
        <s v="  AZ HIDRAULICA USINAGEM LTDA EPP" u="1"/>
        <s v="  MUTCD CENTRO DE DISTRIBUICAO DE IND FABRICANTE DE" u="1"/>
        <s v="  RODOVIEIRA TRANSPORTE LTDA" u="1"/>
        <s v="  SAFRA AGRICOLA E PECUARIA LTDA EPP" u="1"/>
        <s v="  PRODUTOS PORTEIRAO COM DIST E REP LTDA EPP" u="1"/>
        <s v="  CARGA EQUIPAMENTOS RODOVIARIOS LTDA ME" u="1"/>
        <s v="  JANE FIGUEIRA CONFECCOES LTDA ME" u="1"/>
        <s v="  IBFX COMERCIO IMPORTACAO E EXPORTACAO LTDA EPP" u="1"/>
        <s v="  CLAUDINEA GOMES DA SILVA VIANA 04007455694" u="1"/>
        <s v="  SUPREMO PLASTICOS LTDA ME" u="1"/>
        <s v="  ACO COELHO INDUSTRIA E COMERCIO DE MOVEIS LTDA EPP" u="1"/>
        <s v="  OLIVEIRA E SILVA COMERCIO DE MADEIRAS E EMBALAGENS" u="1"/>
        <s v="  SEU TRATOR LTDA EPP" u="1"/>
        <s v="  PLATINUM INDUSTRIA DE CONFECCOES LTDA" u="1"/>
        <s v="  SOCIAL S/A" u="1"/>
        <s v="  APOLO DISTRIBUIDORA LTDA" u="1"/>
        <s v="  ENGREMAT ENG PROJETO MANUTENCAO INSPECAO MONTAGENS" u="1"/>
        <s v="  CONSTRUENGE ENGENHARIA E GERENCIAMENTO LTDA" u="1"/>
        <s v="  ANDRADE ELETRO TECNICA LTDA EPP" u="1"/>
        <s v="  CONQUISTA INDUSTRIA DE MOVEIS S A EM RECUPERACAO J" u="1"/>
        <s v="  METALCROMO METALIZACAO E CROMO DURO INDUSTRIAL LTD" u="1"/>
        <s v="  TRANSPORTES TRANS BERTIN LTDA" u="1"/>
        <s v="  MECALD MECANICA E CALDEIRARIA LTDA EPP" u="1"/>
        <s v="  REAL DISTRIBUIDORA DE PRODUTOS PARA MARMORARIA LTD" u="1"/>
        <s v="  BEECORP BEM ESTAR CORPORATIVO LTDA ME" u="1"/>
        <s v="  ALPHA DISTRIBUIDORA DE PECAS LTDA ME" u="1"/>
        <s v="  TP DISTRIBUIDORA DE PECAS LTDA EPP" u="1"/>
        <s v="  FAC INDUSTRIA E SERVICOS LTDA ME" u="1"/>
        <s v="  TUBOLARES VITORIA INDUSTRIA E COMERCIO LTDA ME" u="1"/>
        <s v="  AVIAMENTOS CENTRAL LTDA ME" u="1"/>
        <s v="  BIOTECH LOGISTICA LTDA" u="1"/>
        <s v="  PRADO MOREIRA TEXTIL LTDA ME" u="1"/>
        <s v="  ARTE FINAL INDUSTRIA E COMERCIO DE COURO LTDA" u="1"/>
        <s v="  FILIPE AUGUSTO DO CARMO GUSMAO LTDA ME" u="1"/>
        <s v="  COMERCIAL JLX DISTRIBUIDORA LTDA ME" u="1"/>
        <s v="  MAIS PURA AGUA MINERAL LTDA EPP" u="1"/>
        <s v="  COMERCIAL GTS INFORMATICA LTDA EPP" u="1"/>
        <s v="  MUNDYSERVICE COMERCIO DE PECAS E ASSISTENCIA TECNI" u="1"/>
        <s v="  STA TECHCANA LTDA" u="1"/>
        <s v="  DLTX INDUSTRIA E COMERCIO LTDA EPP" u="1"/>
        <s v="  CENTRAL DE SUPRIMENTOS INDUSTRIAIS LTDA EPP" u="1"/>
        <s v="  LTA USINAGEM LTDA EPP" u="1"/>
        <s v="  GLOBALMAX INDUSTRIA PLASTICA S/A" u="1"/>
        <s v="  NUTRIBEM SAL E RACOES LTDA" u="1"/>
        <s v="  LINGERIE E CIA LTDA ME" u="1"/>
        <s v="  SAFRA AGRICOLA E PECUARIA LTDA" u="1"/>
        <s v="  C V T O IND E COM LTDA EPP" u="1"/>
        <s v="  REFRACONT BRASIL LTDA" u="1"/>
        <s v="  FRAITECH INTELIGENCIA EM AUTOMACAO LTDA" u="1"/>
        <s v="  CENTRAL DO M R O COMERCIAL IMPORTACOES E SERVICOS" u="1"/>
        <s v="  GALLE INDUSTRIA E COMERCIO DE TINTAS E VERNIZES LT" u="1"/>
        <s v="  COMERCIAL PROGRESSO LTDA EPP" u="1"/>
        <s v="  BETEL UNIFORMES PROFISSIONAIS LTDA ME" u="1"/>
        <s v="  LAF COMERCIAL LTDA ME" u="1"/>
        <s v="  TERRA PECAS GENUINAS LTDA EPP" u="1"/>
        <s v="  REVPACK TECNOLOGIA E COMERCIO DE COMPONENTES PLAST" u="1"/>
        <s v="  ANGIOMEDIC COMERCIO DE MATERIAL MEDICO HOSPITALAR" u="1"/>
        <s v="  GAMA COMERCIO E TRANSPORTES LTDA EPP" u="1"/>
        <s v="  MINASPOL INDUSTRIA E COMERCIO DE COMPOSTOS POLIMER" u="1"/>
        <s v="  LINDINALDO ANISIO DA SILVA ME" u="1"/>
        <s v="  LOTUS DESENVOLVIMENTO IMOBILIARIO LTDA" u="1"/>
        <s v="  PROMEL IND COM IMP E EXP DE PRODS NATURAIS LTDA" u="1"/>
        <s v="  GRAFICA JSA LTDA EPP" u="1"/>
      </sharedItems>
    </cacheField>
    <cacheField name="EXCLUSÕES" numFmtId="0">
      <sharedItems containsString="0" containsBlank="1" containsNumber="1" containsInteger="1" minValue="0" maxValue="1"/>
    </cacheField>
    <cacheField name="INCLUSÕES" numFmtId="0">
      <sharedItems containsString="0" containsBlank="1" containsNumber="1" containsInteger="1" minValue="0" maxValue="1"/>
    </cacheField>
    <cacheField name="Saldo" numFmtId="0" formula="INCLUSÕES-EXCLUSÕE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1">
  <r>
    <s v="045.674.938/0001-25"/>
    <x v="0"/>
    <s v="INCLUSAO  ANOT.INADIMPLENCIA"/>
    <d v="2024-09-02T00:00:00"/>
    <x v="0"/>
    <x v="0"/>
    <x v="0"/>
    <x v="0"/>
    <n v="0"/>
    <n v="1"/>
  </r>
  <r>
    <s v="016.772.642/0001-49"/>
    <x v="1"/>
    <s v="INCLUSAO  ANOT.INADIMPLENCIA"/>
    <d v="2024-09-02T00:00:00"/>
    <x v="0"/>
    <x v="0"/>
    <x v="0"/>
    <x v="1"/>
    <n v="0"/>
    <n v="1"/>
  </r>
  <r>
    <s v="020.066.300/0001-80"/>
    <x v="2"/>
    <s v="INCLUSAO  ANOT.INADIMPLENCIA"/>
    <d v="2024-09-02T00:00:00"/>
    <x v="1"/>
    <x v="0"/>
    <x v="1"/>
    <x v="2"/>
    <n v="0"/>
    <n v="1"/>
  </r>
  <r>
    <s v="003.590.360/0001-89"/>
    <x v="3"/>
    <s v="INCLUSAO  ANOT.INADIMPLENCIA"/>
    <d v="2024-09-02T00:00:00"/>
    <x v="1"/>
    <x v="0"/>
    <x v="1"/>
    <x v="3"/>
    <n v="0"/>
    <n v="1"/>
  </r>
  <r>
    <s v="003.590.360/0001-90"/>
    <x v="3"/>
    <s v="EXCLUSAO  ANOT.INADIMPLENCIA"/>
    <d v="2024-09-02T00:00:00"/>
    <x v="1"/>
    <x v="0"/>
    <x v="1"/>
    <x v="3"/>
    <n v="1"/>
    <n v="0"/>
  </r>
  <r>
    <s v="012.520.791/0001-60"/>
    <x v="4"/>
    <s v="INCLUSAO  ANOT.INADIMPLENCIA"/>
    <d v="2024-09-02T00:00:00"/>
    <x v="1"/>
    <x v="0"/>
    <x v="1"/>
    <x v="4"/>
    <n v="0"/>
    <n v="1"/>
  </r>
  <r>
    <s v="008.712.271/0001-81"/>
    <x v="5"/>
    <s v="INCLUSAO  ANOT.INADIMPLENCIA"/>
    <d v="2024-09-02T00:00:00"/>
    <x v="2"/>
    <x v="0"/>
    <x v="2"/>
    <x v="5"/>
    <n v="0"/>
    <n v="1"/>
  </r>
  <r>
    <s v="008.712.271/0001-82"/>
    <x v="5"/>
    <s v="EXCLUSAO  ANOT.INADIMPLENCIA"/>
    <d v="2024-09-02T00:00:00"/>
    <x v="2"/>
    <x v="0"/>
    <x v="2"/>
    <x v="5"/>
    <n v="1"/>
    <n v="0"/>
  </r>
  <r>
    <s v="003.929.683/0001-54"/>
    <x v="6"/>
    <s v="INCLUSAO  ANOT.INADIMPLENCIA"/>
    <d v="2024-09-02T00:00:00"/>
    <x v="3"/>
    <x v="0"/>
    <x v="3"/>
    <x v="6"/>
    <n v="0"/>
    <n v="1"/>
  </r>
  <r>
    <s v="025.825.654/0001-85"/>
    <x v="7"/>
    <s v="EXCLUSAO  ANOT.INADIMPLENCIA"/>
    <d v="2024-09-02T00:00:00"/>
    <x v="4"/>
    <x v="0"/>
    <x v="4"/>
    <x v="7"/>
    <n v="1"/>
    <n v="0"/>
  </r>
  <r>
    <s v="036.382.501/0001-27"/>
    <x v="8"/>
    <s v="INCLUSAO  ANOT.INADIMPLENCIA"/>
    <d v="2024-09-02T00:00:00"/>
    <x v="5"/>
    <x v="0"/>
    <x v="5"/>
    <x v="8"/>
    <n v="0"/>
    <n v="1"/>
  </r>
  <r>
    <s v="036.382.501/0001-28"/>
    <x v="8"/>
    <s v="EXCLUSAO  ANOT.INADIMPLENCIA"/>
    <d v="2024-09-02T00:00:00"/>
    <x v="5"/>
    <x v="0"/>
    <x v="5"/>
    <x v="8"/>
    <n v="1"/>
    <n v="0"/>
  </r>
  <r>
    <s v="010.220.445/0001-30"/>
    <x v="9"/>
    <s v="INCLUSAO  ANOT.INADIMPLENCIA"/>
    <d v="2024-09-02T00:00:00"/>
    <x v="6"/>
    <x v="0"/>
    <x v="6"/>
    <x v="9"/>
    <n v="0"/>
    <n v="1"/>
  </r>
  <r>
    <s v="014.763.606/0001-93"/>
    <x v="10"/>
    <s v="INCLUSAO  ANOT.INADIMPLENCIA"/>
    <d v="2024-09-02T00:00:00"/>
    <x v="6"/>
    <x v="0"/>
    <x v="6"/>
    <x v="10"/>
    <n v="0"/>
    <n v="1"/>
  </r>
  <r>
    <s v="019.709.129/0001-00"/>
    <x v="11"/>
    <s v="INCLUSAO  ANOT.INADIMPLENCIA"/>
    <d v="2024-09-02T00:00:00"/>
    <x v="6"/>
    <x v="0"/>
    <x v="6"/>
    <x v="11"/>
    <n v="0"/>
    <n v="1"/>
  </r>
  <r>
    <s v="019.709.129/0001-01"/>
    <x v="11"/>
    <s v="EXCLUSAO  ANOT.INADIMPLENCIA"/>
    <d v="2024-09-02T00:00:00"/>
    <x v="6"/>
    <x v="0"/>
    <x v="6"/>
    <x v="11"/>
    <n v="1"/>
    <n v="0"/>
  </r>
  <r>
    <s v="007.556.817/0001-90"/>
    <x v="12"/>
    <s v="INCLUSAO  ANOT.INADIMPLENCIA"/>
    <d v="2024-09-02T00:00:00"/>
    <x v="6"/>
    <x v="0"/>
    <x v="6"/>
    <x v="12"/>
    <n v="0"/>
    <n v="1"/>
  </r>
  <r>
    <s v="007.556.817/0001-91"/>
    <x v="12"/>
    <s v="EXCLUSAO  ANOT.INADIMPLENCIA"/>
    <d v="2024-09-02T00:00:00"/>
    <x v="6"/>
    <x v="0"/>
    <x v="6"/>
    <x v="12"/>
    <n v="1"/>
    <n v="0"/>
  </r>
  <r>
    <s v="012.299.369/0001-26"/>
    <x v="13"/>
    <s v="INCLUSAO  ANOT.INADIMPLENCIA"/>
    <d v="2024-09-02T00:00:00"/>
    <x v="7"/>
    <x v="0"/>
    <x v="7"/>
    <x v="13"/>
    <n v="0"/>
    <n v="1"/>
  </r>
  <r>
    <s v="031.509.494/0001-68"/>
    <x v="14"/>
    <s v="INCLUSAO  ANOT.INADIMPLENCIA"/>
    <d v="2024-09-02T00:00:00"/>
    <x v="7"/>
    <x v="0"/>
    <x v="7"/>
    <x v="14"/>
    <n v="0"/>
    <n v="1"/>
  </r>
  <r>
    <s v="013.746.252/0001-06"/>
    <x v="15"/>
    <s v="INCLUSAO  ANOT.INADIMPLENCIA"/>
    <d v="2024-09-02T00:00:00"/>
    <x v="7"/>
    <x v="0"/>
    <x v="7"/>
    <x v="15"/>
    <n v="0"/>
    <n v="1"/>
  </r>
  <r>
    <s v="024.083.281/0001-51"/>
    <x v="16"/>
    <s v="INCLUSAO  ANOT.INADIMPLENCIA"/>
    <d v="2024-09-02T00:00:00"/>
    <x v="8"/>
    <x v="0"/>
    <x v="8"/>
    <x v="16"/>
    <n v="0"/>
    <n v="1"/>
  </r>
  <r>
    <s v="008.785.522/0001-58"/>
    <x v="17"/>
    <s v="INCLUSAO  ANOT.INADIMPLENCIA"/>
    <d v="2024-09-02T00:00:00"/>
    <x v="9"/>
    <x v="0"/>
    <x v="9"/>
    <x v="17"/>
    <n v="0"/>
    <n v="1"/>
  </r>
  <r>
    <s v="007.786.648/0001-84"/>
    <x v="18"/>
    <s v="INCLUSAO  ANOT.INADIMPLENCIA"/>
    <d v="2024-09-03T00:00:00"/>
    <x v="0"/>
    <x v="0"/>
    <x v="0"/>
    <x v="18"/>
    <n v="0"/>
    <n v="1"/>
  </r>
  <r>
    <s v="016.772.642/0001-49"/>
    <x v="1"/>
    <s v="EXCLUSAO  ANOT.INADIMPLENCIA"/>
    <d v="2024-09-03T00:00:00"/>
    <x v="0"/>
    <x v="0"/>
    <x v="0"/>
    <x v="1"/>
    <n v="1"/>
    <n v="0"/>
  </r>
  <r>
    <s v="020.066.300/0001-80"/>
    <x v="2"/>
    <s v="INCLUSAO  ANOT.INADIMPLENCIA"/>
    <d v="2024-09-03T00:00:00"/>
    <x v="1"/>
    <x v="0"/>
    <x v="1"/>
    <x v="2"/>
    <n v="0"/>
    <n v="1"/>
  </r>
  <r>
    <s v="015.414.962/0001-64"/>
    <x v="19"/>
    <s v="INCLUSAO  ANOT.INADIMPLENCIA"/>
    <d v="2024-09-03T00:00:00"/>
    <x v="10"/>
    <x v="0"/>
    <x v="10"/>
    <x v="19"/>
    <n v="0"/>
    <n v="1"/>
  </r>
  <r>
    <s v="008.712.271/0001-81"/>
    <x v="5"/>
    <s v="EXCLUSAO  ANOT.INADIMPLENCIA"/>
    <d v="2024-09-03T00:00:00"/>
    <x v="2"/>
    <x v="0"/>
    <x v="2"/>
    <x v="5"/>
    <n v="1"/>
    <n v="0"/>
  </r>
  <r>
    <s v="010.220.445/0001-30"/>
    <x v="9"/>
    <s v="INCLUSAO  ANOT.INADIMPLENCIA"/>
    <d v="2024-09-03T00:00:00"/>
    <x v="6"/>
    <x v="0"/>
    <x v="6"/>
    <x v="9"/>
    <n v="0"/>
    <n v="1"/>
  </r>
  <r>
    <s v="010.220.445/0001-31"/>
    <x v="9"/>
    <s v="EXCLUSAO  ANOT.INADIMPLENCIA"/>
    <d v="2024-09-03T00:00:00"/>
    <x v="6"/>
    <x v="0"/>
    <x v="6"/>
    <x v="9"/>
    <n v="1"/>
    <n v="0"/>
  </r>
  <r>
    <s v="014.763.606/0001-93"/>
    <x v="10"/>
    <s v="INCLUSAO  ANOT.INADIMPLENCIA"/>
    <d v="2024-09-03T00:00:00"/>
    <x v="6"/>
    <x v="0"/>
    <x v="6"/>
    <x v="10"/>
    <n v="0"/>
    <n v="1"/>
  </r>
  <r>
    <s v="019.709.129/0001-00"/>
    <x v="11"/>
    <s v="EXCLUSAO  ANOT.INADIMPLENCIA"/>
    <d v="2024-09-03T00:00:00"/>
    <x v="6"/>
    <x v="0"/>
    <x v="6"/>
    <x v="11"/>
    <n v="1"/>
    <n v="0"/>
  </r>
  <r>
    <s v="007.556.817/0001-90"/>
    <x v="12"/>
    <s v="EXCLUSAO  ANOT.INADIMPLENCIA"/>
    <d v="2024-09-03T00:00:00"/>
    <x v="6"/>
    <x v="0"/>
    <x v="6"/>
    <x v="12"/>
    <n v="1"/>
    <n v="0"/>
  </r>
  <r>
    <s v="031.509.494/0001-68"/>
    <x v="14"/>
    <s v="INCLUSAO  ANOT.INADIMPLENCIA"/>
    <d v="2024-09-03T00:00:00"/>
    <x v="7"/>
    <x v="0"/>
    <x v="7"/>
    <x v="14"/>
    <n v="0"/>
    <n v="1"/>
  </r>
  <r>
    <s v="023.637.987/0001-55"/>
    <x v="20"/>
    <s v="EXCLUSAO  ANOT.INADIMPLENCIA"/>
    <d v="2024-09-03T00:00:00"/>
    <x v="7"/>
    <x v="0"/>
    <x v="7"/>
    <x v="20"/>
    <n v="1"/>
    <n v="0"/>
  </r>
  <r>
    <s v="023.605.544/0001-82"/>
    <x v="21"/>
    <s v="INCLUSAO  ANOT.INADIMPLENCIA"/>
    <d v="2024-09-03T00:00:00"/>
    <x v="11"/>
    <x v="0"/>
    <x v="11"/>
    <x v="21"/>
    <n v="0"/>
    <n v="1"/>
  </r>
  <r>
    <s v="024.083.281/0001-51"/>
    <x v="16"/>
    <s v="INCLUSAO  ANOT.INADIMPLENCIA"/>
    <d v="2024-09-03T00:00:00"/>
    <x v="8"/>
    <x v="0"/>
    <x v="8"/>
    <x v="16"/>
    <n v="0"/>
    <n v="1"/>
  </r>
  <r>
    <s v="043.515.558/0001-12"/>
    <x v="22"/>
    <s v="EXCLUSAO  ANOT.INADIMPLENCIA"/>
    <d v="2024-09-03T00:00:00"/>
    <x v="12"/>
    <x v="0"/>
    <x v="12"/>
    <x v="22"/>
    <n v="1"/>
    <n v="0"/>
  </r>
  <r>
    <s v="008.785.522/0001-58"/>
    <x v="17"/>
    <s v="INCLUSAO  ANOT.INADIMPLENCIA"/>
    <d v="2024-09-03T00:00:00"/>
    <x v="9"/>
    <x v="0"/>
    <x v="9"/>
    <x v="17"/>
    <n v="0"/>
    <n v="1"/>
  </r>
  <r>
    <s v="034.964.228/0001-13"/>
    <x v="23"/>
    <s v="EXCLUSAO  ANOT.INADIMPLENCIA"/>
    <d v="2024-09-04T00:00:00"/>
    <x v="0"/>
    <x v="0"/>
    <x v="0"/>
    <x v="23"/>
    <n v="1"/>
    <n v="0"/>
  </r>
  <r>
    <s v="022.998.836/0001-60"/>
    <x v="24"/>
    <s v="INCLUSAO  ANOT.INADIMPLENCIA"/>
    <d v="2024-09-04T00:00:00"/>
    <x v="0"/>
    <x v="0"/>
    <x v="0"/>
    <x v="24"/>
    <n v="0"/>
    <n v="1"/>
  </r>
  <r>
    <s v="004.800.789/0001-16"/>
    <x v="25"/>
    <s v="EXCLUSAO  ANOT.INADIMPLENCIA"/>
    <d v="2024-09-04T00:00:00"/>
    <x v="13"/>
    <x v="0"/>
    <x v="13"/>
    <x v="25"/>
    <n v="1"/>
    <n v="0"/>
  </r>
  <r>
    <s v="020.066.300/0001-80"/>
    <x v="2"/>
    <s v="EXCLUSAO  ANOT.INADIMPLENCIA"/>
    <d v="2024-09-04T00:00:00"/>
    <x v="1"/>
    <x v="0"/>
    <x v="1"/>
    <x v="2"/>
    <n v="1"/>
    <n v="0"/>
  </r>
  <r>
    <s v="015.414.962/0001-64"/>
    <x v="19"/>
    <s v="EXCLUSAO  ANOT.INADIMPLENCIA"/>
    <d v="2024-09-04T00:00:00"/>
    <x v="10"/>
    <x v="0"/>
    <x v="10"/>
    <x v="19"/>
    <n v="1"/>
    <n v="0"/>
  </r>
  <r>
    <s v="019.709.129/0001-00"/>
    <x v="11"/>
    <s v="EXCLUSAO  ANOT.INADIMPLENCIA"/>
    <d v="2024-09-04T00:00:00"/>
    <x v="6"/>
    <x v="0"/>
    <x v="6"/>
    <x v="11"/>
    <n v="1"/>
    <n v="0"/>
  </r>
  <r>
    <s v="012.299.369/0001-26"/>
    <x v="13"/>
    <s v="EXCLUSAO  ANOT.INADIMPLENCIA"/>
    <d v="2024-09-04T00:00:00"/>
    <x v="7"/>
    <x v="0"/>
    <x v="7"/>
    <x v="13"/>
    <n v="1"/>
    <n v="0"/>
  </r>
  <r>
    <s v="011.091.574/0001-39"/>
    <x v="26"/>
    <s v="EXCLUSAO  ANOT.INADIMPLENCIA"/>
    <d v="2024-09-04T00:00:00"/>
    <x v="7"/>
    <x v="0"/>
    <x v="7"/>
    <x v="26"/>
    <n v="1"/>
    <n v="0"/>
  </r>
  <r>
    <s v="024.083.281/0001-51"/>
    <x v="16"/>
    <s v="INCLUSAO  ANOT.INADIMPLENCIA"/>
    <d v="2024-09-04T00:00:00"/>
    <x v="8"/>
    <x v="0"/>
    <x v="8"/>
    <x v="16"/>
    <n v="0"/>
    <n v="1"/>
  </r>
  <r>
    <s v="031.584.294/0001-70"/>
    <x v="27"/>
    <s v="EXCLUSAO  ANOT.INADIMPLENCIA"/>
    <d v="2024-09-05T00:00:00"/>
    <x v="0"/>
    <x v="0"/>
    <x v="0"/>
    <x v="27"/>
    <n v="1"/>
    <n v="0"/>
  </r>
  <r>
    <s v="022.998.836/0001-60"/>
    <x v="24"/>
    <s v="EXCLUSAO  ANOT.INADIMPLENCIA"/>
    <d v="2024-09-05T00:00:00"/>
    <x v="0"/>
    <x v="0"/>
    <x v="0"/>
    <x v="24"/>
    <n v="1"/>
    <n v="0"/>
  </r>
  <r>
    <s v="004.126.524/0001-84"/>
    <x v="28"/>
    <s v="INCLUSAO  ANOT.INADIMPLENCIA"/>
    <d v="2024-09-05T00:00:00"/>
    <x v="13"/>
    <x v="0"/>
    <x v="13"/>
    <x v="28"/>
    <n v="0"/>
    <n v="1"/>
  </r>
  <r>
    <s v="012.520.791/0001-60"/>
    <x v="4"/>
    <s v="INCLUSAO  ANOT.INADIMPLENCIA"/>
    <d v="2024-09-05T00:00:00"/>
    <x v="1"/>
    <x v="0"/>
    <x v="1"/>
    <x v="4"/>
    <n v="0"/>
    <n v="1"/>
  </r>
  <r>
    <s v="016.757.535/0001-41"/>
    <x v="29"/>
    <s v="INCLUSAO  ANOT.INADIMPLENCIA"/>
    <d v="2024-09-05T00:00:00"/>
    <x v="14"/>
    <x v="0"/>
    <x v="14"/>
    <x v="29"/>
    <n v="0"/>
    <n v="1"/>
  </r>
  <r>
    <s v="024.255.748/0001-01"/>
    <x v="30"/>
    <s v="EXCLUSAO  ANOT.INADIMPLENCIA"/>
    <d v="2024-09-05T00:00:00"/>
    <x v="15"/>
    <x v="0"/>
    <x v="15"/>
    <x v="30"/>
    <n v="1"/>
    <n v="0"/>
  </r>
  <r>
    <s v="010.220.445/0001-30"/>
    <x v="9"/>
    <s v="INCLUSAO  ANOT.INADIMPLENCIA"/>
    <d v="2024-09-05T00:00:00"/>
    <x v="6"/>
    <x v="0"/>
    <x v="6"/>
    <x v="9"/>
    <n v="0"/>
    <n v="1"/>
  </r>
  <r>
    <s v="010.220.445/0001-31"/>
    <x v="9"/>
    <s v="EXCLUSAO  ANOT.INADIMPLENCIA"/>
    <d v="2024-09-05T00:00:00"/>
    <x v="6"/>
    <x v="0"/>
    <x v="6"/>
    <x v="9"/>
    <n v="1"/>
    <n v="0"/>
  </r>
  <r>
    <s v="014.763.606/0001-93"/>
    <x v="10"/>
    <s v="EXCLUSAO  ANOT.INADIMPLENCIA"/>
    <d v="2024-09-05T00:00:00"/>
    <x v="6"/>
    <x v="0"/>
    <x v="6"/>
    <x v="10"/>
    <n v="1"/>
    <n v="0"/>
  </r>
  <r>
    <s v="019.709.129/0001-00"/>
    <x v="11"/>
    <s v="INCLUSAO  ANOT.INADIMPLENCIA"/>
    <d v="2024-09-05T00:00:00"/>
    <x v="6"/>
    <x v="0"/>
    <x v="6"/>
    <x v="11"/>
    <n v="0"/>
    <n v="1"/>
  </r>
  <r>
    <s v="007.556.817/0001-90"/>
    <x v="12"/>
    <s v="INCLUSAO  ANOT.INADIMPLENCIA"/>
    <d v="2024-09-05T00:00:00"/>
    <x v="6"/>
    <x v="0"/>
    <x v="6"/>
    <x v="12"/>
    <n v="0"/>
    <n v="1"/>
  </r>
  <r>
    <s v="007.556.817/0001-91"/>
    <x v="12"/>
    <s v="EXCLUSAO  ANOT.INADIMPLENCIA"/>
    <d v="2024-09-05T00:00:00"/>
    <x v="6"/>
    <x v="0"/>
    <x v="6"/>
    <x v="12"/>
    <n v="1"/>
    <n v="0"/>
  </r>
  <r>
    <s v="031.509.494/0001-68"/>
    <x v="14"/>
    <s v="INCLUSAO  ANOT.INADIMPLENCIA"/>
    <d v="2024-09-05T00:00:00"/>
    <x v="7"/>
    <x v="0"/>
    <x v="7"/>
    <x v="14"/>
    <n v="0"/>
    <n v="1"/>
  </r>
  <r>
    <s v="031.509.494/0001-69"/>
    <x v="14"/>
    <s v="EXCLUSAO  ANOT.INADIMPLENCIA"/>
    <d v="2024-09-05T00:00:00"/>
    <x v="7"/>
    <x v="0"/>
    <x v="7"/>
    <x v="14"/>
    <n v="1"/>
    <n v="0"/>
  </r>
  <r>
    <s v="013.746.252/0001-06"/>
    <x v="15"/>
    <s v="INCLUSAO  ANOT.INADIMPLENCIA"/>
    <d v="2024-09-05T00:00:00"/>
    <x v="7"/>
    <x v="0"/>
    <x v="7"/>
    <x v="15"/>
    <n v="0"/>
    <n v="1"/>
  </r>
  <r>
    <s v="023.605.544/0001-82"/>
    <x v="21"/>
    <s v="INCLUSAO  ANOT.INADIMPLENCIA"/>
    <d v="2024-09-05T00:00:00"/>
    <x v="11"/>
    <x v="0"/>
    <x v="11"/>
    <x v="21"/>
    <n v="0"/>
    <n v="1"/>
  </r>
  <r>
    <s v="014.829.598/0001-30"/>
    <x v="31"/>
    <s v="EXCLUSAO  ANOT.INADIMPLENCIA"/>
    <d v="2024-09-05T00:00:00"/>
    <x v="11"/>
    <x v="0"/>
    <x v="11"/>
    <x v="31"/>
    <n v="1"/>
    <n v="0"/>
  </r>
  <r>
    <s v="024.083.281/0001-51"/>
    <x v="16"/>
    <s v="INCLUSAO  ANOT.INADIMPLENCIA"/>
    <d v="2024-09-05T00:00:00"/>
    <x v="8"/>
    <x v="0"/>
    <x v="8"/>
    <x v="16"/>
    <n v="0"/>
    <n v="1"/>
  </r>
  <r>
    <s v="051.107.672/0001-31"/>
    <x v="32"/>
    <s v="INCLUSAO  ANOT.INADIMPLENCIA"/>
    <d v="2024-09-05T00:00:00"/>
    <x v="16"/>
    <x v="0"/>
    <x v="16"/>
    <x v="32"/>
    <n v="0"/>
    <n v="1"/>
  </r>
  <r>
    <s v="008.785.522/0001-58"/>
    <x v="17"/>
    <s v="INCLUSAO  ANOT.INADIMPLENCIA"/>
    <d v="2024-09-05T00:00:00"/>
    <x v="9"/>
    <x v="0"/>
    <x v="9"/>
    <x v="17"/>
    <n v="0"/>
    <n v="1"/>
  </r>
  <r>
    <s v="009.171.140/0001-05"/>
    <x v="33"/>
    <s v="INCLUSAO  ANOT.INADIMPLENCIA"/>
    <d v="2024-09-06T00:00:00"/>
    <x v="17"/>
    <x v="0"/>
    <x v="17"/>
    <x v="33"/>
    <n v="0"/>
    <n v="1"/>
  </r>
  <r>
    <s v="004.800.789/0001-16"/>
    <x v="25"/>
    <s v="EXCLUSAO  ANOT.INADIMPLENCIA"/>
    <d v="2024-09-06T00:00:00"/>
    <x v="13"/>
    <x v="0"/>
    <x v="13"/>
    <x v="25"/>
    <n v="1"/>
    <n v="0"/>
  </r>
  <r>
    <s v="004.126.524/0001-84"/>
    <x v="28"/>
    <s v="EXCLUSAO  ANOT.INADIMPLENCIA"/>
    <d v="2024-09-06T00:00:00"/>
    <x v="13"/>
    <x v="0"/>
    <x v="13"/>
    <x v="28"/>
    <n v="1"/>
    <n v="0"/>
  </r>
  <r>
    <s v="020.066.300/0001-80"/>
    <x v="2"/>
    <s v="INCLUSAO  ANOT.INADIMPLENCIA"/>
    <d v="2024-09-06T00:00:00"/>
    <x v="1"/>
    <x v="0"/>
    <x v="1"/>
    <x v="2"/>
    <n v="0"/>
    <n v="1"/>
  </r>
  <r>
    <s v="020.066.300/0001-81"/>
    <x v="2"/>
    <s v="EXCLUSAO  ANOT.INADIMPLENCIA"/>
    <d v="2024-09-06T00:00:00"/>
    <x v="1"/>
    <x v="0"/>
    <x v="1"/>
    <x v="2"/>
    <n v="1"/>
    <n v="0"/>
  </r>
  <r>
    <s v="012.520.791/0001-60"/>
    <x v="4"/>
    <s v="INCLUSAO  ANOT.INADIMPLENCIA"/>
    <d v="2024-09-06T00:00:00"/>
    <x v="1"/>
    <x v="0"/>
    <x v="1"/>
    <x v="4"/>
    <n v="0"/>
    <n v="1"/>
  </r>
  <r>
    <s v="012.520.791/0001-61"/>
    <x v="4"/>
    <s v="EXCLUSAO  ANOT.INADIMPLENCIA"/>
    <d v="2024-09-06T00:00:00"/>
    <x v="1"/>
    <x v="0"/>
    <x v="1"/>
    <x v="4"/>
    <n v="1"/>
    <n v="0"/>
  </r>
  <r>
    <s v="016.757.535/0001-41"/>
    <x v="29"/>
    <s v="INCLUSAO  ANOT.INADIMPLENCIA"/>
    <d v="2024-09-06T00:00:00"/>
    <x v="14"/>
    <x v="0"/>
    <x v="14"/>
    <x v="29"/>
    <n v="0"/>
    <n v="1"/>
  </r>
  <r>
    <s v="007.561.436/0001-07"/>
    <x v="34"/>
    <s v="INCLUSAO  ANOT.INADIMPLENCIA"/>
    <d v="2024-09-06T00:00:00"/>
    <x v="15"/>
    <x v="0"/>
    <x v="15"/>
    <x v="34"/>
    <n v="0"/>
    <n v="1"/>
  </r>
  <r>
    <s v="008.712.271/0001-81"/>
    <x v="5"/>
    <s v="INCLUSAO  ANOT.INADIMPLENCIA"/>
    <d v="2024-09-06T00:00:00"/>
    <x v="2"/>
    <x v="0"/>
    <x v="2"/>
    <x v="5"/>
    <n v="0"/>
    <n v="1"/>
  </r>
  <r>
    <s v="008.712.271/0001-82"/>
    <x v="5"/>
    <s v="EXCLUSAO  ANOT.INADIMPLENCIA"/>
    <d v="2024-09-06T00:00:00"/>
    <x v="2"/>
    <x v="0"/>
    <x v="2"/>
    <x v="5"/>
    <n v="1"/>
    <n v="0"/>
  </r>
  <r>
    <s v="041.768.583/0001-82"/>
    <x v="35"/>
    <s v="INCLUSAO  ANOT.INADIMPLENCIA"/>
    <d v="2024-09-06T00:00:00"/>
    <x v="18"/>
    <x v="0"/>
    <x v="18"/>
    <x v="35"/>
    <n v="0"/>
    <n v="1"/>
  </r>
  <r>
    <s v="014.763.606/0001-93"/>
    <x v="10"/>
    <s v="INCLUSAO  ANOT.INADIMPLENCIA"/>
    <d v="2024-09-06T00:00:00"/>
    <x v="6"/>
    <x v="0"/>
    <x v="6"/>
    <x v="10"/>
    <n v="0"/>
    <n v="1"/>
  </r>
  <r>
    <s v="019.709.129/0001-00"/>
    <x v="11"/>
    <s v="INCLUSAO  ANOT.INADIMPLENCIA"/>
    <d v="2024-09-06T00:00:00"/>
    <x v="6"/>
    <x v="0"/>
    <x v="6"/>
    <x v="11"/>
    <n v="0"/>
    <n v="1"/>
  </r>
  <r>
    <s v="007.556.817/0001-90"/>
    <x v="12"/>
    <s v="EXCLUSAO  ANOT.INADIMPLENCIA"/>
    <d v="2024-09-06T00:00:00"/>
    <x v="6"/>
    <x v="0"/>
    <x v="6"/>
    <x v="12"/>
    <n v="1"/>
    <n v="0"/>
  </r>
  <r>
    <s v="031.509.494/0001-68"/>
    <x v="14"/>
    <s v="INCLUSAO  ANOT.INADIMPLENCIA"/>
    <d v="2024-09-06T00:00:00"/>
    <x v="7"/>
    <x v="0"/>
    <x v="7"/>
    <x v="14"/>
    <n v="0"/>
    <n v="1"/>
  </r>
  <r>
    <s v="013.746.252/0001-06"/>
    <x v="15"/>
    <s v="INCLUSAO  ANOT.INADIMPLENCIA"/>
    <d v="2024-09-06T00:00:00"/>
    <x v="7"/>
    <x v="0"/>
    <x v="7"/>
    <x v="15"/>
    <n v="0"/>
    <n v="1"/>
  </r>
  <r>
    <s v="023.605.544/0001-82"/>
    <x v="21"/>
    <s v="INCLUSAO  ANOT.INADIMPLENCIA"/>
    <d v="2024-09-06T00:00:00"/>
    <x v="11"/>
    <x v="0"/>
    <x v="11"/>
    <x v="21"/>
    <n v="0"/>
    <n v="1"/>
  </r>
  <r>
    <s v="024.083.281/0001-51"/>
    <x v="16"/>
    <s v="INCLUSAO  ANOT.INADIMPLENCIA"/>
    <d v="2024-09-06T00:00:00"/>
    <x v="8"/>
    <x v="0"/>
    <x v="8"/>
    <x v="16"/>
    <n v="0"/>
    <n v="1"/>
  </r>
  <r>
    <s v="038.945.487/0001-58"/>
    <x v="36"/>
    <s v="INCLUSAO  ANOT.INADIMPLENCIA"/>
    <d v="2024-09-09T00:00:00"/>
    <x v="0"/>
    <x v="0"/>
    <x v="0"/>
    <x v="36"/>
    <n v="0"/>
    <n v="1"/>
  </r>
  <r>
    <s v="004.041.192/0001-35"/>
    <x v="37"/>
    <s v="EXCLUSAO  ANOT.INADIMPLENCIA"/>
    <d v="2024-09-09T00:00:00"/>
    <x v="0"/>
    <x v="0"/>
    <x v="0"/>
    <x v="37"/>
    <n v="1"/>
    <n v="0"/>
  </r>
  <r>
    <s v="020.066.300/0001-80"/>
    <x v="2"/>
    <s v="INCLUSAO  ANOT.INADIMPLENCIA"/>
    <d v="2024-09-09T00:00:00"/>
    <x v="1"/>
    <x v="0"/>
    <x v="1"/>
    <x v="2"/>
    <n v="0"/>
    <n v="1"/>
  </r>
  <r>
    <s v="020.066.300/0001-80"/>
    <x v="2"/>
    <s v="INCLUSAO  ANOT.INADIMPLENCIA"/>
    <d v="2024-09-09T00:00:00"/>
    <x v="1"/>
    <x v="0"/>
    <x v="1"/>
    <x v="2"/>
    <n v="0"/>
    <n v="1"/>
  </r>
  <r>
    <s v="007.561.436/0001-07"/>
    <x v="34"/>
    <s v="INCLUSAO  ANOT.INADIMPLENCIA"/>
    <d v="2024-09-09T00:00:00"/>
    <x v="15"/>
    <x v="0"/>
    <x v="15"/>
    <x v="34"/>
    <n v="0"/>
    <n v="1"/>
  </r>
  <r>
    <s v="008.712.271/0001-81"/>
    <x v="5"/>
    <s v="INCLUSAO  ANOT.INADIMPLENCIA"/>
    <d v="2024-09-09T00:00:00"/>
    <x v="2"/>
    <x v="0"/>
    <x v="2"/>
    <x v="5"/>
    <n v="0"/>
    <n v="1"/>
  </r>
  <r>
    <s v="008.712.271/0001-81"/>
    <x v="5"/>
    <s v="INCLUSAO  ANOT.INADIMPLENCIA"/>
    <d v="2024-09-09T00:00:00"/>
    <x v="2"/>
    <x v="0"/>
    <x v="2"/>
    <x v="5"/>
    <n v="0"/>
    <n v="1"/>
  </r>
  <r>
    <s v="034.821.586/0001-77"/>
    <x v="38"/>
    <s v="INCLUSAO  ANOT.INADIMPLENCIA"/>
    <d v="2024-09-09T00:00:00"/>
    <x v="4"/>
    <x v="0"/>
    <x v="4"/>
    <x v="38"/>
    <n v="0"/>
    <n v="1"/>
  </r>
  <r>
    <s v="036.382.501/0001-27"/>
    <x v="8"/>
    <s v="INCLUSAO  ANOT.INADIMPLENCIA"/>
    <d v="2024-09-09T00:00:00"/>
    <x v="5"/>
    <x v="0"/>
    <x v="5"/>
    <x v="8"/>
    <n v="0"/>
    <n v="1"/>
  </r>
  <r>
    <s v="036.382.501/0001-28"/>
    <x v="8"/>
    <s v="EXCLUSAO  ANOT.INADIMPLENCIA"/>
    <d v="2024-09-09T00:00:00"/>
    <x v="5"/>
    <x v="0"/>
    <x v="5"/>
    <x v="8"/>
    <n v="1"/>
    <n v="0"/>
  </r>
  <r>
    <s v="041.768.583/0001-82"/>
    <x v="35"/>
    <s v="INCLUSAO  ANOT.INADIMPLENCIA"/>
    <d v="2024-09-09T00:00:00"/>
    <x v="18"/>
    <x v="0"/>
    <x v="18"/>
    <x v="35"/>
    <n v="0"/>
    <n v="1"/>
  </r>
  <r>
    <s v="014.763.606/0001-93"/>
    <x v="10"/>
    <s v="INCLUSAO  ANOT.INADIMPLENCIA"/>
    <d v="2024-09-09T00:00:00"/>
    <x v="6"/>
    <x v="0"/>
    <x v="6"/>
    <x v="10"/>
    <n v="0"/>
    <n v="1"/>
  </r>
  <r>
    <s v="019.709.129/0001-00"/>
    <x v="11"/>
    <s v="INCLUSAO  ANOT.INADIMPLENCIA"/>
    <d v="2024-09-09T00:00:00"/>
    <x v="6"/>
    <x v="0"/>
    <x v="6"/>
    <x v="11"/>
    <n v="0"/>
    <n v="1"/>
  </r>
  <r>
    <s v="019.709.129/0001-01"/>
    <x v="11"/>
    <s v="EXCLUSAO  ANOT.INADIMPLENCIA"/>
    <d v="2024-09-09T00:00:00"/>
    <x v="6"/>
    <x v="0"/>
    <x v="6"/>
    <x v="11"/>
    <n v="1"/>
    <n v="0"/>
  </r>
  <r>
    <s v="019.709.129/0001-00"/>
    <x v="11"/>
    <s v="INCLUSAO  ANOT.INADIMPLENCIA"/>
    <d v="2024-09-09T00:00:00"/>
    <x v="6"/>
    <x v="0"/>
    <x v="6"/>
    <x v="11"/>
    <n v="0"/>
    <n v="1"/>
  </r>
  <r>
    <s v="007.556.817/0001-90"/>
    <x v="12"/>
    <s v="EXCLUSAO  ANOT.INADIMPLENCIA"/>
    <d v="2024-09-09T00:00:00"/>
    <x v="6"/>
    <x v="0"/>
    <x v="6"/>
    <x v="12"/>
    <n v="1"/>
    <n v="0"/>
  </r>
  <r>
    <s v="037.828.375/0001-54"/>
    <x v="39"/>
    <s v="INCLUSAO  ANOT.INADIMPLENCIA"/>
    <d v="2024-09-09T00:00:00"/>
    <x v="7"/>
    <x v="0"/>
    <x v="7"/>
    <x v="39"/>
    <n v="0"/>
    <n v="1"/>
  </r>
  <r>
    <s v="037.828.375/0001-54"/>
    <x v="39"/>
    <s v="INCLUSAO  ANOT.INADIMPLENCIA"/>
    <d v="2024-09-09T00:00:00"/>
    <x v="7"/>
    <x v="0"/>
    <x v="7"/>
    <x v="39"/>
    <n v="0"/>
    <n v="1"/>
  </r>
  <r>
    <s v="031.509.494/0001-68"/>
    <x v="14"/>
    <s v="INCLUSAO  ANOT.INADIMPLENCIA"/>
    <d v="2024-09-09T00:00:00"/>
    <x v="7"/>
    <x v="0"/>
    <x v="7"/>
    <x v="14"/>
    <n v="0"/>
    <n v="1"/>
  </r>
  <r>
    <s v="013.746.252/0001-06"/>
    <x v="15"/>
    <s v="INCLUSAO  ANOT.INADIMPLENCIA"/>
    <d v="2024-09-09T00:00:00"/>
    <x v="7"/>
    <x v="0"/>
    <x v="7"/>
    <x v="15"/>
    <n v="0"/>
    <n v="1"/>
  </r>
  <r>
    <s v="013.746.252/0001-06"/>
    <x v="15"/>
    <s v="INCLUSAO  ANOT.INADIMPLENCIA"/>
    <d v="2024-09-09T00:00:00"/>
    <x v="7"/>
    <x v="0"/>
    <x v="7"/>
    <x v="15"/>
    <n v="0"/>
    <n v="1"/>
  </r>
  <r>
    <s v="023.605.544/0001-82"/>
    <x v="21"/>
    <s v="INCLUSAO  ANOT.INADIMPLENCIA"/>
    <d v="2024-09-09T00:00:00"/>
    <x v="11"/>
    <x v="0"/>
    <x v="11"/>
    <x v="21"/>
    <n v="0"/>
    <n v="1"/>
  </r>
  <r>
    <s v="014.829.598/0001-30"/>
    <x v="31"/>
    <s v="INCLUSAO  ANOT.INADIMPLENCIA"/>
    <d v="2024-09-09T00:00:00"/>
    <x v="11"/>
    <x v="0"/>
    <x v="11"/>
    <x v="31"/>
    <n v="0"/>
    <n v="1"/>
  </r>
  <r>
    <s v="024.083.281/0001-51"/>
    <x v="16"/>
    <s v="INCLUSAO  ANOT.INADIMPLENCIA"/>
    <d v="2024-09-09T00:00:00"/>
    <x v="8"/>
    <x v="0"/>
    <x v="8"/>
    <x v="16"/>
    <n v="0"/>
    <n v="1"/>
  </r>
  <r>
    <s v="008.785.522/0001-58"/>
    <x v="17"/>
    <s v="INCLUSAO  ANOT.INADIMPLENCIA"/>
    <d v="2024-09-09T00:00:00"/>
    <x v="9"/>
    <x v="0"/>
    <x v="9"/>
    <x v="17"/>
    <n v="0"/>
    <n v="1"/>
  </r>
  <r>
    <s v="008.785.522/0001-58"/>
    <x v="17"/>
    <s v="INCLUSAO  ANOT.INADIMPLENCIA"/>
    <d v="2024-09-09T00:00:00"/>
    <x v="9"/>
    <x v="0"/>
    <x v="9"/>
    <x v="17"/>
    <n v="0"/>
    <n v="1"/>
  </r>
  <r>
    <s v="045.674.938/0001-25"/>
    <x v="0"/>
    <s v="EXCLUSAO  ANOT.INADIMPLENCIA"/>
    <d v="2024-09-10T00:00:00"/>
    <x v="0"/>
    <x v="0"/>
    <x v="0"/>
    <x v="0"/>
    <n v="1"/>
    <n v="0"/>
  </r>
  <r>
    <s v="035.345.406/0001-90"/>
    <x v="40"/>
    <s v="INCLUSAO  ANOT.INADIMPLENCIA"/>
    <d v="2024-09-10T00:00:00"/>
    <x v="0"/>
    <x v="0"/>
    <x v="0"/>
    <x v="40"/>
    <n v="0"/>
    <n v="1"/>
  </r>
  <r>
    <s v="021.734.108/0001-88"/>
    <x v="41"/>
    <s v="EXCLUSAO  ANOT.INADIMPLENCIA"/>
    <d v="2024-09-10T00:00:00"/>
    <x v="13"/>
    <x v="0"/>
    <x v="13"/>
    <x v="41"/>
    <n v="1"/>
    <n v="0"/>
  </r>
  <r>
    <s v="006.107.454/0001-42"/>
    <x v="42"/>
    <s v="EXCLUSAO  ANOT.INADIMPLENCIA"/>
    <d v="2024-09-10T00:00:00"/>
    <x v="13"/>
    <x v="0"/>
    <x v="13"/>
    <x v="42"/>
    <n v="1"/>
    <n v="0"/>
  </r>
  <r>
    <s v="020.066.300/0001-80"/>
    <x v="2"/>
    <s v="INCLUSAO  ANOT.INADIMPLENCIA"/>
    <d v="2024-09-10T00:00:00"/>
    <x v="1"/>
    <x v="0"/>
    <x v="1"/>
    <x v="2"/>
    <n v="0"/>
    <n v="1"/>
  </r>
  <r>
    <s v="029.030.307/0001-17"/>
    <x v="43"/>
    <s v="INCLUSAO  ANOT.INADIMPLENCIA"/>
    <d v="2024-09-10T00:00:00"/>
    <x v="1"/>
    <x v="0"/>
    <x v="1"/>
    <x v="43"/>
    <n v="0"/>
    <n v="1"/>
  </r>
  <r>
    <s v="007.102.721/0001-51"/>
    <x v="44"/>
    <s v="INCLUSAO  ANOT.INADIMPLENCIA"/>
    <d v="2024-09-10T00:00:00"/>
    <x v="15"/>
    <x v="0"/>
    <x v="15"/>
    <x v="44"/>
    <n v="0"/>
    <n v="1"/>
  </r>
  <r>
    <s v="015.414.962/0001-64"/>
    <x v="19"/>
    <s v="INCLUSAO  ANOT.INADIMPLENCIA"/>
    <d v="2024-09-10T00:00:00"/>
    <x v="10"/>
    <x v="0"/>
    <x v="10"/>
    <x v="19"/>
    <n v="0"/>
    <n v="1"/>
  </r>
  <r>
    <s v="000.803.044/0001-50"/>
    <x v="45"/>
    <s v="EXCLUSAO  ANOT.INADIMPLENCIA"/>
    <d v="2024-09-10T00:00:00"/>
    <x v="5"/>
    <x v="0"/>
    <x v="5"/>
    <x v="45"/>
    <n v="1"/>
    <n v="0"/>
  </r>
  <r>
    <s v="019.709.129/0001-00"/>
    <x v="11"/>
    <s v="INCLUSAO  ANOT.INADIMPLENCIA"/>
    <d v="2024-09-10T00:00:00"/>
    <x v="6"/>
    <x v="0"/>
    <x v="6"/>
    <x v="11"/>
    <n v="0"/>
    <n v="1"/>
  </r>
  <r>
    <s v="037.828.375/0001-54"/>
    <x v="39"/>
    <s v="EXCLUSAO  ANOT.INADIMPLENCIA"/>
    <d v="2024-09-10T00:00:00"/>
    <x v="7"/>
    <x v="0"/>
    <x v="7"/>
    <x v="39"/>
    <n v="1"/>
    <n v="0"/>
  </r>
  <r>
    <s v="031.509.494/0001-68"/>
    <x v="14"/>
    <s v="INCLUSAO  ANOT.INADIMPLENCIA"/>
    <d v="2024-09-10T00:00:00"/>
    <x v="7"/>
    <x v="0"/>
    <x v="7"/>
    <x v="14"/>
    <n v="0"/>
    <n v="1"/>
  </r>
  <r>
    <s v="013.746.252/0001-06"/>
    <x v="15"/>
    <s v="INCLUSAO  ANOT.INADIMPLENCIA"/>
    <d v="2024-09-10T00:00:00"/>
    <x v="7"/>
    <x v="0"/>
    <x v="7"/>
    <x v="15"/>
    <n v="0"/>
    <n v="1"/>
  </r>
  <r>
    <s v="023.605.544/0001-82"/>
    <x v="21"/>
    <s v="INCLUSAO  ANOT.INADIMPLENCIA"/>
    <d v="2024-09-10T00:00:00"/>
    <x v="11"/>
    <x v="0"/>
    <x v="11"/>
    <x v="21"/>
    <n v="0"/>
    <n v="1"/>
  </r>
  <r>
    <s v="046.700.220/0001-29"/>
    <x v="46"/>
    <s v="INCLUSAO  ANOT.INADIMPLENCIA"/>
    <d v="2024-09-10T00:00:00"/>
    <x v="11"/>
    <x v="0"/>
    <x v="11"/>
    <x v="46"/>
    <n v="0"/>
    <n v="1"/>
  </r>
  <r>
    <s v="038.110.780/0001-03"/>
    <x v="47"/>
    <s v="INCLUSAO  ANOT.INADIMPLENCIA"/>
    <d v="2024-09-10T00:00:00"/>
    <x v="8"/>
    <x v="0"/>
    <x v="8"/>
    <x v="47"/>
    <n v="0"/>
    <n v="1"/>
  </r>
  <r>
    <s v="071.350.797/0001-03"/>
    <x v="48"/>
    <s v="INCLUSAO  ANOT.INADIMPLENCIA"/>
    <d v="2024-09-10T00:00:00"/>
    <x v="16"/>
    <x v="0"/>
    <x v="16"/>
    <x v="48"/>
    <n v="0"/>
    <n v="1"/>
  </r>
  <r>
    <s v="045.674.938/0001-25"/>
    <x v="0"/>
    <s v="EXCLUSAO  ANOT.INADIMPLENCIA"/>
    <d v="2024-09-11T00:00:00"/>
    <x v="0"/>
    <x v="0"/>
    <x v="0"/>
    <x v="0"/>
    <n v="1"/>
    <n v="0"/>
  </r>
  <r>
    <s v="021.734.108/0001-88"/>
    <x v="41"/>
    <s v="INCLUSAO  ANOT.INADIMPLENCIA"/>
    <d v="2024-09-11T00:00:00"/>
    <x v="13"/>
    <x v="0"/>
    <x v="13"/>
    <x v="41"/>
    <n v="0"/>
    <n v="1"/>
  </r>
  <r>
    <s v="020.066.300/0001-80"/>
    <x v="2"/>
    <s v="INCLUSAO  ANOT.INADIMPLENCIA"/>
    <d v="2024-09-11T00:00:00"/>
    <x v="1"/>
    <x v="0"/>
    <x v="1"/>
    <x v="2"/>
    <n v="0"/>
    <n v="1"/>
  </r>
  <r>
    <s v="020.066.300/0001-80"/>
    <x v="2"/>
    <s v="EXCLUSAO  ANOT.INADIMPLENCIA"/>
    <d v="2024-09-11T00:00:00"/>
    <x v="1"/>
    <x v="0"/>
    <x v="1"/>
    <x v="2"/>
    <n v="1"/>
    <n v="0"/>
  </r>
  <r>
    <s v="029.030.307/0001-17"/>
    <x v="43"/>
    <s v="INCLUSAO  ANOT.INADIMPLENCIA"/>
    <d v="2024-09-11T00:00:00"/>
    <x v="1"/>
    <x v="0"/>
    <x v="1"/>
    <x v="43"/>
    <n v="0"/>
    <n v="1"/>
  </r>
  <r>
    <s v="016.757.535/0001-41"/>
    <x v="29"/>
    <s v="INCLUSAO  ANOT.INADIMPLENCIA"/>
    <d v="2024-09-11T00:00:00"/>
    <x v="14"/>
    <x v="0"/>
    <x v="14"/>
    <x v="29"/>
    <n v="0"/>
    <n v="1"/>
  </r>
  <r>
    <s v="014.763.606/0001-93"/>
    <x v="10"/>
    <s v="INCLUSAO  ANOT.INADIMPLENCIA"/>
    <d v="2024-09-11T00:00:00"/>
    <x v="6"/>
    <x v="0"/>
    <x v="6"/>
    <x v="10"/>
    <n v="0"/>
    <n v="1"/>
  </r>
  <r>
    <s v="019.709.129/0001-00"/>
    <x v="11"/>
    <s v="INCLUSAO  ANOT.INADIMPLENCIA"/>
    <d v="2024-09-11T00:00:00"/>
    <x v="6"/>
    <x v="0"/>
    <x v="6"/>
    <x v="11"/>
    <n v="0"/>
    <n v="1"/>
  </r>
  <r>
    <s v="031.509.494/0001-68"/>
    <x v="14"/>
    <s v="INCLUSAO  ANOT.INADIMPLENCIA"/>
    <d v="2024-09-11T00:00:00"/>
    <x v="7"/>
    <x v="0"/>
    <x v="7"/>
    <x v="14"/>
    <n v="0"/>
    <n v="1"/>
  </r>
  <r>
    <s v="013.746.252/0001-06"/>
    <x v="15"/>
    <s v="EXCLUSAO  ANOT.INADIMPLENCIA"/>
    <d v="2024-09-11T00:00:00"/>
    <x v="7"/>
    <x v="0"/>
    <x v="7"/>
    <x v="15"/>
    <n v="1"/>
    <n v="0"/>
  </r>
  <r>
    <s v="038.110.780/0001-03"/>
    <x v="47"/>
    <s v="EXCLUSAO  ANOT.INADIMPLENCIA"/>
    <d v="2024-09-11T00:00:00"/>
    <x v="8"/>
    <x v="0"/>
    <x v="8"/>
    <x v="47"/>
    <n v="1"/>
    <n v="0"/>
  </r>
  <r>
    <s v="038.945.487/0001-58"/>
    <x v="36"/>
    <s v="INCLUSAO  ANOT.INADIMPLENCIA"/>
    <d v="2024-09-12T00:00:00"/>
    <x v="0"/>
    <x v="0"/>
    <x v="0"/>
    <x v="36"/>
    <n v="0"/>
    <n v="1"/>
  </r>
  <r>
    <s v="021.734.108/0001-88"/>
    <x v="41"/>
    <s v="EXCLUSAO  ANOT.INADIMPLENCIA"/>
    <d v="2024-09-12T00:00:00"/>
    <x v="13"/>
    <x v="0"/>
    <x v="13"/>
    <x v="41"/>
    <n v="1"/>
    <n v="0"/>
  </r>
  <r>
    <s v="004.126.524/0001-84"/>
    <x v="49"/>
    <s v="INCLUSAO  ANOT.INADIMPLENCIA"/>
    <d v="2024-09-12T00:00:00"/>
    <x v="13"/>
    <x v="0"/>
    <x v="13"/>
    <x v="49"/>
    <n v="0"/>
    <n v="1"/>
  </r>
  <r>
    <s v="028.842.753/0001-63"/>
    <x v="50"/>
    <s v="INCLUSAO  ANOT.INADIMPLENCIA"/>
    <d v="2024-09-12T00:00:00"/>
    <x v="19"/>
    <x v="0"/>
    <x v="19"/>
    <x v="50"/>
    <n v="0"/>
    <n v="1"/>
  </r>
  <r>
    <s v="008.712.271/0001-81"/>
    <x v="5"/>
    <s v="EXCLUSAO  ANOT.INADIMPLENCIA"/>
    <d v="2024-09-12T00:00:00"/>
    <x v="2"/>
    <x v="0"/>
    <x v="2"/>
    <x v="5"/>
    <n v="1"/>
    <n v="0"/>
  </r>
  <r>
    <s v="019.709.129/0001-00"/>
    <x v="11"/>
    <s v="INCLUSAO  ANOT.INADIMPLENCIA"/>
    <d v="2024-09-12T00:00:00"/>
    <x v="6"/>
    <x v="0"/>
    <x v="6"/>
    <x v="11"/>
    <n v="0"/>
    <n v="1"/>
  </r>
  <r>
    <s v="031.509.494/0001-68"/>
    <x v="14"/>
    <s v="INCLUSAO  ANOT.INADIMPLENCIA"/>
    <d v="2024-09-12T00:00:00"/>
    <x v="7"/>
    <x v="0"/>
    <x v="7"/>
    <x v="14"/>
    <n v="0"/>
    <n v="1"/>
  </r>
  <r>
    <s v="013.746.252/0001-06"/>
    <x v="15"/>
    <s v="INCLUSAO  ANOT.INADIMPLENCIA"/>
    <d v="2024-09-12T00:00:00"/>
    <x v="7"/>
    <x v="0"/>
    <x v="7"/>
    <x v="15"/>
    <n v="0"/>
    <n v="1"/>
  </r>
  <r>
    <s v="046.700.220/0001-29"/>
    <x v="46"/>
    <s v="EXCLUSAO  ANOT.INADIMPLENCIA"/>
    <d v="2024-09-12T00:00:00"/>
    <x v="11"/>
    <x v="0"/>
    <x v="11"/>
    <x v="46"/>
    <n v="1"/>
    <n v="0"/>
  </r>
  <r>
    <s v="038.945.487/0001-58"/>
    <x v="36"/>
    <s v="INCLUSAO  ANOT.INADIMPLENCIA"/>
    <d v="2024-09-13T00:00:00"/>
    <x v="0"/>
    <x v="0"/>
    <x v="0"/>
    <x v="36"/>
    <n v="0"/>
    <n v="1"/>
  </r>
  <r>
    <s v="020.066.300/0001-80"/>
    <x v="2"/>
    <s v="INCL/EXCL ANOT.INADIMPLENCIA"/>
    <d v="2024-09-13T00:00:00"/>
    <x v="1"/>
    <x v="0"/>
    <x v="1"/>
    <x v="2"/>
    <n v="0"/>
    <n v="0"/>
  </r>
  <r>
    <s v="025.236.865/0001-82"/>
    <x v="51"/>
    <s v="INCLUSAO  ANOT.INADIMPLENCIA"/>
    <d v="2024-09-13T00:00:00"/>
    <x v="1"/>
    <x v="0"/>
    <x v="1"/>
    <x v="51"/>
    <n v="0"/>
    <n v="1"/>
  </r>
  <r>
    <s v="028.842.753/0001-63"/>
    <x v="50"/>
    <s v="INCLUSAO  ANOT.INADIMPLENCIA"/>
    <d v="2024-09-13T00:00:00"/>
    <x v="19"/>
    <x v="0"/>
    <x v="19"/>
    <x v="50"/>
    <n v="0"/>
    <n v="1"/>
  </r>
  <r>
    <s v="019.709.129/0001-00"/>
    <x v="11"/>
    <s v="INCLUSAO  ANOT.INADIMPLENCIA"/>
    <d v="2024-09-13T00:00:00"/>
    <x v="6"/>
    <x v="0"/>
    <x v="6"/>
    <x v="11"/>
    <n v="0"/>
    <n v="1"/>
  </r>
  <r>
    <s v="045.674.938/0001-25"/>
    <x v="0"/>
    <s v="INCLUSAO  ANOT.INADIMPLENCIA"/>
    <d v="2024-09-16T00:00:00"/>
    <x v="0"/>
    <x v="1"/>
    <x v="0"/>
    <x v="0"/>
    <n v="0"/>
    <n v="1"/>
  </r>
  <r>
    <s v="050.164.951/0001-74"/>
    <x v="52"/>
    <s v="INCLUSAO  ANOT.INADIMPLENCIA"/>
    <d v="2024-09-16T00:00:00"/>
    <x v="0"/>
    <x v="1"/>
    <x v="0"/>
    <x v="52"/>
    <n v="0"/>
    <n v="1"/>
  </r>
  <r>
    <s v="048.144.853/0001-23"/>
    <x v="53"/>
    <s v="INCLUSAO  ANOT.INADIMPLENCIA"/>
    <d v="2024-09-16T00:00:00"/>
    <x v="0"/>
    <x v="1"/>
    <x v="0"/>
    <x v="53"/>
    <n v="0"/>
    <n v="1"/>
  </r>
  <r>
    <s v="010.497.973/0001-31"/>
    <x v="54"/>
    <s v="INCLUSAO  ANOT.INADIMPLENCIA"/>
    <d v="2024-09-16T00:00:00"/>
    <x v="0"/>
    <x v="1"/>
    <x v="0"/>
    <x v="54"/>
    <n v="0"/>
    <n v="1"/>
  </r>
  <r>
    <s v="023.911.356/0001-82"/>
    <x v="55"/>
    <s v="INCLUSAO  ANOT.INADIMPLENCIA"/>
    <d v="2024-09-16T00:00:00"/>
    <x v="0"/>
    <x v="1"/>
    <x v="0"/>
    <x v="55"/>
    <n v="0"/>
    <n v="1"/>
  </r>
  <r>
    <s v="020.066.300/0001-80"/>
    <x v="2"/>
    <s v="INCL/EXCL ANOT.INADIMPLENCIA"/>
    <d v="2024-09-16T00:00:00"/>
    <x v="1"/>
    <x v="1"/>
    <x v="1"/>
    <x v="2"/>
    <n v="0"/>
    <n v="0"/>
  </r>
  <r>
    <s v="002.038.227/0001-51"/>
    <x v="56"/>
    <s v="INCLUSAO  ANOT.INADIMPLENCIA"/>
    <d v="2024-09-16T00:00:00"/>
    <x v="1"/>
    <x v="1"/>
    <x v="1"/>
    <x v="56"/>
    <n v="0"/>
    <n v="1"/>
  </r>
  <r>
    <s v="025.236.865/0001-82"/>
    <x v="51"/>
    <s v="INCLUSAO  ANOT.INADIMPLENCIA"/>
    <d v="2024-09-16T00:00:00"/>
    <x v="1"/>
    <x v="1"/>
    <x v="1"/>
    <x v="51"/>
    <n v="0"/>
    <n v="1"/>
  </r>
  <r>
    <s v="012.520.791/0001-60"/>
    <x v="4"/>
    <s v="INCLUSAO  ANOT.INADIMPLENCIA"/>
    <d v="2024-09-16T00:00:00"/>
    <x v="1"/>
    <x v="1"/>
    <x v="1"/>
    <x v="4"/>
    <n v="0"/>
    <n v="1"/>
  </r>
  <r>
    <s v="016.757.535/0001-41"/>
    <x v="29"/>
    <s v="INCLUSAO  ANOT.INADIMPLENCIA"/>
    <d v="2024-09-16T00:00:00"/>
    <x v="14"/>
    <x v="1"/>
    <x v="14"/>
    <x v="29"/>
    <n v="0"/>
    <n v="1"/>
  </r>
  <r>
    <s v="028.842.753/0001-63"/>
    <x v="50"/>
    <s v="INCLUSAO  ANOT.INADIMPLENCIA"/>
    <d v="2024-09-16T00:00:00"/>
    <x v="19"/>
    <x v="1"/>
    <x v="19"/>
    <x v="50"/>
    <n v="0"/>
    <n v="1"/>
  </r>
  <r>
    <s v="007.561.436/0001-07"/>
    <x v="34"/>
    <s v="INCLUSAO  ANOT.INADIMPLENCIA"/>
    <d v="2024-09-16T00:00:00"/>
    <x v="15"/>
    <x v="1"/>
    <x v="15"/>
    <x v="34"/>
    <n v="0"/>
    <n v="1"/>
  </r>
  <r>
    <s v="015.414.962/0001-64"/>
    <x v="19"/>
    <s v="INCLUSAO  ANOT.INADIMPLENCIA"/>
    <d v="2024-09-16T00:00:00"/>
    <x v="10"/>
    <x v="1"/>
    <x v="10"/>
    <x v="19"/>
    <n v="0"/>
    <n v="1"/>
  </r>
  <r>
    <s v="002.246.382/0001-63"/>
    <x v="57"/>
    <s v="INCLUSAO  ANOT.INADIMPLENCIA"/>
    <d v="2024-09-16T00:00:00"/>
    <x v="4"/>
    <x v="1"/>
    <x v="4"/>
    <x v="57"/>
    <n v="0"/>
    <n v="1"/>
  </r>
  <r>
    <s v="008.991.603/0001-04"/>
    <x v="58"/>
    <s v="INCLUSAO  ANOT.INADIMPLENCIA"/>
    <d v="2024-09-16T00:00:00"/>
    <x v="4"/>
    <x v="1"/>
    <x v="4"/>
    <x v="58"/>
    <n v="0"/>
    <n v="1"/>
  </r>
  <r>
    <s v="019.709.129/0001-00"/>
    <x v="11"/>
    <s v="INCLUSAO  ANOT.INADIMPLENCIA"/>
    <d v="2024-09-16T00:00:00"/>
    <x v="6"/>
    <x v="1"/>
    <x v="6"/>
    <x v="11"/>
    <n v="0"/>
    <n v="1"/>
  </r>
  <r>
    <s v="031.509.494/0001-68"/>
    <x v="14"/>
    <s v="INCLUSAO  ANOT.INADIMPLENCIA"/>
    <d v="2024-09-16T00:00:00"/>
    <x v="7"/>
    <x v="1"/>
    <x v="7"/>
    <x v="14"/>
    <n v="0"/>
    <n v="1"/>
  </r>
  <r>
    <s v="017.274.123/0001-13"/>
    <x v="59"/>
    <s v="EXCLUSAO  ANOT.INADIMPLENCIA"/>
    <d v="2024-09-16T00:00:00"/>
    <x v="7"/>
    <x v="1"/>
    <x v="7"/>
    <x v="59"/>
    <n v="1"/>
    <n v="0"/>
  </r>
  <r>
    <s v="013.746.252/0001-06"/>
    <x v="15"/>
    <s v="INCLUSAO  ANOT.INADIMPLENCIA"/>
    <d v="2024-09-16T00:00:00"/>
    <x v="7"/>
    <x v="1"/>
    <x v="7"/>
    <x v="15"/>
    <n v="0"/>
    <n v="1"/>
  </r>
  <r>
    <s v="046.700.220/0001-29"/>
    <x v="46"/>
    <s v="INCLUSAO  ANOT.INADIMPLENCIA"/>
    <d v="2024-09-16T00:00:00"/>
    <x v="11"/>
    <x v="1"/>
    <x v="11"/>
    <x v="46"/>
    <n v="0"/>
    <n v="1"/>
  </r>
  <r>
    <s v="011.122.552/0001-99"/>
    <x v="60"/>
    <s v="EXCLUSAO  ANOT.INADIMPLENCIA"/>
    <d v="2024-09-16T00:00:00"/>
    <x v="8"/>
    <x v="1"/>
    <x v="8"/>
    <x v="60"/>
    <n v="1"/>
    <n v="0"/>
  </r>
  <r>
    <s v="071.350.797/0001-03"/>
    <x v="48"/>
    <s v="EXCLUSAO  ANOT.INADIMPLENCIA"/>
    <d v="2024-09-16T00:00:00"/>
    <x v="16"/>
    <x v="1"/>
    <x v="16"/>
    <x v="48"/>
    <n v="1"/>
    <n v="0"/>
  </r>
  <r>
    <s v="018.581.853/0001-20"/>
    <x v="61"/>
    <s v="INCLUSAO  ANOT.INADIMPLENCIA"/>
    <d v="2024-09-16T00:00:00"/>
    <x v="16"/>
    <x v="1"/>
    <x v="16"/>
    <x v="61"/>
    <n v="0"/>
    <n v="1"/>
  </r>
  <r>
    <s v="021.734.108/0001-88"/>
    <x v="41"/>
    <s v="INCLUSAO  ANOT.INADIMPLENCIA"/>
    <d v="2024-09-18T00:00:00"/>
    <x v="13"/>
    <x v="1"/>
    <x v="13"/>
    <x v="41"/>
    <n v="0"/>
    <n v="1"/>
  </r>
  <r>
    <s v="016.757.535/0001-41"/>
    <x v="29"/>
    <s v="INCLUSAO  ANOT.INADIMPLENCIA"/>
    <d v="2024-09-18T00:00:00"/>
    <x v="14"/>
    <x v="1"/>
    <x v="14"/>
    <x v="29"/>
    <n v="0"/>
    <n v="1"/>
  </r>
  <r>
    <s v="008.712.271/0001-81"/>
    <x v="5"/>
    <s v="EXCLUSAO  ANOT.INADIMPLENCIA"/>
    <d v="2024-09-18T00:00:00"/>
    <x v="2"/>
    <x v="1"/>
    <x v="2"/>
    <x v="5"/>
    <n v="1"/>
    <n v="0"/>
  </r>
  <r>
    <s v="000.803.044/0001-50"/>
    <x v="45"/>
    <s v="EXCLUSAO  ANOT.INADIMPLENCIA"/>
    <d v="2024-09-18T00:00:00"/>
    <x v="5"/>
    <x v="1"/>
    <x v="5"/>
    <x v="45"/>
    <n v="1"/>
    <n v="0"/>
  </r>
  <r>
    <s v="014.763.606/0001-93"/>
    <x v="10"/>
    <s v="INCLUSAO  ANOT.INADIMPLENCIA"/>
    <d v="2024-09-18T00:00:00"/>
    <x v="6"/>
    <x v="1"/>
    <x v="6"/>
    <x v="10"/>
    <n v="0"/>
    <n v="1"/>
  </r>
  <r>
    <s v="019.709.129/0001-00"/>
    <x v="11"/>
    <s v="INCLUSAO  ANOT.INADIMPLENCIA"/>
    <d v="2024-09-18T00:00:00"/>
    <x v="6"/>
    <x v="1"/>
    <x v="6"/>
    <x v="11"/>
    <n v="0"/>
    <n v="1"/>
  </r>
  <r>
    <s v="006.236.494/0001-94"/>
    <x v="62"/>
    <s v="INCLUSAO  ANOT.INADIMPLENCIA"/>
    <d v="2024-09-18T00:00:00"/>
    <x v="7"/>
    <x v="1"/>
    <x v="7"/>
    <x v="62"/>
    <n v="0"/>
    <n v="1"/>
  </r>
  <r>
    <s v="031.509.494/0001-68"/>
    <x v="14"/>
    <s v="INCLUSAO  ANOT.INADIMPLENCIA"/>
    <d v="2024-09-18T00:00:00"/>
    <x v="7"/>
    <x v="1"/>
    <x v="7"/>
    <x v="14"/>
    <n v="0"/>
    <n v="1"/>
  </r>
  <r>
    <s v="013.746.252/0001-06"/>
    <x v="15"/>
    <s v="INCLUSAO  ANOT.INADIMPLENCIA"/>
    <d v="2024-09-18T00:00:00"/>
    <x v="7"/>
    <x v="1"/>
    <x v="7"/>
    <x v="15"/>
    <n v="0"/>
    <n v="1"/>
  </r>
  <r>
    <s v="046.700.220/0001-29"/>
    <x v="46"/>
    <s v="INCLUSAO  ANOT.INADIMPLENCIA"/>
    <d v="2024-09-18T00:00:00"/>
    <x v="11"/>
    <x v="1"/>
    <x v="11"/>
    <x v="46"/>
    <n v="0"/>
    <n v="1"/>
  </r>
  <r>
    <s v="021.473.575/0001-00"/>
    <x v="63"/>
    <s v="INCLUSAO  ANOT.INADIMPLENCIA"/>
    <d v="2024-09-18T00:00:00"/>
    <x v="11"/>
    <x v="1"/>
    <x v="11"/>
    <x v="63"/>
    <n v="0"/>
    <n v="1"/>
  </r>
  <r>
    <s v="055.979.736/0001-45"/>
    <x v="64"/>
    <s v="INCLUSAO  ANOT.INADIMPLENCIA"/>
    <d v="2024-09-18T00:00:00"/>
    <x v="20"/>
    <x v="1"/>
    <x v="20"/>
    <x v="64"/>
    <n v="0"/>
    <n v="1"/>
  </r>
  <r>
    <s v="038.945.487/0001-58"/>
    <x v="36"/>
    <s v="INCLUSAO  ANOT.INADIMPLENCIA"/>
    <d v="2024-09-19T00:00:00"/>
    <x v="0"/>
    <x v="1"/>
    <x v="0"/>
    <x v="36"/>
    <n v="0"/>
    <n v="1"/>
  </r>
  <r>
    <s v="012.520.791/0001-60"/>
    <x v="4"/>
    <s v="INCLUSAO  ANOT.INADIMPLENCIA"/>
    <d v="2024-09-19T00:00:00"/>
    <x v="1"/>
    <x v="1"/>
    <x v="1"/>
    <x v="4"/>
    <n v="0"/>
    <n v="1"/>
  </r>
  <r>
    <s v="007.102.721/0001-51"/>
    <x v="44"/>
    <s v="EXCLUSAO  ANOT.INADIMPLENCIA"/>
    <d v="2024-09-19T00:00:00"/>
    <x v="15"/>
    <x v="1"/>
    <x v="15"/>
    <x v="44"/>
    <n v="1"/>
    <n v="0"/>
  </r>
  <r>
    <s v="011.091.574/0001-39"/>
    <x v="26"/>
    <s v="EXCLUSAO  ANOT.INADIMPLENCIA"/>
    <d v="2024-09-19T00:00:00"/>
    <x v="7"/>
    <x v="1"/>
    <x v="7"/>
    <x v="26"/>
    <n v="1"/>
    <n v="0"/>
  </r>
  <r>
    <s v="031.509.494/0001-68"/>
    <x v="14"/>
    <s v="INCL/EXCL ANOT.INADIMPLENCIA"/>
    <d v="2024-09-19T00:00:00"/>
    <x v="7"/>
    <x v="1"/>
    <x v="7"/>
    <x v="14"/>
    <n v="0"/>
    <n v="0"/>
  </r>
  <r>
    <s v="013.746.252/0001-06"/>
    <x v="15"/>
    <s v="INCL/EXCL ANOT.INADIMPLENCIA"/>
    <d v="2024-09-19T00:00:00"/>
    <x v="7"/>
    <x v="1"/>
    <x v="7"/>
    <x v="15"/>
    <n v="0"/>
    <n v="0"/>
  </r>
  <r>
    <s v="023.605.544/0001-82"/>
    <x v="21"/>
    <s v="INCLUSAO  ANOT.INADIMPLENCIA"/>
    <d v="2024-09-19T00:00:00"/>
    <x v="11"/>
    <x v="1"/>
    <x v="11"/>
    <x v="21"/>
    <n v="0"/>
    <n v="1"/>
  </r>
  <r>
    <s v="046.700.220/0001-29"/>
    <x v="46"/>
    <s v="INCLUSAO  ANOT.INADIMPLENCIA"/>
    <d v="2024-09-19T00:00:00"/>
    <x v="11"/>
    <x v="1"/>
    <x v="11"/>
    <x v="46"/>
    <n v="0"/>
    <n v="1"/>
  </r>
  <r>
    <s v="032.621.233/0001-06"/>
    <x v="65"/>
    <s v="EXCLUSAO  ANOT.INADIMPLENCIA"/>
    <d v="2024-09-19T00:00:00"/>
    <x v="16"/>
    <x v="1"/>
    <x v="16"/>
    <x v="65"/>
    <n v="1"/>
    <n v="0"/>
  </r>
  <r>
    <s v="055.979.736/0001-45"/>
    <x v="64"/>
    <s v="EXCLUSAO  ANOT.INADIMPLENCIA"/>
    <d v="2024-09-19T00:00:00"/>
    <x v="20"/>
    <x v="1"/>
    <x v="20"/>
    <x v="64"/>
    <n v="1"/>
    <n v="0"/>
  </r>
  <r>
    <s v="043.515.558/0001-12"/>
    <x v="22"/>
    <s v="EXCLUSAO  ANOT.INADIMPLENCIA"/>
    <d v="2024-09-19T00:00:00"/>
    <x v="12"/>
    <x v="1"/>
    <x v="12"/>
    <x v="22"/>
    <n v="1"/>
    <n v="0"/>
  </r>
  <r>
    <s v="020.628.376/0001-52"/>
    <x v="66"/>
    <s v="INCLUSAO  ANOT.INADIMPLENCIA"/>
    <d v="2024-09-20T00:00:00"/>
    <x v="0"/>
    <x v="1"/>
    <x v="0"/>
    <x v="66"/>
    <n v="0"/>
    <n v="1"/>
  </r>
  <r>
    <s v="020.066.300/0001-80"/>
    <x v="2"/>
    <s v="INCLUSAO  ANOT.INADIMPLENCIA"/>
    <d v="2024-09-20T00:00:00"/>
    <x v="1"/>
    <x v="1"/>
    <x v="1"/>
    <x v="2"/>
    <n v="0"/>
    <n v="1"/>
  </r>
  <r>
    <s v="003.590.360/0001-89"/>
    <x v="3"/>
    <s v="EXCLUSAO  ANOT.INADIMPLENCIA"/>
    <d v="2024-09-20T00:00:00"/>
    <x v="1"/>
    <x v="1"/>
    <x v="1"/>
    <x v="3"/>
    <n v="1"/>
    <n v="0"/>
  </r>
  <r>
    <s v="029.030.307/0001-17"/>
    <x v="43"/>
    <s v="INCLUSAO  ANOT.INADIMPLENCIA"/>
    <d v="2024-09-20T00:00:00"/>
    <x v="1"/>
    <x v="1"/>
    <x v="1"/>
    <x v="43"/>
    <n v="0"/>
    <n v="1"/>
  </r>
  <r>
    <s v="015.414.962/0001-64"/>
    <x v="19"/>
    <s v="EXCLUSAO  ANOT.INADIMPLENCIA"/>
    <d v="2024-09-20T00:00:00"/>
    <x v="10"/>
    <x v="1"/>
    <x v="10"/>
    <x v="19"/>
    <n v="1"/>
    <n v="0"/>
  </r>
  <r>
    <s v="004.622.554/0001-81"/>
    <x v="67"/>
    <s v="EXCLUSAO  ANOT.INADIMPLENCIA"/>
    <d v="2024-09-20T00:00:00"/>
    <x v="6"/>
    <x v="1"/>
    <x v="6"/>
    <x v="67"/>
    <n v="1"/>
    <n v="0"/>
  </r>
  <r>
    <s v="014.763.606/0001-93"/>
    <x v="10"/>
    <s v="EXCLUSAO  ANOT.INADIMPLENCIA"/>
    <d v="2024-09-20T00:00:00"/>
    <x v="6"/>
    <x v="1"/>
    <x v="6"/>
    <x v="10"/>
    <n v="1"/>
    <n v="0"/>
  </r>
  <r>
    <s v="019.709.129/0001-00"/>
    <x v="11"/>
    <s v="INCLUSAO  ANOT.INADIMPLENCIA"/>
    <d v="2024-09-20T00:00:00"/>
    <x v="6"/>
    <x v="1"/>
    <x v="6"/>
    <x v="11"/>
    <n v="0"/>
    <n v="1"/>
  </r>
  <r>
    <s v="031.509.494/0001-68"/>
    <x v="14"/>
    <s v="INCL/EXCL ANOT.INADIMPLENCIA"/>
    <d v="2024-09-20T00:00:00"/>
    <x v="7"/>
    <x v="1"/>
    <x v="7"/>
    <x v="14"/>
    <n v="0"/>
    <n v="0"/>
  </r>
  <r>
    <s v="013.746.252/0001-06"/>
    <x v="15"/>
    <s v="EXCLUSAO  ANOT.INADIMPLENCIA"/>
    <d v="2024-09-20T00:00:00"/>
    <x v="7"/>
    <x v="1"/>
    <x v="7"/>
    <x v="15"/>
    <n v="1"/>
    <n v="0"/>
  </r>
  <r>
    <s v="018.581.853/0001-20"/>
    <x v="61"/>
    <s v="EXCLUSAO  ANOT.INADIMPLENCIA"/>
    <d v="2024-09-20T00:00:00"/>
    <x v="16"/>
    <x v="1"/>
    <x v="16"/>
    <x v="61"/>
    <n v="1"/>
    <n v="0"/>
  </r>
  <r>
    <s v="008.785.522/0001-58"/>
    <x v="17"/>
    <s v="INCLUSAO  ANOT.INADIMPLENCIA"/>
    <d v="2024-09-20T00:00:00"/>
    <x v="9"/>
    <x v="1"/>
    <x v="9"/>
    <x v="17"/>
    <n v="0"/>
    <n v="1"/>
  </r>
  <r>
    <s v="034.964.228/0001-13"/>
    <x v="23"/>
    <s v="INCLUSAO  ANOT.INADIMPLENCIA"/>
    <d v="2024-09-21T00:00:00"/>
    <x v="0"/>
    <x v="1"/>
    <x v="0"/>
    <x v="23"/>
    <n v="0"/>
    <n v="1"/>
  </r>
  <r>
    <s v="035.345.406/0001-90"/>
    <x v="40"/>
    <s v="EXCLUSAO  ANOT.INADIMPLENCIA"/>
    <d v="2024-09-21T00:00:00"/>
    <x v="0"/>
    <x v="1"/>
    <x v="0"/>
    <x v="40"/>
    <n v="1"/>
    <n v="0"/>
  </r>
  <r>
    <s v="020.066.300/0001-80"/>
    <x v="2"/>
    <s v="INCLUSAO  ANOT.INADIMPLENCIA"/>
    <d v="2024-09-21T00:00:00"/>
    <x v="1"/>
    <x v="1"/>
    <x v="1"/>
    <x v="2"/>
    <n v="0"/>
    <n v="1"/>
  </r>
  <r>
    <s v="012.520.791/0001-60"/>
    <x v="4"/>
    <s v="EXCLUSAO  ANOT.INADIMPLENCIA"/>
    <d v="2024-09-21T00:00:00"/>
    <x v="1"/>
    <x v="1"/>
    <x v="1"/>
    <x v="4"/>
    <n v="1"/>
    <n v="0"/>
  </r>
  <r>
    <s v="000.803.044/0001-50"/>
    <x v="45"/>
    <s v="EXCLUSAO  ANOT.INADIMPLENCIA"/>
    <d v="2024-09-21T00:00:00"/>
    <x v="5"/>
    <x v="1"/>
    <x v="5"/>
    <x v="45"/>
    <n v="1"/>
    <n v="0"/>
  </r>
  <r>
    <s v="014.763.606/0001-93"/>
    <x v="10"/>
    <s v="INCLUSAO  ANOT.INADIMPLENCIA"/>
    <d v="2024-09-21T00:00:00"/>
    <x v="6"/>
    <x v="1"/>
    <x v="6"/>
    <x v="10"/>
    <n v="0"/>
    <n v="1"/>
  </r>
  <r>
    <s v="019.709.129/0001-00"/>
    <x v="11"/>
    <s v="INCLUSAO  ANOT.INADIMPLENCIA"/>
    <d v="2024-09-21T00:00:00"/>
    <x v="6"/>
    <x v="1"/>
    <x v="6"/>
    <x v="11"/>
    <n v="0"/>
    <n v="1"/>
  </r>
  <r>
    <s v="031.509.494/0001-68"/>
    <x v="14"/>
    <s v="INCL/EXCL ANOT.INADIMPLENCIA"/>
    <d v="2024-09-21T00:00:00"/>
    <x v="7"/>
    <x v="1"/>
    <x v="7"/>
    <x v="14"/>
    <n v="0"/>
    <n v="0"/>
  </r>
  <r>
    <s v="013.746.252/0001-06"/>
    <x v="15"/>
    <s v="INCL/EXCL ANOT.INADIMPLENCIA"/>
    <d v="2024-09-21T00:00:00"/>
    <x v="7"/>
    <x v="1"/>
    <x v="7"/>
    <x v="15"/>
    <n v="0"/>
    <n v="0"/>
  </r>
  <r>
    <s v="046.700.220/0001-29"/>
    <x v="46"/>
    <s v="INCLUSAO  ANOT.INADIMPLENCIA"/>
    <d v="2024-09-21T00:00:00"/>
    <x v="11"/>
    <x v="1"/>
    <x v="11"/>
    <x v="46"/>
    <n v="0"/>
    <n v="1"/>
  </r>
  <r>
    <s v="012.804.762/0001-20"/>
    <x v="68"/>
    <s v="INCLUSAO  ANOT.INADIMPLENCIA"/>
    <d v="2024-09-21T00:00:00"/>
    <x v="21"/>
    <x v="1"/>
    <x v="21"/>
    <x v="68"/>
    <n v="0"/>
    <n v="1"/>
  </r>
  <r>
    <s v="046.140.062/0001-08"/>
    <x v="69"/>
    <s v="ALTERAÇÃO RAMO DE ATIVIDADE"/>
    <d v="2024-09-22T00:00:00"/>
    <x v="6"/>
    <x v="1"/>
    <x v="6"/>
    <x v="69"/>
    <n v="0"/>
    <n v="0"/>
  </r>
  <r>
    <s v="046.140.062/0001-08"/>
    <x v="69"/>
    <s v="INCLUSAO  ANOT.INADIMPLENCIA"/>
    <d v="2024-09-22T00:00:00"/>
    <x v="6"/>
    <x v="1"/>
    <x v="6"/>
    <x v="69"/>
    <n v="0"/>
    <n v="1"/>
  </r>
  <r>
    <s v="003.590.360/0001-89"/>
    <x v="3"/>
    <s v="INCLUSAO  ANOT.INADIMPLENCIA"/>
    <d v="2024-09-24T00:00:00"/>
    <x v="1"/>
    <x v="1"/>
    <x v="1"/>
    <x v="3"/>
    <n v="0"/>
    <n v="1"/>
  </r>
  <r>
    <s v="016.772.642/0001-49"/>
    <x v="70"/>
    <s v="INCLUSAO  ANOT.INADIMPLENCIA"/>
    <d v="2024-09-25T00:00:00"/>
    <x v="0"/>
    <x v="1"/>
    <x v="0"/>
    <x v="70"/>
    <n v="0"/>
    <n v="1"/>
  </r>
  <r>
    <s v="006.107.454/0001-42"/>
    <x v="42"/>
    <s v="INCLUSAO  ANOT.INADIMPLENCIA"/>
    <d v="2024-09-25T00:00:00"/>
    <x v="13"/>
    <x v="1"/>
    <x v="13"/>
    <x v="42"/>
    <n v="0"/>
    <n v="1"/>
  </r>
  <r>
    <s v="020.066.300/0001-80"/>
    <x v="2"/>
    <s v="INCLUSAO  ANOT.INADIMPLENCIA"/>
    <d v="2024-09-25T00:00:00"/>
    <x v="1"/>
    <x v="1"/>
    <x v="1"/>
    <x v="2"/>
    <n v="0"/>
    <n v="1"/>
  </r>
  <r>
    <s v="007.102.721/0001-51"/>
    <x v="44"/>
    <s v="EXCLUSAO  ANOT.INADIMPLENCIA"/>
    <d v="2024-09-25T00:00:00"/>
    <x v="15"/>
    <x v="1"/>
    <x v="15"/>
    <x v="44"/>
    <n v="1"/>
    <n v="0"/>
  </r>
  <r>
    <s v="015.414.962/0001-64"/>
    <x v="19"/>
    <s v="INCLUSAO  ANOT.INADIMPLENCIA"/>
    <d v="2024-09-25T00:00:00"/>
    <x v="10"/>
    <x v="1"/>
    <x v="10"/>
    <x v="19"/>
    <n v="0"/>
    <n v="1"/>
  </r>
  <r>
    <s v="008.712.271/0001-81"/>
    <x v="5"/>
    <s v="EXCLUSAO  ANOT.INADIMPLENCIA"/>
    <d v="2024-09-25T00:00:00"/>
    <x v="2"/>
    <x v="1"/>
    <x v="2"/>
    <x v="5"/>
    <n v="1"/>
    <n v="0"/>
  </r>
  <r>
    <s v="019.450.138/0001-10"/>
    <x v="71"/>
    <s v="EXCLUSAO  ANOT.INADIMPLENCIA"/>
    <d v="2024-09-25T00:00:00"/>
    <x v="22"/>
    <x v="1"/>
    <x v="22"/>
    <x v="71"/>
    <n v="1"/>
    <n v="0"/>
  </r>
  <r>
    <s v="003.929.683/0001-54"/>
    <x v="6"/>
    <s v="INCL/EXCL ANOT.INADIMPLENCIA"/>
    <d v="2024-09-25T00:00:00"/>
    <x v="3"/>
    <x v="1"/>
    <x v="3"/>
    <x v="6"/>
    <n v="0"/>
    <n v="0"/>
  </r>
  <r>
    <s v="025.825.654/0001-85"/>
    <x v="7"/>
    <s v="INCLUSAO  ANOT.INADIMPLENCIA"/>
    <d v="2024-09-25T00:00:00"/>
    <x v="4"/>
    <x v="1"/>
    <x v="4"/>
    <x v="7"/>
    <n v="0"/>
    <n v="1"/>
  </r>
  <r>
    <s v="034.821.586/0001-77"/>
    <x v="38"/>
    <s v="INCLUSAO  ANOT.INADIMPLENCIA"/>
    <d v="2024-09-25T00:00:00"/>
    <x v="4"/>
    <x v="1"/>
    <x v="4"/>
    <x v="38"/>
    <n v="0"/>
    <n v="1"/>
  </r>
  <r>
    <s v="014.763.606/0001-93"/>
    <x v="10"/>
    <s v="INCLUSAO  ANOT.INADIMPLENCIA"/>
    <d v="2024-09-25T00:00:00"/>
    <x v="6"/>
    <x v="1"/>
    <x v="6"/>
    <x v="10"/>
    <n v="0"/>
    <n v="1"/>
  </r>
  <r>
    <s v="019.709.129/0001-00"/>
    <x v="11"/>
    <s v="INCL/EXCL ANOT.INADIMPLENCIA"/>
    <d v="2024-09-25T00:00:00"/>
    <x v="6"/>
    <x v="1"/>
    <x v="6"/>
    <x v="11"/>
    <n v="0"/>
    <n v="0"/>
  </r>
  <r>
    <s v="031.509.494/0001-68"/>
    <x v="14"/>
    <s v="INCL/EXCL ANOT.INADIMPLENCIA"/>
    <d v="2024-09-25T00:00:00"/>
    <x v="7"/>
    <x v="1"/>
    <x v="7"/>
    <x v="14"/>
    <n v="0"/>
    <n v="0"/>
  </r>
  <r>
    <s v="013.746.252/0001-06"/>
    <x v="15"/>
    <s v="INCLUSAO  ANOT.INADIMPLENCIA"/>
    <d v="2024-09-25T00:00:00"/>
    <x v="7"/>
    <x v="1"/>
    <x v="7"/>
    <x v="15"/>
    <n v="0"/>
    <n v="1"/>
  </r>
  <r>
    <s v="046.700.220/0001-29"/>
    <x v="46"/>
    <s v="INCLUSAO  ANOT.INADIMPLENCIA"/>
    <d v="2024-09-25T00:00:00"/>
    <x v="11"/>
    <x v="1"/>
    <x v="11"/>
    <x v="46"/>
    <n v="0"/>
    <n v="1"/>
  </r>
  <r>
    <s v="012.804.762/0001-20"/>
    <x v="68"/>
    <s v="EXCLUSAO  ANOT.INADIMPLENCIA"/>
    <d v="2024-09-25T00:00:00"/>
    <x v="21"/>
    <x v="1"/>
    <x v="21"/>
    <x v="68"/>
    <n v="1"/>
    <n v="0"/>
  </r>
  <r>
    <s v="021.734.108/0001-88"/>
    <x v="41"/>
    <s v="INCLUSAO  ANOT.INADIMPLENCIA"/>
    <d v="2024-09-26T00:00:00"/>
    <x v="13"/>
    <x v="1"/>
    <x v="13"/>
    <x v="41"/>
    <n v="0"/>
    <n v="1"/>
  </r>
  <r>
    <s v="020.066.300/0001-80"/>
    <x v="2"/>
    <s v="INCLUSAO  ANOT.INADIMPLENCIA"/>
    <d v="2024-09-26T00:00:00"/>
    <x v="1"/>
    <x v="1"/>
    <x v="1"/>
    <x v="2"/>
    <n v="0"/>
    <n v="1"/>
  </r>
  <r>
    <s v="029.030.307/0001-17"/>
    <x v="43"/>
    <s v="INCLUSAO  ANOT.INADIMPLENCIA"/>
    <d v="2024-09-26T00:00:00"/>
    <x v="1"/>
    <x v="1"/>
    <x v="1"/>
    <x v="43"/>
    <n v="0"/>
    <n v="1"/>
  </r>
  <r>
    <s v="007.561.436/0001-07"/>
    <x v="34"/>
    <s v="INCLUSAO  ANOT.INADIMPLENCIA"/>
    <d v="2024-09-26T00:00:00"/>
    <x v="15"/>
    <x v="1"/>
    <x v="15"/>
    <x v="34"/>
    <n v="0"/>
    <n v="1"/>
  </r>
  <r>
    <s v="019.450.138/0001-10"/>
    <x v="71"/>
    <s v="INCLUSAO  ANOT.INADIMPLENCIA"/>
    <d v="2024-09-26T00:00:00"/>
    <x v="22"/>
    <x v="1"/>
    <x v="22"/>
    <x v="71"/>
    <n v="0"/>
    <n v="1"/>
  </r>
  <r>
    <s v="019.709.129/0001-00"/>
    <x v="11"/>
    <s v="INCL/EXCL ANOT.INADIMPLENCIA"/>
    <d v="2024-09-26T00:00:00"/>
    <x v="6"/>
    <x v="1"/>
    <x v="6"/>
    <x v="11"/>
    <n v="0"/>
    <n v="0"/>
  </r>
  <r>
    <s v="031.509.494/0001-68"/>
    <x v="14"/>
    <s v="INCLUSAO  ANOT.INADIMPLENCIA"/>
    <d v="2024-09-26T00:00:00"/>
    <x v="7"/>
    <x v="1"/>
    <x v="7"/>
    <x v="14"/>
    <n v="0"/>
    <n v="1"/>
  </r>
  <r>
    <s v="013.746.252/0001-06"/>
    <x v="15"/>
    <s v="INCLUSAO  ANOT.INADIMPLENCIA"/>
    <d v="2024-09-26T00:00:00"/>
    <x v="7"/>
    <x v="1"/>
    <x v="7"/>
    <x v="15"/>
    <n v="0"/>
    <n v="1"/>
  </r>
  <r>
    <s v="034.964.228/0001-13"/>
    <x v="23"/>
    <s v="EXCLUSAO  ANOT.INADIMPLENCIA"/>
    <d v="2024-09-27T00:00:00"/>
    <x v="0"/>
    <x v="1"/>
    <x v="0"/>
    <x v="23"/>
    <n v="1"/>
    <n v="0"/>
  </r>
  <r>
    <s v="023.911.356/0001-82"/>
    <x v="55"/>
    <s v="EXCLUSAO  ANOT.INADIMPLENCIA"/>
    <d v="2024-09-27T00:00:00"/>
    <x v="0"/>
    <x v="1"/>
    <x v="0"/>
    <x v="55"/>
    <n v="1"/>
    <n v="0"/>
  </r>
  <r>
    <s v="020.066.300/0001-80"/>
    <x v="2"/>
    <s v="INCLUSAO  ANOT.INADIMPLENCIA"/>
    <d v="2024-09-27T00:00:00"/>
    <x v="1"/>
    <x v="1"/>
    <x v="1"/>
    <x v="2"/>
    <n v="0"/>
    <n v="1"/>
  </r>
  <r>
    <s v="015.414.962/0001-64"/>
    <x v="19"/>
    <s v="INCLUSAO  ANOT.INADIMPLENCIA"/>
    <d v="2024-09-27T00:00:00"/>
    <x v="10"/>
    <x v="1"/>
    <x v="10"/>
    <x v="19"/>
    <n v="0"/>
    <n v="1"/>
  </r>
  <r>
    <s v="034.821.586/0001-77"/>
    <x v="38"/>
    <s v="INCLUSAO  ANOT.INADIMPLENCIA"/>
    <d v="2024-09-27T00:00:00"/>
    <x v="4"/>
    <x v="1"/>
    <x v="4"/>
    <x v="38"/>
    <n v="0"/>
    <n v="1"/>
  </r>
  <r>
    <s v="045.871.536/0001-10"/>
    <x v="72"/>
    <s v="INCLUSAO  ANOT.INADIMPLENCIA"/>
    <d v="2024-09-27T00:00:00"/>
    <x v="4"/>
    <x v="1"/>
    <x v="4"/>
    <x v="72"/>
    <n v="0"/>
    <n v="1"/>
  </r>
  <r>
    <s v="005.350.235/0001-27"/>
    <x v="73"/>
    <s v="EXCLUSAO  ANOT.INADIMPLENCIA"/>
    <d v="2024-09-27T00:00:00"/>
    <x v="4"/>
    <x v="1"/>
    <x v="4"/>
    <x v="73"/>
    <n v="1"/>
    <n v="0"/>
  </r>
  <r>
    <s v="031.509.494/0001-68"/>
    <x v="14"/>
    <s v="EXCLUSAO  ANOT.INADIMPLENCIA"/>
    <d v="2024-09-27T00:00:00"/>
    <x v="7"/>
    <x v="1"/>
    <x v="7"/>
    <x v="14"/>
    <n v="1"/>
    <n v="0"/>
  </r>
  <r>
    <s v="013.746.252/0001-06"/>
    <x v="15"/>
    <s v="INCLUSAO  ANOT.INADIMPLENCIA"/>
    <d v="2024-09-27T00:00:00"/>
    <x v="7"/>
    <x v="1"/>
    <x v="7"/>
    <x v="15"/>
    <n v="0"/>
    <n v="1"/>
  </r>
  <r>
    <s v="071.350.797/0001-03"/>
    <x v="48"/>
    <s v="INCLUSAO  ANOT.INADIMPLENCIA"/>
    <d v="2024-09-27T00:00:00"/>
    <x v="16"/>
    <x v="1"/>
    <x v="16"/>
    <x v="48"/>
    <n v="0"/>
    <n v="1"/>
  </r>
  <r>
    <s v="016.772.642/0001-49"/>
    <x v="70"/>
    <s v="EXCLUSAO  ANOT.INADIMPLENCIA"/>
    <d v="2024-09-28T00:00:00"/>
    <x v="0"/>
    <x v="1"/>
    <x v="0"/>
    <x v="70"/>
    <n v="1"/>
    <n v="0"/>
  </r>
  <r>
    <s v="020.066.300/0001-80"/>
    <x v="2"/>
    <s v="INCL/EXCL ANOT.INADIMPLENCIA"/>
    <d v="2024-09-28T00:00:00"/>
    <x v="1"/>
    <x v="1"/>
    <x v="1"/>
    <x v="2"/>
    <n v="0"/>
    <n v="0"/>
  </r>
  <r>
    <s v="003.590.360/0001-89"/>
    <x v="3"/>
    <s v="EXCLUSAO  ANOT.INADIMPLENCIA"/>
    <d v="2024-09-28T00:00:00"/>
    <x v="1"/>
    <x v="1"/>
    <x v="1"/>
    <x v="3"/>
    <n v="1"/>
    <n v="0"/>
  </r>
  <r>
    <s v="012.520.791/0001-60"/>
    <x v="4"/>
    <s v="INCLUSAO  ANOT.INADIMPLENCIA"/>
    <d v="2024-09-28T00:00:00"/>
    <x v="1"/>
    <x v="1"/>
    <x v="1"/>
    <x v="4"/>
    <n v="0"/>
    <n v="1"/>
  </r>
  <r>
    <s v="003.929.683/0001-54"/>
    <x v="6"/>
    <s v="INCLUSAO  ANOT.INADIMPLENCIA"/>
    <d v="2024-09-28T00:00:00"/>
    <x v="3"/>
    <x v="1"/>
    <x v="3"/>
    <x v="6"/>
    <n v="0"/>
    <n v="1"/>
  </r>
  <r>
    <s v="002.246.382/0001-63"/>
    <x v="57"/>
    <s v="INCLUSAO  ANOT.INADIMPLENCIA"/>
    <d v="2024-09-28T00:00:00"/>
    <x v="4"/>
    <x v="1"/>
    <x v="4"/>
    <x v="57"/>
    <n v="0"/>
    <n v="1"/>
  </r>
  <r>
    <s v="002.246.382/0001-63"/>
    <x v="57"/>
    <s v="INCLUSAO  ANOT.INADIMPLENCIA"/>
    <d v="2024-09-28T00:00:00"/>
    <x v="4"/>
    <x v="1"/>
    <x v="4"/>
    <x v="57"/>
    <n v="0"/>
    <n v="1"/>
  </r>
  <r>
    <s v="005.350.235/0001-27"/>
    <x v="73"/>
    <s v="INCLUSAO  ANOT.INADIMPLENCIA"/>
    <d v="2024-09-28T00:00:00"/>
    <x v="4"/>
    <x v="1"/>
    <x v="4"/>
    <x v="73"/>
    <n v="0"/>
    <n v="1"/>
  </r>
  <r>
    <s v="005.350.235/0001-27"/>
    <x v="73"/>
    <s v="INCLUSAO  ANOT.INADIMPLENCIA"/>
    <d v="2024-09-28T00:00:00"/>
    <x v="4"/>
    <x v="1"/>
    <x v="4"/>
    <x v="73"/>
    <n v="0"/>
    <n v="1"/>
  </r>
  <r>
    <s v="019.709.129/0001-00"/>
    <x v="11"/>
    <s v="INCLUSAO  ANOT.INADIMPLENCIA"/>
    <d v="2024-09-28T00:00:00"/>
    <x v="6"/>
    <x v="1"/>
    <x v="6"/>
    <x v="11"/>
    <n v="0"/>
    <n v="1"/>
  </r>
  <r>
    <s v="031.509.494/0001-68"/>
    <x v="14"/>
    <s v="EXCLUSAO  ANOT.INADIMPLENCIA"/>
    <d v="2024-09-28T00:00:00"/>
    <x v="7"/>
    <x v="1"/>
    <x v="7"/>
    <x v="14"/>
    <n v="1"/>
    <n v="0"/>
  </r>
  <r>
    <s v="013.746.252/0001-06"/>
    <x v="15"/>
    <s v="INCLUSAO  ANOT.INADIMPLENCIA"/>
    <d v="2024-09-28T00:00:00"/>
    <x v="7"/>
    <x v="1"/>
    <x v="7"/>
    <x v="15"/>
    <n v="0"/>
    <n v="1"/>
  </r>
  <r>
    <s v="014.514.481/0001-68"/>
    <x v="74"/>
    <s v="INCLUSAO  ANOT.INADIMPLENCIA"/>
    <d v="2024-09-28T00:00:00"/>
    <x v="11"/>
    <x v="1"/>
    <x v="11"/>
    <x v="74"/>
    <n v="0"/>
    <n v="1"/>
  </r>
  <r>
    <s v="044.320.551/0001-08"/>
    <x v="75"/>
    <s v="INCLUSAO  ANOT.INADIMPLENCIA"/>
    <d v="2024-10-01T00:00:00"/>
    <x v="0"/>
    <x v="2"/>
    <x v="0"/>
    <x v="75"/>
    <n v="0"/>
    <n v="1"/>
  </r>
  <r>
    <s v="004.126.524/0001-84"/>
    <x v="49"/>
    <s v="EXCLUSAO  ANOT.INADIMPLENCIA"/>
    <d v="2024-10-01T00:00:00"/>
    <x v="13"/>
    <x v="2"/>
    <x v="13"/>
    <x v="49"/>
    <n v="1"/>
    <n v="0"/>
  </r>
  <r>
    <s v="020.066.300/0001-80"/>
    <x v="2"/>
    <s v="INCL/EXCL ANOT.INADIMPLENCIA"/>
    <d v="2024-10-01T00:00:00"/>
    <x v="1"/>
    <x v="2"/>
    <x v="1"/>
    <x v="2"/>
    <n v="0"/>
    <n v="0"/>
  </r>
  <r>
    <s v="003.590.360/0001-89"/>
    <x v="3"/>
    <s v="EXCLUSAO  ANOT.INADIMPLENCIA"/>
    <d v="2024-10-01T00:00:00"/>
    <x v="1"/>
    <x v="2"/>
    <x v="1"/>
    <x v="3"/>
    <n v="1"/>
    <n v="0"/>
  </r>
  <r>
    <s v="012.520.791/0001-60"/>
    <x v="4"/>
    <s v="INCLUSAO  ANOT.INADIMPLENCIA"/>
    <d v="2024-10-01T00:00:00"/>
    <x v="1"/>
    <x v="2"/>
    <x v="1"/>
    <x v="4"/>
    <n v="0"/>
    <n v="1"/>
  </r>
  <r>
    <s v="007.561.436/0001-07"/>
    <x v="34"/>
    <s v="INCLUSAO  ANOT.INADIMPLENCIA"/>
    <d v="2024-10-01T00:00:00"/>
    <x v="15"/>
    <x v="2"/>
    <x v="15"/>
    <x v="34"/>
    <n v="0"/>
    <n v="1"/>
  </r>
  <r>
    <s v="034.821.586/0001-77"/>
    <x v="38"/>
    <s v="INCLUSAO  ANOT.INADIMPLENCIA"/>
    <d v="2024-10-01T00:00:00"/>
    <x v="4"/>
    <x v="2"/>
    <x v="4"/>
    <x v="38"/>
    <n v="0"/>
    <n v="1"/>
  </r>
  <r>
    <s v="000.803.044/0001-50"/>
    <x v="45"/>
    <s v="EXCLUSAO  ANOT.INADIMPLENCIA"/>
    <d v="2024-10-01T00:00:00"/>
    <x v="5"/>
    <x v="2"/>
    <x v="5"/>
    <x v="45"/>
    <n v="1"/>
    <n v="0"/>
  </r>
  <r>
    <s v="014.763.606/0001-93"/>
    <x v="10"/>
    <s v="INCL/EXCL ANOT.INADIMPLENCIA"/>
    <d v="2024-10-01T00:00:00"/>
    <x v="6"/>
    <x v="2"/>
    <x v="6"/>
    <x v="10"/>
    <n v="0"/>
    <n v="0"/>
  </r>
  <r>
    <s v="019.709.129/0001-00"/>
    <x v="11"/>
    <s v="INCLUSAO  ANOT.INADIMPLENCIA"/>
    <d v="2024-10-01T00:00:00"/>
    <x v="6"/>
    <x v="2"/>
    <x v="6"/>
    <x v="11"/>
    <n v="0"/>
    <n v="1"/>
  </r>
  <r>
    <s v="036.906.058/0001-46"/>
    <x v="76"/>
    <s v="INCLUSAO  ANOT.INADIMPLENCIA"/>
    <d v="2024-10-01T00:00:00"/>
    <x v="6"/>
    <x v="2"/>
    <x v="6"/>
    <x v="76"/>
    <n v="0"/>
    <n v="1"/>
  </r>
  <r>
    <s v="031.509.494/0001-68"/>
    <x v="14"/>
    <s v="INCLUSAO  ANOT.INADIMPLENCIA"/>
    <d v="2024-10-01T00:00:00"/>
    <x v="7"/>
    <x v="2"/>
    <x v="7"/>
    <x v="14"/>
    <n v="0"/>
    <n v="1"/>
  </r>
  <r>
    <s v="013.746.252/0001-06"/>
    <x v="15"/>
    <s v="INCL/EXCL ANOT.INADIMPLENCIA"/>
    <d v="2024-10-01T00:00:00"/>
    <x v="7"/>
    <x v="2"/>
    <x v="7"/>
    <x v="15"/>
    <n v="0"/>
    <n v="0"/>
  </r>
  <r>
    <s v="046.700.220/0001-29"/>
    <x v="46"/>
    <s v="INCLUSAO  ANOT.INADIMPLENCIA"/>
    <d v="2024-10-01T00:00:00"/>
    <x v="11"/>
    <x v="2"/>
    <x v="11"/>
    <x v="46"/>
    <n v="0"/>
    <n v="1"/>
  </r>
  <r>
    <s v="008.785.522/0001-58"/>
    <x v="17"/>
    <s v="INCLUSAO  ANOT.INADIMPLENCIA"/>
    <d v="2024-10-01T00:00:00"/>
    <x v="9"/>
    <x v="2"/>
    <x v="9"/>
    <x v="17"/>
    <n v="0"/>
    <n v="1"/>
  </r>
  <r>
    <s v="016.772.642/0001-49"/>
    <x v="70"/>
    <s v="EXCLUSAO  ANOT.INADIMPLENCIA"/>
    <d v="2024-10-02T00:00:00"/>
    <x v="0"/>
    <x v="2"/>
    <x v="0"/>
    <x v="70"/>
    <n v="1"/>
    <n v="0"/>
  </r>
  <r>
    <s v="004.041.192/0001-35"/>
    <x v="37"/>
    <s v="EXCLUSAO  ANOT.INADIMPLENCIA"/>
    <d v="2024-10-02T00:00:00"/>
    <x v="0"/>
    <x v="2"/>
    <x v="0"/>
    <x v="37"/>
    <n v="1"/>
    <n v="0"/>
  </r>
  <r>
    <s v="021.734.108/0001-88"/>
    <x v="41"/>
    <s v="INCLUSAO  ANOT.INADIMPLENCIA"/>
    <d v="2024-10-02T00:00:00"/>
    <x v="13"/>
    <x v="2"/>
    <x v="13"/>
    <x v="41"/>
    <n v="0"/>
    <n v="1"/>
  </r>
  <r>
    <s v="020.066.300/0001-80"/>
    <x v="2"/>
    <s v="INCLUSAO  ANOT.INADIMPLENCIA"/>
    <d v="2024-10-02T00:00:00"/>
    <x v="1"/>
    <x v="2"/>
    <x v="1"/>
    <x v="2"/>
    <n v="0"/>
    <n v="1"/>
  </r>
  <r>
    <s v="032.090.744/0001-30"/>
    <x v="77"/>
    <s v="INCLUSAO  ANOT.INADIMPLENCIA"/>
    <d v="2024-10-02T00:00:00"/>
    <x v="19"/>
    <x v="2"/>
    <x v="19"/>
    <x v="77"/>
    <n v="0"/>
    <n v="1"/>
  </r>
  <r>
    <s v="028.842.753/0001-63"/>
    <x v="50"/>
    <s v="EXCLUSAO  ANOT.INADIMPLENCIA"/>
    <d v="2024-10-02T00:00:00"/>
    <x v="19"/>
    <x v="2"/>
    <x v="19"/>
    <x v="50"/>
    <n v="1"/>
    <n v="0"/>
  </r>
  <r>
    <s v="001.636.335/0001-63"/>
    <x v="78"/>
    <s v="INCLUSAO  ANOT.INADIMPLENCIA"/>
    <d v="2024-10-02T00:00:00"/>
    <x v="15"/>
    <x v="2"/>
    <x v="15"/>
    <x v="78"/>
    <n v="0"/>
    <n v="1"/>
  </r>
  <r>
    <s v="000.803.044/0001-50"/>
    <x v="45"/>
    <s v="EXCLUSAO  ANOT.INADIMPLENCIA"/>
    <d v="2024-10-02T00:00:00"/>
    <x v="5"/>
    <x v="2"/>
    <x v="5"/>
    <x v="45"/>
    <n v="1"/>
    <n v="0"/>
  </r>
  <r>
    <s v="014.763.606/0001-93"/>
    <x v="10"/>
    <s v="INCL/EXCL ANOT.INADIMPLENCIA"/>
    <d v="2024-10-02T00:00:00"/>
    <x v="6"/>
    <x v="2"/>
    <x v="6"/>
    <x v="10"/>
    <n v="0"/>
    <n v="0"/>
  </r>
  <r>
    <s v="019.709.129/0001-00"/>
    <x v="11"/>
    <s v="INCLUSAO  ANOT.INADIMPLENCIA"/>
    <d v="2024-10-02T00:00:00"/>
    <x v="6"/>
    <x v="2"/>
    <x v="6"/>
    <x v="11"/>
    <n v="0"/>
    <n v="1"/>
  </r>
  <r>
    <s v="031.509.494/0001-68"/>
    <x v="14"/>
    <s v="INCLUSAO  ANOT.INADIMPLENCIA"/>
    <d v="2024-10-02T00:00:00"/>
    <x v="7"/>
    <x v="2"/>
    <x v="7"/>
    <x v="14"/>
    <n v="0"/>
    <n v="1"/>
  </r>
  <r>
    <s v="013.746.252/0001-06"/>
    <x v="15"/>
    <s v="INCL/EXCL ANOT.INADIMPLENCIA"/>
    <d v="2024-10-02T00:00:00"/>
    <x v="7"/>
    <x v="2"/>
    <x v="7"/>
    <x v="15"/>
    <n v="0"/>
    <n v="0"/>
  </r>
  <r>
    <s v="046.700.220/0001-29"/>
    <x v="46"/>
    <s v="INCLUSAO  ANOT.INADIMPLENCIA"/>
    <d v="2024-10-02T00:00:00"/>
    <x v="11"/>
    <x v="2"/>
    <x v="11"/>
    <x v="46"/>
    <n v="0"/>
    <n v="1"/>
  </r>
  <r>
    <s v="043.729.125/0001-60"/>
    <x v="79"/>
    <s v="INCLUSAO  ANOT.INADIMPLENCIA"/>
    <d v="2024-10-02T00:00:00"/>
    <x v="11"/>
    <x v="2"/>
    <x v="11"/>
    <x v="79"/>
    <n v="0"/>
    <n v="1"/>
  </r>
  <r>
    <s v="022.998.836/0001-60"/>
    <x v="24"/>
    <s v="EXCLUSAO  ANOT.INADIMPLENCIA"/>
    <d v="2024-10-04T00:00:00"/>
    <x v="0"/>
    <x v="2"/>
    <x v="0"/>
    <x v="24"/>
    <n v="1"/>
    <n v="0"/>
  </r>
  <r>
    <s v="020.066.300/0001-80"/>
    <x v="2"/>
    <s v="INCLUSAO  ANOT.INADIMPLENCIA"/>
    <d v="2024-10-04T00:00:00"/>
    <x v="1"/>
    <x v="2"/>
    <x v="1"/>
    <x v="2"/>
    <n v="0"/>
    <n v="1"/>
  </r>
  <r>
    <s v="012.520.791/0001-60"/>
    <x v="4"/>
    <s v="INCLUSAO  ANOT.INADIMPLENCIA"/>
    <d v="2024-10-04T00:00:00"/>
    <x v="1"/>
    <x v="2"/>
    <x v="1"/>
    <x v="4"/>
    <n v="0"/>
    <n v="1"/>
  </r>
  <r>
    <s v="016.757.535/0001-41"/>
    <x v="29"/>
    <s v="EXCLUSAO  ANOT.INADIMPLENCIA"/>
    <d v="2024-10-04T00:00:00"/>
    <x v="14"/>
    <x v="2"/>
    <x v="14"/>
    <x v="29"/>
    <n v="1"/>
    <n v="0"/>
  </r>
  <r>
    <s v="003.929.683/0001-54"/>
    <x v="6"/>
    <s v="EXCLUSAO  ANOT.INADIMPLENCIA"/>
    <d v="2024-10-04T00:00:00"/>
    <x v="3"/>
    <x v="2"/>
    <x v="3"/>
    <x v="6"/>
    <n v="1"/>
    <n v="0"/>
  </r>
  <r>
    <s v="019.709.129/0001-00"/>
    <x v="11"/>
    <s v="INCLUSAO  ANOT.INADIMPLENCIA"/>
    <d v="2024-10-04T00:00:00"/>
    <x v="6"/>
    <x v="2"/>
    <x v="6"/>
    <x v="11"/>
    <n v="0"/>
    <n v="1"/>
  </r>
  <r>
    <s v="036.906.058/0001-46"/>
    <x v="76"/>
    <s v="EXCLUSAO  ANOT.INADIMPLENCIA"/>
    <d v="2024-10-04T00:00:00"/>
    <x v="6"/>
    <x v="2"/>
    <x v="6"/>
    <x v="76"/>
    <n v="1"/>
    <n v="0"/>
  </r>
  <r>
    <s v="031.509.494/0001-68"/>
    <x v="14"/>
    <s v="EXCLUSAO  ANOT.INADIMPLENCIA"/>
    <d v="2024-10-04T00:00:00"/>
    <x v="7"/>
    <x v="2"/>
    <x v="7"/>
    <x v="14"/>
    <n v="1"/>
    <n v="0"/>
  </r>
  <r>
    <s v="038.110.780/0001-03"/>
    <x v="47"/>
    <s v="INCLUSAO  ANOT.INADIMPLENCIA"/>
    <d v="2024-10-04T00:00:00"/>
    <x v="8"/>
    <x v="2"/>
    <x v="8"/>
    <x v="47"/>
    <n v="0"/>
    <n v="1"/>
  </r>
  <r>
    <s v="051.107.672/0001-31"/>
    <x v="32"/>
    <s v="INCLUSAO  ANOT.INADIMPLENCIA"/>
    <d v="2024-10-04T00:00:00"/>
    <x v="16"/>
    <x v="2"/>
    <x v="16"/>
    <x v="32"/>
    <n v="0"/>
    <n v="1"/>
  </r>
  <r>
    <s v="020.066.300/0001-80"/>
    <x v="2"/>
    <s v="INCLUSAO  ANOT.INADIMPLENCIA"/>
    <d v="2024-10-05T00:00:00"/>
    <x v="1"/>
    <x v="2"/>
    <x v="1"/>
    <x v="2"/>
    <n v="0"/>
    <n v="1"/>
  </r>
  <r>
    <s v="032.090.744/0001-30"/>
    <x v="77"/>
    <s v="EXCLUSAO  ANOT.INADIMPLENCIA"/>
    <d v="2024-10-05T00:00:00"/>
    <x v="19"/>
    <x v="2"/>
    <x v="19"/>
    <x v="77"/>
    <n v="1"/>
    <n v="0"/>
  </r>
  <r>
    <s v="001.636.335/0001-63"/>
    <x v="78"/>
    <s v="EXCLUSAO  ANOT.INADIMPLENCIA"/>
    <d v="2024-10-05T00:00:00"/>
    <x v="15"/>
    <x v="2"/>
    <x v="15"/>
    <x v="78"/>
    <n v="1"/>
    <n v="0"/>
  </r>
  <r>
    <s v="003.929.683/0001-54"/>
    <x v="6"/>
    <s v="EXCLUSAO  ANOT.INADIMPLENCIA"/>
    <d v="2024-10-05T00:00:00"/>
    <x v="3"/>
    <x v="2"/>
    <x v="3"/>
    <x v="6"/>
    <n v="1"/>
    <n v="0"/>
  </r>
  <r>
    <s v="014.763.606/0001-93"/>
    <x v="10"/>
    <s v="INCLUSAO  ANOT.INADIMPLENCIA"/>
    <d v="2024-10-05T00:00:00"/>
    <x v="6"/>
    <x v="2"/>
    <x v="6"/>
    <x v="10"/>
    <n v="0"/>
    <n v="1"/>
  </r>
  <r>
    <s v="019.709.129/0001-00"/>
    <x v="11"/>
    <s v="INCLUSAO  ANOT.INADIMPLENCIA"/>
    <d v="2024-10-05T00:00:00"/>
    <x v="6"/>
    <x v="2"/>
    <x v="6"/>
    <x v="11"/>
    <n v="0"/>
    <n v="1"/>
  </r>
  <r>
    <s v="036.906.058/0001-46"/>
    <x v="76"/>
    <s v="INCLUSAO  ANOT.INADIMPLENCIA"/>
    <d v="2024-10-05T00:00:00"/>
    <x v="6"/>
    <x v="2"/>
    <x v="6"/>
    <x v="76"/>
    <n v="0"/>
    <n v="1"/>
  </r>
  <r>
    <s v="012.299.369/0001-26"/>
    <x v="13"/>
    <s v="INCLUSAO  ANOT.INADIMPLENCIA"/>
    <d v="2024-10-05T00:00:00"/>
    <x v="7"/>
    <x v="2"/>
    <x v="7"/>
    <x v="13"/>
    <n v="0"/>
    <n v="1"/>
  </r>
  <r>
    <s v="013.746.252/0001-06"/>
    <x v="15"/>
    <s v="INCLUSAO  ANOT.INADIMPLENCIA"/>
    <d v="2024-10-05T00:00:00"/>
    <x v="7"/>
    <x v="2"/>
    <x v="7"/>
    <x v="15"/>
    <n v="0"/>
    <n v="1"/>
  </r>
  <r>
    <s v="011.122.552/0001-99"/>
    <x v="60"/>
    <s v="INCLUSAO  ANOT.INADIMPLENCIA"/>
    <d v="2024-10-05T00:00:00"/>
    <x v="8"/>
    <x v="2"/>
    <x v="8"/>
    <x v="60"/>
    <n v="0"/>
    <n v="1"/>
  </r>
  <r>
    <s v="055.979.736/0001-45"/>
    <x v="64"/>
    <s v="EXCLUSAO  ANOT.INADIMPLENCIA"/>
    <d v="2024-10-05T00:00:00"/>
    <x v="20"/>
    <x v="2"/>
    <x v="20"/>
    <x v="64"/>
    <n v="1"/>
    <n v="0"/>
  </r>
  <r>
    <s v="038.082.538/0001-65"/>
    <x v="80"/>
    <s v="INCLUSAO  ANOT.INADIMPLENCIA"/>
    <d v="2024-10-08T00:00:00"/>
    <x v="0"/>
    <x v="2"/>
    <x v="0"/>
    <x v="80"/>
    <n v="0"/>
    <n v="1"/>
  </r>
  <r>
    <s v="038.082.538/0001-65"/>
    <x v="80"/>
    <s v="EXCLUSAO  ANOT.INADIMPLENCIA"/>
    <d v="2024-10-08T00:00:00"/>
    <x v="0"/>
    <x v="2"/>
    <x v="0"/>
    <x v="80"/>
    <n v="1"/>
    <n v="0"/>
  </r>
  <r>
    <s v="004.126.524/0001-84"/>
    <x v="49"/>
    <s v="EXCLUSAO  ANOT.INADIMPLENCIA"/>
    <d v="2024-10-08T00:00:00"/>
    <x v="13"/>
    <x v="2"/>
    <x v="13"/>
    <x v="49"/>
    <n v="1"/>
    <n v="0"/>
  </r>
  <r>
    <s v="020.066.300/0001-80"/>
    <x v="2"/>
    <s v="INCLUSAO  ANOT.INADIMPLENCIA"/>
    <d v="2024-10-08T00:00:00"/>
    <x v="1"/>
    <x v="2"/>
    <x v="1"/>
    <x v="2"/>
    <n v="0"/>
    <n v="1"/>
  </r>
  <r>
    <s v="012.520.791/0001-60"/>
    <x v="4"/>
    <s v="EXCLUSAO  ANOT.INADIMPLENCIA"/>
    <d v="2024-10-08T00:00:00"/>
    <x v="1"/>
    <x v="2"/>
    <x v="1"/>
    <x v="4"/>
    <n v="1"/>
    <n v="0"/>
  </r>
  <r>
    <s v="016.757.535/0001-41"/>
    <x v="29"/>
    <s v="INCLUSAO  ANOT.INADIMPLENCIA"/>
    <d v="2024-10-08T00:00:00"/>
    <x v="14"/>
    <x v="2"/>
    <x v="14"/>
    <x v="29"/>
    <n v="0"/>
    <n v="1"/>
  </r>
  <r>
    <s v="007.102.721/0001-51"/>
    <x v="44"/>
    <s v="INCLUSAO  ANOT.INADIMPLENCIA"/>
    <d v="2024-10-08T00:00:00"/>
    <x v="15"/>
    <x v="2"/>
    <x v="15"/>
    <x v="44"/>
    <n v="0"/>
    <n v="1"/>
  </r>
  <r>
    <s v="015.414.962/0001-64"/>
    <x v="19"/>
    <s v="INCLUSAO  ANOT.INADIMPLENCIA"/>
    <d v="2024-10-08T00:00:00"/>
    <x v="10"/>
    <x v="2"/>
    <x v="10"/>
    <x v="19"/>
    <n v="0"/>
    <n v="1"/>
  </r>
  <r>
    <s v="008.712.271/0001-81"/>
    <x v="5"/>
    <s v="EXCLUSAO  ANOT.INADIMPLENCIA"/>
    <d v="2024-10-08T00:00:00"/>
    <x v="2"/>
    <x v="2"/>
    <x v="2"/>
    <x v="5"/>
    <n v="1"/>
    <n v="0"/>
  </r>
  <r>
    <s v="000.803.044/0001-50"/>
    <x v="45"/>
    <s v="EXCLUSAO  ANOT.INADIMPLENCIA"/>
    <d v="2024-10-08T00:00:00"/>
    <x v="5"/>
    <x v="2"/>
    <x v="5"/>
    <x v="45"/>
    <n v="1"/>
    <n v="0"/>
  </r>
  <r>
    <s v="019.709.129/0001-00"/>
    <x v="11"/>
    <s v="INCLUSAO  ANOT.INADIMPLENCIA"/>
    <d v="2024-10-08T00:00:00"/>
    <x v="6"/>
    <x v="2"/>
    <x v="6"/>
    <x v="11"/>
    <n v="0"/>
    <n v="1"/>
  </r>
  <r>
    <s v="036.906.058/0001-46"/>
    <x v="76"/>
    <s v="INCLUSAO  ANOT.INADIMPLENCIA"/>
    <d v="2024-10-08T00:00:00"/>
    <x v="6"/>
    <x v="2"/>
    <x v="6"/>
    <x v="76"/>
    <n v="0"/>
    <n v="1"/>
  </r>
  <r>
    <s v="031.509.494/0001-68"/>
    <x v="14"/>
    <s v="EXCLUSAO  ANOT.INADIMPLENCIA"/>
    <d v="2024-10-08T00:00:00"/>
    <x v="7"/>
    <x v="2"/>
    <x v="7"/>
    <x v="14"/>
    <n v="1"/>
    <n v="0"/>
  </r>
  <r>
    <s v="013.746.252/0001-06"/>
    <x v="15"/>
    <s v="EXCLUSAO  ANOT.INADIMPLENCIA"/>
    <d v="2024-10-08T00:00:00"/>
    <x v="7"/>
    <x v="2"/>
    <x v="7"/>
    <x v="15"/>
    <n v="1"/>
    <n v="0"/>
  </r>
  <r>
    <s v="012.817.803/0001-12"/>
    <x v="81"/>
    <s v="INCLUSAO  ANOT.INADIMPLENCIA"/>
    <d v="2024-10-08T00:00:00"/>
    <x v="23"/>
    <x v="2"/>
    <x v="23"/>
    <x v="81"/>
    <n v="0"/>
    <n v="1"/>
  </r>
  <r>
    <s v="055.979.736/0001-45"/>
    <x v="64"/>
    <s v="EXCLUSAO  ANOT.INADIMPLENCIA"/>
    <d v="2024-10-08T00:00:00"/>
    <x v="20"/>
    <x v="2"/>
    <x v="20"/>
    <x v="64"/>
    <n v="1"/>
    <n v="0"/>
  </r>
  <r>
    <s v="008.785.522/0001-58"/>
    <x v="17"/>
    <s v="INCLUSAO  ANOT.INADIMPLENCIA"/>
    <d v="2024-10-08T00:00:00"/>
    <x v="9"/>
    <x v="2"/>
    <x v="9"/>
    <x v="17"/>
    <n v="0"/>
    <n v="1"/>
  </r>
  <r>
    <s v="036.775.092/0001-29"/>
    <x v="82"/>
    <s v="INCLUSAO  ANOT.INADIMPLENCIA"/>
    <d v="2024-10-09T00:00:00"/>
    <x v="0"/>
    <x v="2"/>
    <x v="0"/>
    <x v="82"/>
    <n v="0"/>
    <n v="1"/>
  </r>
  <r>
    <s v="020.066.300/0001-80"/>
    <x v="2"/>
    <s v="INCL/EXCL ANOT.INADIMPLENCIA"/>
    <d v="2024-10-09T00:00:00"/>
    <x v="1"/>
    <x v="2"/>
    <x v="1"/>
    <x v="2"/>
    <n v="0"/>
    <n v="0"/>
  </r>
  <r>
    <s v="007.102.721/0001-51"/>
    <x v="44"/>
    <s v="EXCLUSAO  ANOT.INADIMPLENCIA"/>
    <d v="2024-10-09T00:00:00"/>
    <x v="15"/>
    <x v="2"/>
    <x v="15"/>
    <x v="44"/>
    <n v="1"/>
    <n v="0"/>
  </r>
  <r>
    <s v="019.450.138/0001-10"/>
    <x v="71"/>
    <s v="INCLUSAO  ANOT.INADIMPLENCIA"/>
    <d v="2024-10-09T00:00:00"/>
    <x v="22"/>
    <x v="2"/>
    <x v="22"/>
    <x v="71"/>
    <n v="0"/>
    <n v="1"/>
  </r>
  <r>
    <s v="014.763.606/0001-93"/>
    <x v="10"/>
    <s v="INCLUSAO  ANOT.INADIMPLENCIA"/>
    <d v="2024-10-09T00:00:00"/>
    <x v="6"/>
    <x v="2"/>
    <x v="6"/>
    <x v="10"/>
    <n v="0"/>
    <n v="1"/>
  </r>
  <r>
    <s v="093.274.124/0001-46"/>
    <x v="83"/>
    <s v="EXCLUSAO  ANOT.INADIMPLENCIA"/>
    <d v="2024-10-09T00:00:00"/>
    <x v="6"/>
    <x v="2"/>
    <x v="6"/>
    <x v="83"/>
    <n v="1"/>
    <n v="0"/>
  </r>
  <r>
    <s v="013.746.252/0001-06"/>
    <x v="15"/>
    <s v="INCLUSAO  ANOT.INADIMPLENCIA"/>
    <d v="2024-10-09T00:00:00"/>
    <x v="7"/>
    <x v="2"/>
    <x v="7"/>
    <x v="15"/>
    <n v="0"/>
    <n v="1"/>
  </r>
  <r>
    <s v="037.054.821/0001-10"/>
    <x v="84"/>
    <s v="INCLUSAO  ANOT.INADIMPLENCIA"/>
    <d v="2024-10-09T00:00:00"/>
    <x v="11"/>
    <x v="2"/>
    <x v="11"/>
    <x v="84"/>
    <n v="0"/>
    <n v="1"/>
  </r>
  <r>
    <s v="023.605.544/0001-82"/>
    <x v="21"/>
    <s v="INCLUSAO  ANOT.INADIMPLENCIA"/>
    <d v="2024-10-09T00:00:00"/>
    <x v="11"/>
    <x v="2"/>
    <x v="11"/>
    <x v="21"/>
    <n v="0"/>
    <n v="1"/>
  </r>
  <r>
    <s v="000.810.852/0001-44"/>
    <x v="85"/>
    <s v="INCLUSAO  ANOT.INADIMPLENCIA"/>
    <d v="2024-10-09T00:00:00"/>
    <x v="8"/>
    <x v="2"/>
    <x v="8"/>
    <x v="85"/>
    <n v="0"/>
    <n v="1"/>
  </r>
  <r>
    <s v="071.350.797/0001-03"/>
    <x v="48"/>
    <s v="INCLUSAO  ANOT.INADIMPLENCIA"/>
    <d v="2024-10-09T00:00:00"/>
    <x v="16"/>
    <x v="2"/>
    <x v="16"/>
    <x v="48"/>
    <n v="0"/>
    <n v="1"/>
  </r>
  <r>
    <s v="036.775.092/0001-29"/>
    <x v="82"/>
    <s v="EXCLUSAO  ANOT.INADIMPLENCIA"/>
    <d v="2024-10-10T00:00:00"/>
    <x v="0"/>
    <x v="2"/>
    <x v="0"/>
    <x v="82"/>
    <n v="1"/>
    <n v="0"/>
  </r>
  <r>
    <s v="020.066.300/0001-80"/>
    <x v="2"/>
    <s v="INCL/EXCL ANOT.INADIMPLENCIA"/>
    <d v="2024-10-10T00:00:00"/>
    <x v="1"/>
    <x v="2"/>
    <x v="1"/>
    <x v="2"/>
    <n v="0"/>
    <n v="0"/>
  </r>
  <r>
    <s v="002.377.675/0001-80"/>
    <x v="86"/>
    <s v="INCLUSAO  ANOT.INADIMPLENCIA"/>
    <d v="2024-10-10T00:00:00"/>
    <x v="15"/>
    <x v="2"/>
    <x v="15"/>
    <x v="86"/>
    <n v="0"/>
    <n v="1"/>
  </r>
  <r>
    <s v="001.165.357/0001-92"/>
    <x v="87"/>
    <s v="INCLUSAO  ANOT.INADIMPLENCIA"/>
    <d v="2024-10-10T00:00:00"/>
    <x v="15"/>
    <x v="2"/>
    <x v="15"/>
    <x v="87"/>
    <n v="0"/>
    <n v="1"/>
  </r>
  <r>
    <s v="024.331.138/0001-31"/>
    <x v="88"/>
    <s v="INCLUSAO  ANOT.INADIMPLENCIA"/>
    <d v="2024-10-10T00:00:00"/>
    <x v="15"/>
    <x v="2"/>
    <x v="15"/>
    <x v="88"/>
    <n v="0"/>
    <n v="1"/>
  </r>
  <r>
    <s v="013.746.252/0001-06"/>
    <x v="15"/>
    <s v="EXCLUSAO  ANOT.INADIMPLENCIA"/>
    <d v="2024-10-10T00:00:00"/>
    <x v="7"/>
    <x v="2"/>
    <x v="7"/>
    <x v="15"/>
    <n v="1"/>
    <n v="0"/>
  </r>
  <r>
    <s v="021.473.575/0001-00"/>
    <x v="63"/>
    <s v="EXCLUSAO  ANOT.INADIMPLENCIA"/>
    <d v="2024-10-10T00:00:00"/>
    <x v="11"/>
    <x v="2"/>
    <x v="11"/>
    <x v="63"/>
    <n v="1"/>
    <n v="0"/>
  </r>
  <r>
    <s v="012.817.803/0001-12"/>
    <x v="81"/>
    <s v="EXCLUSAO  ANOT.INADIMPLENCIA"/>
    <d v="2024-10-10T00:00:00"/>
    <x v="23"/>
    <x v="2"/>
    <x v="23"/>
    <x v="81"/>
    <n v="1"/>
    <n v="0"/>
  </r>
  <r>
    <s v="001.113.219/0001-60"/>
    <x v="89"/>
    <s v="ALTERACAO QUADRO SOCIAL"/>
    <d v="2024-10-11T00:00:00"/>
    <x v="1"/>
    <x v="2"/>
    <x v="1"/>
    <x v="89"/>
    <n v="0"/>
    <n v="0"/>
  </r>
  <r>
    <s v="001.113.219/0001-60"/>
    <x v="89"/>
    <s v="INCLUSAO  ANOT.INADIMPLENCIA"/>
    <d v="2024-10-11T00:00:00"/>
    <x v="1"/>
    <x v="2"/>
    <x v="1"/>
    <x v="89"/>
    <n v="0"/>
    <n v="1"/>
  </r>
  <r>
    <s v="020.066.300/0001-80"/>
    <x v="2"/>
    <s v="INCLUSAO  ANOT.INADIMPLENCIA"/>
    <d v="2024-10-12T00:00:00"/>
    <x v="1"/>
    <x v="2"/>
    <x v="1"/>
    <x v="2"/>
    <n v="0"/>
    <n v="1"/>
  </r>
  <r>
    <s v="001.165.357/0001-92"/>
    <x v="87"/>
    <s v="EXCLUSAO  ANOT.INADIMPLENCIA"/>
    <d v="2024-10-12T00:00:00"/>
    <x v="15"/>
    <x v="2"/>
    <x v="15"/>
    <x v="87"/>
    <n v="1"/>
    <n v="0"/>
  </r>
  <r>
    <s v="007.561.436/0001-07"/>
    <x v="34"/>
    <s v="INCL/EXCL ANOT.INADIMPLENCIA"/>
    <d v="2024-10-12T00:00:00"/>
    <x v="15"/>
    <x v="2"/>
    <x v="15"/>
    <x v="34"/>
    <n v="0"/>
    <n v="0"/>
  </r>
  <r>
    <s v="019.709.129/0001-00"/>
    <x v="11"/>
    <s v="INCLUSAO  ANOT.INADIMPLENCIA"/>
    <d v="2024-10-12T00:00:00"/>
    <x v="6"/>
    <x v="2"/>
    <x v="6"/>
    <x v="11"/>
    <n v="0"/>
    <n v="1"/>
  </r>
  <r>
    <s v="093.274.124/0001-46"/>
    <x v="83"/>
    <s v="EXCLUSAO  ANOT.INADIMPLENCIA"/>
    <d v="2024-10-12T00:00:00"/>
    <x v="6"/>
    <x v="2"/>
    <x v="6"/>
    <x v="83"/>
    <n v="1"/>
    <n v="0"/>
  </r>
  <r>
    <s v="046.700.220/0001-29"/>
    <x v="46"/>
    <s v="INCLUSAO  ANOT.INADIMPLENCIA"/>
    <d v="2024-10-12T00:00:00"/>
    <x v="11"/>
    <x v="2"/>
    <x v="11"/>
    <x v="46"/>
    <n v="0"/>
    <n v="1"/>
  </r>
  <r>
    <s v="043.515.558/0001-12"/>
    <x v="22"/>
    <s v="EXCLUSAO  ANOT.INADIMPLENCIA"/>
    <d v="2024-10-12T00:00:00"/>
    <x v="12"/>
    <x v="2"/>
    <x v="12"/>
    <x v="22"/>
    <n v="1"/>
    <n v="0"/>
  </r>
  <r>
    <s v="022.982.925/0001-18"/>
    <x v="90"/>
    <s v="INCLUSAO  ANOT.INADIMPLENCIA"/>
    <d v="2024-10-15T00:00:00"/>
    <x v="0"/>
    <x v="2"/>
    <x v="0"/>
    <x v="90"/>
    <n v="0"/>
    <n v="1"/>
  </r>
  <r>
    <s v="021.734.108/0001-88"/>
    <x v="41"/>
    <s v="INCLUSAO  ANOT.INADIMPLENCIA"/>
    <d v="2024-10-15T00:00:00"/>
    <x v="13"/>
    <x v="2"/>
    <x v="13"/>
    <x v="41"/>
    <n v="0"/>
    <n v="1"/>
  </r>
  <r>
    <s v="020.066.300/0001-80"/>
    <x v="2"/>
    <s v="INCLUSAO  ANOT.INADIMPLENCIA"/>
    <d v="2024-10-15T00:00:00"/>
    <x v="1"/>
    <x v="2"/>
    <x v="1"/>
    <x v="2"/>
    <n v="0"/>
    <n v="1"/>
  </r>
  <r>
    <s v="003.590.360/0001-89"/>
    <x v="3"/>
    <s v="INCLUSAO  ANOT.INADIMPLENCIA"/>
    <d v="2024-10-15T00:00:00"/>
    <x v="1"/>
    <x v="2"/>
    <x v="1"/>
    <x v="3"/>
    <n v="0"/>
    <n v="1"/>
  </r>
  <r>
    <s v="005.363.690/0001-67"/>
    <x v="91"/>
    <s v="INCLUSAO  ANOT.INADIMPLENCIA"/>
    <d v="2024-10-15T00:00:00"/>
    <x v="15"/>
    <x v="2"/>
    <x v="15"/>
    <x v="91"/>
    <n v="0"/>
    <n v="1"/>
  </r>
  <r>
    <s v="007.102.721/0001-51"/>
    <x v="44"/>
    <s v="INCLUSAO  ANOT.INADIMPLENCIA"/>
    <d v="2024-10-15T00:00:00"/>
    <x v="15"/>
    <x v="2"/>
    <x v="15"/>
    <x v="44"/>
    <n v="0"/>
    <n v="1"/>
  </r>
  <r>
    <s v="007.561.436/0001-07"/>
    <x v="34"/>
    <s v="EXCLUSAO  ANOT.INADIMPLENCIA"/>
    <d v="2024-10-15T00:00:00"/>
    <x v="15"/>
    <x v="2"/>
    <x v="15"/>
    <x v="34"/>
    <n v="1"/>
    <n v="0"/>
  </r>
  <r>
    <s v="008.712.271/0001-81"/>
    <x v="5"/>
    <s v="INCLUSAO  ANOT.INADIMPLENCIA"/>
    <d v="2024-10-15T00:00:00"/>
    <x v="2"/>
    <x v="2"/>
    <x v="2"/>
    <x v="5"/>
    <n v="0"/>
    <n v="1"/>
  </r>
  <r>
    <s v="014.763.606/0001-93"/>
    <x v="10"/>
    <s v="INCLUSAO  ANOT.INADIMPLENCIA"/>
    <d v="2024-10-15T00:00:00"/>
    <x v="6"/>
    <x v="2"/>
    <x v="6"/>
    <x v="10"/>
    <n v="0"/>
    <n v="1"/>
  </r>
  <r>
    <s v="019.709.129/0001-00"/>
    <x v="11"/>
    <s v="INCLUSAO  ANOT.INADIMPLENCIA"/>
    <d v="2024-10-15T00:00:00"/>
    <x v="6"/>
    <x v="2"/>
    <x v="6"/>
    <x v="11"/>
    <n v="0"/>
    <n v="1"/>
  </r>
  <r>
    <s v="012.299.369/0001-26"/>
    <x v="13"/>
    <s v="INCLUSAO  ANOT.INADIMPLENCIA"/>
    <d v="2024-10-15T00:00:00"/>
    <x v="7"/>
    <x v="2"/>
    <x v="7"/>
    <x v="13"/>
    <n v="0"/>
    <n v="1"/>
  </r>
  <r>
    <s v="017.274.123/0001-13"/>
    <x v="59"/>
    <s v="INCLUSAO  ANOT.INADIMPLENCIA"/>
    <d v="2024-10-15T00:00:00"/>
    <x v="7"/>
    <x v="2"/>
    <x v="7"/>
    <x v="59"/>
    <n v="0"/>
    <n v="1"/>
  </r>
  <r>
    <s v="013.746.252/0001-06"/>
    <x v="15"/>
    <s v="INCLUSAO  ANOT.INADIMPLENCIA"/>
    <d v="2024-10-15T00:00:00"/>
    <x v="7"/>
    <x v="2"/>
    <x v="7"/>
    <x v="15"/>
    <n v="0"/>
    <n v="1"/>
  </r>
  <r>
    <s v="046.700.220/0001-29"/>
    <x v="46"/>
    <s v="INCLUSAO  ANOT.INADIMPLENCIA"/>
    <d v="2024-10-15T00:00:00"/>
    <x v="11"/>
    <x v="2"/>
    <x v="11"/>
    <x v="46"/>
    <n v="0"/>
    <n v="1"/>
  </r>
  <r>
    <s v="071.350.797/0001-03"/>
    <x v="48"/>
    <s v="EXCLUSAO  ANOT.INADIMPLENCIA"/>
    <d v="2024-10-15T00:00:00"/>
    <x v="16"/>
    <x v="2"/>
    <x v="16"/>
    <x v="48"/>
    <n v="1"/>
    <n v="0"/>
  </r>
  <r>
    <s v="038.634.242/0001-00"/>
    <x v="92"/>
    <s v="INCLUSAO  ANOT.INADIMPLENCIA"/>
    <d v="2024-10-15T00:00:00"/>
    <x v="16"/>
    <x v="2"/>
    <x v="16"/>
    <x v="92"/>
    <n v="0"/>
    <n v="1"/>
  </r>
  <r>
    <s v="016.772.642/0001-49"/>
    <x v="70"/>
    <s v="INCLUSAO  ANOT.INADIMPLENCIA"/>
    <d v="2024-10-16T00:00:00"/>
    <x v="0"/>
    <x v="3"/>
    <x v="0"/>
    <x v="70"/>
    <n v="0"/>
    <n v="1"/>
  </r>
  <r>
    <s v="020.066.300/0001-80"/>
    <x v="2"/>
    <s v="INCL/EXCL ANOT.INADIMPLENCIA"/>
    <d v="2024-10-16T00:00:00"/>
    <x v="1"/>
    <x v="3"/>
    <x v="1"/>
    <x v="2"/>
    <n v="0"/>
    <n v="0"/>
  </r>
  <r>
    <s v="012.520.791/0001-60"/>
    <x v="4"/>
    <s v="INCLUSAO  ANOT.INADIMPLENCIA"/>
    <d v="2024-10-16T00:00:00"/>
    <x v="1"/>
    <x v="3"/>
    <x v="1"/>
    <x v="4"/>
    <n v="0"/>
    <n v="1"/>
  </r>
  <r>
    <s v="007.561.436/0001-07"/>
    <x v="34"/>
    <s v="EXCLUSAO  ANOT.INADIMPLENCIA"/>
    <d v="2024-10-16T00:00:00"/>
    <x v="15"/>
    <x v="3"/>
    <x v="15"/>
    <x v="34"/>
    <n v="1"/>
    <n v="0"/>
  </r>
  <r>
    <s v="014.763.606/0001-93"/>
    <x v="10"/>
    <s v="INCLUSAO  ANOT.INADIMPLENCIA"/>
    <d v="2024-10-16T00:00:00"/>
    <x v="6"/>
    <x v="3"/>
    <x v="6"/>
    <x v="10"/>
    <n v="0"/>
    <n v="1"/>
  </r>
  <r>
    <s v="019.709.129/0001-00"/>
    <x v="11"/>
    <s v="EXCLUSAO  ANOT.INADIMPLENCIA"/>
    <d v="2024-10-16T00:00:00"/>
    <x v="6"/>
    <x v="3"/>
    <x v="6"/>
    <x v="11"/>
    <n v="1"/>
    <n v="0"/>
  </r>
  <r>
    <s v="093.274.124/0001-46"/>
    <x v="83"/>
    <s v="EXCLUSAO  ANOT.INADIMPLENCIA"/>
    <d v="2024-10-16T00:00:00"/>
    <x v="6"/>
    <x v="3"/>
    <x v="6"/>
    <x v="83"/>
    <n v="1"/>
    <n v="0"/>
  </r>
  <r>
    <s v="016.956.677/0001-38"/>
    <x v="93"/>
    <s v="ALTERACAO QUADRO SOCIAL"/>
    <d v="2024-10-16T00:00:00"/>
    <x v="7"/>
    <x v="3"/>
    <x v="7"/>
    <x v="93"/>
    <n v="0"/>
    <n v="0"/>
  </r>
  <r>
    <s v="013.746.252/0001-06"/>
    <x v="15"/>
    <s v="INCLUSAO  ANOT.INADIMPLENCIA"/>
    <d v="2024-10-16T00:00:00"/>
    <x v="7"/>
    <x v="3"/>
    <x v="7"/>
    <x v="15"/>
    <n v="0"/>
    <n v="1"/>
  </r>
  <r>
    <s v="046.700.220/0001-29"/>
    <x v="46"/>
    <s v="INCLUSAO  ANOT.INADIMPLENCIA"/>
    <d v="2024-10-16T00:00:00"/>
    <x v="11"/>
    <x v="3"/>
    <x v="11"/>
    <x v="46"/>
    <n v="0"/>
    <n v="1"/>
  </r>
  <r>
    <s v="000.810.852/0001-44"/>
    <x v="85"/>
    <s v="INCLUSAO  ANOT.INADIMPLENCIA"/>
    <d v="2024-10-16T00:00:00"/>
    <x v="8"/>
    <x v="3"/>
    <x v="8"/>
    <x v="85"/>
    <n v="0"/>
    <n v="1"/>
  </r>
  <r>
    <s v="004.041.192/0001-35"/>
    <x v="37"/>
    <s v="INCLUSAO  ANOT.INADIMPLENCIA"/>
    <d v="2024-10-17T00:00:00"/>
    <x v="0"/>
    <x v="3"/>
    <x v="0"/>
    <x v="37"/>
    <n v="0"/>
    <n v="1"/>
  </r>
  <r>
    <s v="020.066.300/0001-80"/>
    <x v="2"/>
    <s v="INCL/EXCL ANOT.INADIMPLENCIA"/>
    <d v="2024-10-17T00:00:00"/>
    <x v="1"/>
    <x v="3"/>
    <x v="1"/>
    <x v="2"/>
    <n v="0"/>
    <n v="0"/>
  </r>
  <r>
    <s v="012.520.791/0001-60"/>
    <x v="4"/>
    <s v="INCLUSAO  ANOT.INADIMPLENCIA"/>
    <d v="2024-10-17T00:00:00"/>
    <x v="1"/>
    <x v="3"/>
    <x v="1"/>
    <x v="4"/>
    <n v="0"/>
    <n v="1"/>
  </r>
  <r>
    <s v="028.842.753/0001-63"/>
    <x v="50"/>
    <s v="INCLUSAO  ANOT.INADIMPLENCIA"/>
    <d v="2024-10-17T00:00:00"/>
    <x v="19"/>
    <x v="3"/>
    <x v="19"/>
    <x v="50"/>
    <n v="0"/>
    <n v="1"/>
  </r>
  <r>
    <s v="024.255.748/0001-01"/>
    <x v="30"/>
    <s v="INCLUSAO  ANOT.INADIMPLENCIA"/>
    <d v="2024-10-17T00:00:00"/>
    <x v="15"/>
    <x v="3"/>
    <x v="15"/>
    <x v="30"/>
    <n v="0"/>
    <n v="1"/>
  </r>
  <r>
    <s v="002.377.675/0001-80"/>
    <x v="86"/>
    <s v="EXCLUSAO  ANOT.INADIMPLENCIA"/>
    <d v="2024-10-17T00:00:00"/>
    <x v="15"/>
    <x v="3"/>
    <x v="15"/>
    <x v="86"/>
    <n v="1"/>
    <n v="0"/>
  </r>
  <r>
    <s v="007.561.436/0001-07"/>
    <x v="34"/>
    <s v="INCL/EXCL ANOT.INADIMPLENCIA"/>
    <d v="2024-10-17T00:00:00"/>
    <x v="15"/>
    <x v="3"/>
    <x v="15"/>
    <x v="34"/>
    <n v="0"/>
    <n v="0"/>
  </r>
  <r>
    <s v="002.246.382/0001-63"/>
    <x v="57"/>
    <s v="INCLUSAO  ANOT.INADIMPLENCIA"/>
    <d v="2024-10-17T00:00:00"/>
    <x v="4"/>
    <x v="3"/>
    <x v="4"/>
    <x v="57"/>
    <n v="0"/>
    <n v="1"/>
  </r>
  <r>
    <s v="000.803.044/0001-50"/>
    <x v="45"/>
    <s v="EXCLUSAO  ANOT.INADIMPLENCIA"/>
    <d v="2024-10-17T00:00:00"/>
    <x v="5"/>
    <x v="3"/>
    <x v="5"/>
    <x v="45"/>
    <n v="1"/>
    <n v="0"/>
  </r>
  <r>
    <s v="035.665.211/0001-28"/>
    <x v="94"/>
    <s v="INCLUSAO  ANOT.INADIMPLENCIA"/>
    <d v="2024-10-17T00:00:00"/>
    <x v="5"/>
    <x v="3"/>
    <x v="5"/>
    <x v="94"/>
    <n v="0"/>
    <n v="1"/>
  </r>
  <r>
    <s v="007.906.793/0001-51"/>
    <x v="95"/>
    <s v="INCLUSAO  ANOT.INADIMPLENCIA"/>
    <d v="2024-10-17T00:00:00"/>
    <x v="6"/>
    <x v="3"/>
    <x v="6"/>
    <x v="95"/>
    <n v="0"/>
    <n v="1"/>
  </r>
  <r>
    <s v="036.906.058/0001-46"/>
    <x v="76"/>
    <s v="EXCLUSAO  ANOT.INADIMPLENCIA"/>
    <d v="2024-10-17T00:00:00"/>
    <x v="6"/>
    <x v="3"/>
    <x v="6"/>
    <x v="76"/>
    <n v="1"/>
    <n v="0"/>
  </r>
  <r>
    <s v="013.746.252/0001-06"/>
    <x v="15"/>
    <s v="INCLUSAO  ANOT.INADIMPLENCIA"/>
    <d v="2024-10-17T00:00:00"/>
    <x v="7"/>
    <x v="3"/>
    <x v="7"/>
    <x v="15"/>
    <n v="0"/>
    <n v="1"/>
  </r>
  <r>
    <s v="038.110.780/0001-03"/>
    <x v="47"/>
    <s v="EXCLUSAO  ANOT.INADIMPLENCIA"/>
    <d v="2024-10-17T00:00:00"/>
    <x v="8"/>
    <x v="3"/>
    <x v="8"/>
    <x v="47"/>
    <n v="1"/>
    <n v="0"/>
  </r>
  <r>
    <s v="051.107.672/0001-31"/>
    <x v="32"/>
    <s v="INCLUSAO  ANOT.INADIMPLENCIA"/>
    <d v="2024-10-17T00:00:00"/>
    <x v="16"/>
    <x v="3"/>
    <x v="16"/>
    <x v="32"/>
    <n v="0"/>
    <n v="1"/>
  </r>
  <r>
    <s v="055.979.736/0001-45"/>
    <x v="64"/>
    <s v="EXCLUSAO  ANOT.INADIMPLENCIA"/>
    <d v="2024-10-17T00:00:00"/>
    <x v="20"/>
    <x v="3"/>
    <x v="20"/>
    <x v="64"/>
    <n v="1"/>
    <n v="0"/>
  </r>
  <r>
    <s v="038.945.487/0001-58"/>
    <x v="36"/>
    <s v="INCLUSAO  ANOT.INADIMPLENCIA"/>
    <d v="2024-10-18T00:00:00"/>
    <x v="0"/>
    <x v="3"/>
    <x v="0"/>
    <x v="36"/>
    <n v="0"/>
    <n v="1"/>
  </r>
  <r>
    <s v="007.786.648/0001-84"/>
    <x v="18"/>
    <s v="INCLUSAO  ANOT.INADIMPLENCIA"/>
    <d v="2024-10-18T00:00:00"/>
    <x v="0"/>
    <x v="3"/>
    <x v="0"/>
    <x v="18"/>
    <n v="0"/>
    <n v="1"/>
  </r>
  <r>
    <s v="036.775.092/0001-29"/>
    <x v="82"/>
    <s v="INCLUSAO  ANOT.INADIMPLENCIA"/>
    <d v="2024-10-18T00:00:00"/>
    <x v="0"/>
    <x v="3"/>
    <x v="0"/>
    <x v="82"/>
    <n v="0"/>
    <n v="1"/>
  </r>
  <r>
    <s v="020.066.300/0001-80"/>
    <x v="2"/>
    <s v="INCLUSAO  ANOT.INADIMPLENCIA"/>
    <d v="2024-10-18T00:00:00"/>
    <x v="1"/>
    <x v="3"/>
    <x v="1"/>
    <x v="2"/>
    <n v="0"/>
    <n v="1"/>
  </r>
  <r>
    <s v="003.590.360/0001-89"/>
    <x v="3"/>
    <s v="INCLUSAO  ANOT.INADIMPLENCIA"/>
    <d v="2024-10-18T00:00:00"/>
    <x v="1"/>
    <x v="3"/>
    <x v="1"/>
    <x v="3"/>
    <n v="0"/>
    <n v="1"/>
  </r>
  <r>
    <s v="029.030.307/0001-17"/>
    <x v="43"/>
    <s v="INCLUSAO  ANOT.INADIMPLENCIA"/>
    <d v="2024-10-18T00:00:00"/>
    <x v="1"/>
    <x v="3"/>
    <x v="1"/>
    <x v="43"/>
    <n v="0"/>
    <n v="1"/>
  </r>
  <r>
    <s v="016.757.535/0001-41"/>
    <x v="29"/>
    <s v="INCLUSAO  ANOT.INADIMPLENCIA"/>
    <d v="2024-10-18T00:00:00"/>
    <x v="14"/>
    <x v="3"/>
    <x v="14"/>
    <x v="29"/>
    <n v="0"/>
    <n v="1"/>
  </r>
  <r>
    <s v="028.842.753/0001-63"/>
    <x v="50"/>
    <s v="INCLUSAO  ANOT.INADIMPLENCIA"/>
    <d v="2024-10-18T00:00:00"/>
    <x v="19"/>
    <x v="3"/>
    <x v="19"/>
    <x v="50"/>
    <n v="0"/>
    <n v="1"/>
  </r>
  <r>
    <s v="002.246.382/0001-63"/>
    <x v="57"/>
    <s v="INCLUSAO  ANOT.INADIMPLENCIA"/>
    <d v="2024-10-18T00:00:00"/>
    <x v="4"/>
    <x v="3"/>
    <x v="4"/>
    <x v="57"/>
    <n v="0"/>
    <n v="1"/>
  </r>
  <r>
    <s v="035.665.211/0001-28"/>
    <x v="94"/>
    <s v="INCLUSAO  ANOT.INADIMPLENCIA"/>
    <d v="2024-10-18T00:00:00"/>
    <x v="5"/>
    <x v="3"/>
    <x v="5"/>
    <x v="94"/>
    <n v="0"/>
    <n v="1"/>
  </r>
  <r>
    <s v="041.768.583/0001-82"/>
    <x v="35"/>
    <s v="INCLUSAO  ANOT.INADIMPLENCIA"/>
    <d v="2024-10-18T00:00:00"/>
    <x v="18"/>
    <x v="3"/>
    <x v="18"/>
    <x v="35"/>
    <n v="0"/>
    <n v="1"/>
  </r>
  <r>
    <s v="014.763.606/0001-93"/>
    <x v="10"/>
    <s v="INCLUSAO  ANOT.INADIMPLENCIA"/>
    <d v="2024-10-18T00:00:00"/>
    <x v="6"/>
    <x v="3"/>
    <x v="6"/>
    <x v="10"/>
    <n v="0"/>
    <n v="1"/>
  </r>
  <r>
    <s v="093.274.124/0001-46"/>
    <x v="83"/>
    <s v="INCLUSAO  ANOT.INADIMPLENCIA"/>
    <d v="2024-10-18T00:00:00"/>
    <x v="6"/>
    <x v="3"/>
    <x v="6"/>
    <x v="83"/>
    <n v="0"/>
    <n v="1"/>
  </r>
  <r>
    <s v="012.299.369/0001-26"/>
    <x v="13"/>
    <s v="EXCLUSAO  ANOT.INADIMPLENCIA"/>
    <d v="2024-10-18T00:00:00"/>
    <x v="7"/>
    <x v="3"/>
    <x v="7"/>
    <x v="13"/>
    <n v="1"/>
    <n v="0"/>
  </r>
  <r>
    <s v="028.477.685/0001-80"/>
    <x v="96"/>
    <s v="EXCLUSAO  ANOT.INADIMPLENCIA"/>
    <d v="2024-10-18T00:00:00"/>
    <x v="7"/>
    <x v="3"/>
    <x v="7"/>
    <x v="96"/>
    <n v="1"/>
    <n v="0"/>
  </r>
  <r>
    <s v="013.746.252/0001-06"/>
    <x v="15"/>
    <s v="INCLUSAO  ANOT.INADIMPLENCIA"/>
    <d v="2024-10-18T00:00:00"/>
    <x v="7"/>
    <x v="3"/>
    <x v="7"/>
    <x v="15"/>
    <n v="0"/>
    <n v="1"/>
  </r>
  <r>
    <s v="023.605.544/0001-82"/>
    <x v="21"/>
    <s v="INCLUSAO  ANOT.INADIMPLENCIA"/>
    <d v="2024-10-18T00:00:00"/>
    <x v="11"/>
    <x v="3"/>
    <x v="11"/>
    <x v="21"/>
    <n v="0"/>
    <n v="1"/>
  </r>
  <r>
    <s v="038.110.780/0001-03"/>
    <x v="47"/>
    <s v="INCLUSAO  ANOT.INADIMPLENCIA"/>
    <d v="2024-10-18T00:00:00"/>
    <x v="8"/>
    <x v="3"/>
    <x v="8"/>
    <x v="47"/>
    <n v="0"/>
    <n v="1"/>
  </r>
  <r>
    <s v="038.634.242/0001-00"/>
    <x v="92"/>
    <s v="INCLUSAO  ANOT.INADIMPLENCIA"/>
    <d v="2024-10-18T00:00:00"/>
    <x v="16"/>
    <x v="3"/>
    <x v="16"/>
    <x v="92"/>
    <n v="0"/>
    <n v="1"/>
  </r>
  <r>
    <s v="005.881.441/0001-63"/>
    <x v="97"/>
    <s v="INCLUSAO  ANOT.INADIMPLENCIA"/>
    <d v="2024-10-18T00:00:00"/>
    <x v="9"/>
    <x v="3"/>
    <x v="9"/>
    <x v="97"/>
    <n v="0"/>
    <n v="1"/>
  </r>
  <r>
    <s v="010.497.973/0001-31"/>
    <x v="54"/>
    <s v="INCLUSAO  ANOT.INADIMPLENCIA"/>
    <d v="2024-10-21T00:00:00"/>
    <x v="0"/>
    <x v="3"/>
    <x v="0"/>
    <x v="54"/>
    <n v="0"/>
    <n v="1"/>
  </r>
  <r>
    <s v="020.628.376/0001-52"/>
    <x v="98"/>
    <s v="ALTERACAO RAZAO SOCIAL"/>
    <d v="2024-10-21T00:00:00"/>
    <x v="0"/>
    <x v="3"/>
    <x v="0"/>
    <x v="98"/>
    <n v="0"/>
    <n v="0"/>
  </r>
  <r>
    <s v="004.800.789/0001-16"/>
    <x v="25"/>
    <s v="EXCLUSAO  ANOT.INADIMPLENCIA"/>
    <d v="2024-10-21T00:00:00"/>
    <x v="13"/>
    <x v="3"/>
    <x v="13"/>
    <x v="25"/>
    <n v="1"/>
    <n v="0"/>
  </r>
  <r>
    <s v="020.066.300/0001-80"/>
    <x v="2"/>
    <s v="INCLUSAO  ANOT.INADIMPLENCIA"/>
    <d v="2024-10-21T00:00:00"/>
    <x v="1"/>
    <x v="3"/>
    <x v="1"/>
    <x v="2"/>
    <n v="0"/>
    <n v="1"/>
  </r>
  <r>
    <s v="016.757.535/0001-41"/>
    <x v="29"/>
    <s v="INCL/EXCL ANOT.INADIMPLENCIA"/>
    <d v="2024-10-21T00:00:00"/>
    <x v="14"/>
    <x v="3"/>
    <x v="14"/>
    <x v="29"/>
    <n v="0"/>
    <n v="0"/>
  </r>
  <r>
    <s v="028.842.753/0001-63"/>
    <x v="50"/>
    <s v="INCLUSAO  ANOT.INADIMPLENCIA"/>
    <d v="2024-10-21T00:00:00"/>
    <x v="19"/>
    <x v="3"/>
    <x v="19"/>
    <x v="50"/>
    <n v="0"/>
    <n v="1"/>
  </r>
  <r>
    <s v="015.414.962/0001-64"/>
    <x v="19"/>
    <s v="INCLUSAO  ANOT.INADIMPLENCIA"/>
    <d v="2024-10-21T00:00:00"/>
    <x v="10"/>
    <x v="3"/>
    <x v="10"/>
    <x v="19"/>
    <n v="0"/>
    <n v="1"/>
  </r>
  <r>
    <s v="015.414.962/0001-64"/>
    <x v="19"/>
    <s v="ALTERACAO QUADRO SOCIAL"/>
    <d v="2024-10-21T00:00:00"/>
    <x v="10"/>
    <x v="3"/>
    <x v="10"/>
    <x v="19"/>
    <n v="0"/>
    <n v="0"/>
  </r>
  <r>
    <s v="015.414.962/0001-64"/>
    <x v="19"/>
    <s v="INCLUSAO  ANOT.INADIMPLENCIA"/>
    <d v="2024-10-21T00:00:00"/>
    <x v="10"/>
    <x v="3"/>
    <x v="10"/>
    <x v="19"/>
    <n v="0"/>
    <n v="1"/>
  </r>
  <r>
    <s v="015.414.962/0001-64"/>
    <x v="19"/>
    <s v="INCLUSAO  ANOT.INADIMPLENCIA"/>
    <d v="2024-10-21T00:00:00"/>
    <x v="10"/>
    <x v="3"/>
    <x v="10"/>
    <x v="19"/>
    <n v="0"/>
    <n v="1"/>
  </r>
  <r>
    <s v="000.987.236/0001-63"/>
    <x v="99"/>
    <s v="INCLUSAO  ANOT.INADIMPLENCIA"/>
    <d v="2024-10-21T00:00:00"/>
    <x v="6"/>
    <x v="3"/>
    <x v="6"/>
    <x v="99"/>
    <n v="0"/>
    <n v="1"/>
  </r>
  <r>
    <s v="014.763.606/0001-93"/>
    <x v="10"/>
    <s v="INCLUSAO  ANOT.INADIMPLENCIA"/>
    <d v="2024-10-21T00:00:00"/>
    <x v="6"/>
    <x v="3"/>
    <x v="6"/>
    <x v="10"/>
    <n v="0"/>
    <n v="1"/>
  </r>
  <r>
    <s v="019.709.129/0001-00"/>
    <x v="11"/>
    <s v="INCLUSAO  ANOT.INADIMPLENCIA"/>
    <d v="2024-10-21T00:00:00"/>
    <x v="6"/>
    <x v="3"/>
    <x v="6"/>
    <x v="11"/>
    <n v="0"/>
    <n v="1"/>
  </r>
  <r>
    <s v="036.906.058/0001-46"/>
    <x v="76"/>
    <s v="INCLUSAO  ANOT.INADIMPLENCIA"/>
    <d v="2024-10-21T00:00:00"/>
    <x v="6"/>
    <x v="3"/>
    <x v="6"/>
    <x v="76"/>
    <n v="0"/>
    <n v="1"/>
  </r>
  <r>
    <s v="093.274.124/0001-46"/>
    <x v="83"/>
    <s v="EXCLUSAO  ANOT.INADIMPLENCIA"/>
    <d v="2024-10-21T00:00:00"/>
    <x v="6"/>
    <x v="3"/>
    <x v="6"/>
    <x v="83"/>
    <n v="1"/>
    <n v="0"/>
  </r>
  <r>
    <s v="029.470.692/0001-13"/>
    <x v="100"/>
    <s v="INCLUSAO  ANOT.INADIMPLENCIA"/>
    <d v="2024-10-21T00:00:00"/>
    <x v="7"/>
    <x v="3"/>
    <x v="7"/>
    <x v="100"/>
    <n v="0"/>
    <n v="1"/>
  </r>
  <r>
    <s v="013.746.252/0001-06"/>
    <x v="15"/>
    <s v="INCL/EXCL ANOT.INADIMPLENCIA"/>
    <d v="2024-10-21T00:00:00"/>
    <x v="7"/>
    <x v="3"/>
    <x v="7"/>
    <x v="15"/>
    <n v="0"/>
    <n v="0"/>
  </r>
  <r>
    <s v="026.438.913/0001-88"/>
    <x v="101"/>
    <s v="ALTERACAO RAZAO SOCIAL"/>
    <d v="2024-10-21T00:00:00"/>
    <x v="8"/>
    <x v="3"/>
    <x v="8"/>
    <x v="101"/>
    <n v="0"/>
    <n v="0"/>
  </r>
  <r>
    <s v="014.619.667/0001-81"/>
    <x v="102"/>
    <s v="ALTERACAO RAZAO SOCIAL"/>
    <d v="2024-10-21T00:00:00"/>
    <x v="20"/>
    <x v="3"/>
    <x v="20"/>
    <x v="102"/>
    <n v="0"/>
    <n v="0"/>
  </r>
  <r>
    <s v="014.619.667/0001-81"/>
    <x v="102"/>
    <s v="INCLUSAO  ANOT.INADIMPLENCIA"/>
    <d v="2024-10-21T00:00:00"/>
    <x v="20"/>
    <x v="3"/>
    <x v="20"/>
    <x v="102"/>
    <n v="0"/>
    <n v="1"/>
  </r>
  <r>
    <s v="005.881.441/0001-63"/>
    <x v="97"/>
    <s v="INCLUSAO  ANOT.INADIMPLENCIA"/>
    <d v="2024-10-21T00:00:00"/>
    <x v="9"/>
    <x v="3"/>
    <x v="9"/>
    <x v="97"/>
    <n v="0"/>
    <n v="1"/>
  </r>
  <r>
    <s v="023.909.177/0001-00"/>
    <x v="103"/>
    <s v="INCLUSAO  ANOT.INADIMPLENCIA"/>
    <d v="2024-10-21T00:00:00"/>
    <x v="9"/>
    <x v="3"/>
    <x v="9"/>
    <x v="103"/>
    <n v="0"/>
    <n v="1"/>
  </r>
  <r>
    <s v="033.803.691/0001-10"/>
    <x v="104"/>
    <s v="INCLUSAO  ANOT.INADIMPLENCIA"/>
    <d v="2024-10-22T00:00:00"/>
    <x v="0"/>
    <x v="3"/>
    <x v="0"/>
    <x v="104"/>
    <n v="0"/>
    <n v="1"/>
  </r>
  <r>
    <s v="021.734.108/0001-88"/>
    <x v="41"/>
    <s v="INCLUSAO  ANOT.INADIMPLENCIA"/>
    <d v="2024-10-22T00:00:00"/>
    <x v="13"/>
    <x v="3"/>
    <x v="13"/>
    <x v="41"/>
    <n v="0"/>
    <n v="1"/>
  </r>
  <r>
    <s v="020.066.300/0001-80"/>
    <x v="2"/>
    <s v="INCLUSAO  ANOT.INADIMPLENCIA"/>
    <d v="2024-10-22T00:00:00"/>
    <x v="1"/>
    <x v="3"/>
    <x v="1"/>
    <x v="2"/>
    <n v="0"/>
    <n v="1"/>
  </r>
  <r>
    <s v="007.102.721/0001-51"/>
    <x v="44"/>
    <s v="EXCLUSAO  ANOT.INADIMPLENCIA"/>
    <d v="2024-10-22T00:00:00"/>
    <x v="15"/>
    <x v="3"/>
    <x v="15"/>
    <x v="44"/>
    <n v="1"/>
    <n v="0"/>
  </r>
  <r>
    <s v="008.712.271/0001-81"/>
    <x v="5"/>
    <s v="INCLUSAO  ANOT.INADIMPLENCIA"/>
    <d v="2024-10-22T00:00:00"/>
    <x v="2"/>
    <x v="3"/>
    <x v="2"/>
    <x v="5"/>
    <n v="0"/>
    <n v="1"/>
  </r>
  <r>
    <s v="034.821.586/0001-77"/>
    <x v="38"/>
    <s v="INCLUSAO  ANOT.INADIMPLENCIA"/>
    <d v="2024-10-22T00:00:00"/>
    <x v="4"/>
    <x v="3"/>
    <x v="4"/>
    <x v="38"/>
    <n v="0"/>
    <n v="1"/>
  </r>
  <r>
    <s v="035.165.246/0001-06"/>
    <x v="105"/>
    <s v="INCLUSAO  ANOT.INADIMPLENCIA"/>
    <d v="2024-10-22T00:00:00"/>
    <x v="4"/>
    <x v="3"/>
    <x v="4"/>
    <x v="105"/>
    <n v="0"/>
    <n v="1"/>
  </r>
  <r>
    <s v="041.768.583/0001-82"/>
    <x v="35"/>
    <s v="EXCLUSAO  ANOT.INADIMPLENCIA"/>
    <d v="2024-10-22T00:00:00"/>
    <x v="18"/>
    <x v="3"/>
    <x v="18"/>
    <x v="35"/>
    <n v="1"/>
    <n v="0"/>
  </r>
  <r>
    <s v="000.987.236/0001-63"/>
    <x v="99"/>
    <s v="INCLUSAO  ANOT.INADIMPLENCIA"/>
    <d v="2024-10-22T00:00:00"/>
    <x v="6"/>
    <x v="3"/>
    <x v="6"/>
    <x v="99"/>
    <n v="0"/>
    <n v="1"/>
  </r>
  <r>
    <s v="007.906.793/0001-51"/>
    <x v="95"/>
    <s v="INCLUSAO  ANOT.INADIMPLENCIA"/>
    <d v="2024-10-22T00:00:00"/>
    <x v="6"/>
    <x v="3"/>
    <x v="6"/>
    <x v="95"/>
    <n v="0"/>
    <n v="1"/>
  </r>
  <r>
    <s v="014.763.606/0001-93"/>
    <x v="10"/>
    <s v="INCLUSAO  ANOT.INADIMPLENCIA"/>
    <d v="2024-10-22T00:00:00"/>
    <x v="6"/>
    <x v="3"/>
    <x v="6"/>
    <x v="10"/>
    <n v="0"/>
    <n v="1"/>
  </r>
  <r>
    <s v="019.709.129/0001-00"/>
    <x v="11"/>
    <s v="INCLUSAO  ANOT.INADIMPLENCIA"/>
    <d v="2024-10-22T00:00:00"/>
    <x v="6"/>
    <x v="3"/>
    <x v="6"/>
    <x v="11"/>
    <n v="0"/>
    <n v="1"/>
  </r>
  <r>
    <s v="093.274.124/0001-46"/>
    <x v="83"/>
    <s v="INCLUSAO  ANOT.INADIMPLENCIA"/>
    <d v="2024-10-22T00:00:00"/>
    <x v="6"/>
    <x v="3"/>
    <x v="6"/>
    <x v="83"/>
    <n v="0"/>
    <n v="1"/>
  </r>
  <r>
    <s v="016.956.677/0001-38"/>
    <x v="93"/>
    <s v="INCLUSAO  ANOT.INADIMPLENCIA"/>
    <d v="2024-10-22T00:00:00"/>
    <x v="7"/>
    <x v="3"/>
    <x v="7"/>
    <x v="93"/>
    <n v="0"/>
    <n v="1"/>
  </r>
  <r>
    <s v="023.605.544/0001-82"/>
    <x v="21"/>
    <s v="INCLUSAO  ANOT.INADIMPLENCIA"/>
    <d v="2024-10-22T00:00:00"/>
    <x v="11"/>
    <x v="3"/>
    <x v="11"/>
    <x v="21"/>
    <n v="0"/>
    <n v="1"/>
  </r>
  <r>
    <s v="046.700.220/0001-29"/>
    <x v="46"/>
    <s v="INCLUSAO  ANOT.INADIMPLENCIA"/>
    <d v="2024-10-22T00:00:00"/>
    <x v="11"/>
    <x v="3"/>
    <x v="11"/>
    <x v="46"/>
    <n v="0"/>
    <n v="1"/>
  </r>
  <r>
    <s v="002.534.653/0001-86"/>
    <x v="106"/>
    <s v="INCLUSAO  ANOT.INADIMPLENCIA"/>
    <d v="2024-10-22T00:00:00"/>
    <x v="16"/>
    <x v="3"/>
    <x v="16"/>
    <x v="106"/>
    <n v="0"/>
    <n v="1"/>
  </r>
  <r>
    <s v="036.775.092/0001-29"/>
    <x v="82"/>
    <s v="INCLUSAO  ANOT.INADIMPLENCIA"/>
    <d v="2024-10-23T00:00:00"/>
    <x v="0"/>
    <x v="3"/>
    <x v="0"/>
    <x v="82"/>
    <n v="0"/>
    <n v="1"/>
  </r>
  <r>
    <s v="020.066.300/0001-80"/>
    <x v="2"/>
    <s v="INCLUSAO  ANOT.INADIMPLENCIA"/>
    <d v="2024-10-23T00:00:00"/>
    <x v="1"/>
    <x v="3"/>
    <x v="1"/>
    <x v="2"/>
    <n v="0"/>
    <n v="1"/>
  </r>
  <r>
    <s v="029.030.307/0001-17"/>
    <x v="43"/>
    <s v="INCLUSAO  ANOT.INADIMPLENCIA"/>
    <d v="2024-10-23T00:00:00"/>
    <x v="1"/>
    <x v="3"/>
    <x v="1"/>
    <x v="43"/>
    <n v="0"/>
    <n v="1"/>
  </r>
  <r>
    <s v="012.520.791/0001-60"/>
    <x v="4"/>
    <s v="EXCLUSAO  ANOT.INADIMPLENCIA"/>
    <d v="2024-10-23T00:00:00"/>
    <x v="1"/>
    <x v="3"/>
    <x v="1"/>
    <x v="4"/>
    <n v="1"/>
    <n v="0"/>
  </r>
  <r>
    <s v="015.414.962/0001-64"/>
    <x v="19"/>
    <s v="INCL/EXCL ANOT.INADIMPLENCIA"/>
    <d v="2024-10-23T00:00:00"/>
    <x v="10"/>
    <x v="3"/>
    <x v="10"/>
    <x v="19"/>
    <n v="0"/>
    <n v="0"/>
  </r>
  <r>
    <s v="035.665.211/0001-28"/>
    <x v="94"/>
    <s v="INCLUSAO  ANOT.INADIMPLENCIA"/>
    <d v="2024-10-23T00:00:00"/>
    <x v="5"/>
    <x v="3"/>
    <x v="5"/>
    <x v="94"/>
    <n v="0"/>
    <n v="1"/>
  </r>
  <r>
    <s v="019.709.129/0001-00"/>
    <x v="11"/>
    <s v="INCLUSAO  ANOT.INADIMPLENCIA"/>
    <d v="2024-10-23T00:00:00"/>
    <x v="6"/>
    <x v="3"/>
    <x v="6"/>
    <x v="11"/>
    <n v="0"/>
    <n v="1"/>
  </r>
  <r>
    <s v="036.906.058/0001-46"/>
    <x v="76"/>
    <s v="INCLUSAO  ANOT.INADIMPLENCIA"/>
    <d v="2024-10-23T00:00:00"/>
    <x v="6"/>
    <x v="3"/>
    <x v="6"/>
    <x v="76"/>
    <n v="0"/>
    <n v="1"/>
  </r>
  <r>
    <s v="093.274.124/0001-46"/>
    <x v="83"/>
    <s v="EXCLUSAO  ANOT.INADIMPLENCIA"/>
    <d v="2024-10-23T00:00:00"/>
    <x v="6"/>
    <x v="3"/>
    <x v="6"/>
    <x v="83"/>
    <n v="1"/>
    <n v="0"/>
  </r>
  <r>
    <s v="012.299.369/0001-26"/>
    <x v="13"/>
    <s v="EXCLUSAO  ANOT.INADIMPLENCIA"/>
    <d v="2024-10-23T00:00:00"/>
    <x v="7"/>
    <x v="3"/>
    <x v="7"/>
    <x v="13"/>
    <n v="1"/>
    <n v="0"/>
  </r>
  <r>
    <s v="013.746.252/0001-06"/>
    <x v="15"/>
    <s v="INCL/EXCL ANOT.INADIMPLENCIA"/>
    <d v="2024-10-23T00:00:00"/>
    <x v="7"/>
    <x v="3"/>
    <x v="7"/>
    <x v="15"/>
    <n v="0"/>
    <n v="0"/>
  </r>
  <r>
    <s v="037.054.821/0001-10"/>
    <x v="84"/>
    <s v="EXCLUSAO  ANOT.INADIMPLENCIA"/>
    <d v="2024-10-23T00:00:00"/>
    <x v="11"/>
    <x v="3"/>
    <x v="11"/>
    <x v="84"/>
    <n v="1"/>
    <n v="0"/>
  </r>
  <r>
    <s v="046.700.220/0001-29"/>
    <x v="46"/>
    <s v="INCLUSAO  ANOT.INADIMPLENCIA"/>
    <d v="2024-10-23T00:00:00"/>
    <x v="11"/>
    <x v="3"/>
    <x v="11"/>
    <x v="46"/>
    <n v="0"/>
    <n v="1"/>
  </r>
  <r>
    <s v="020.066.300/0001-80"/>
    <x v="2"/>
    <s v="INCLUSAO  ANOT.INADIMPLENCIA"/>
    <d v="2024-10-24T00:00:00"/>
    <x v="1"/>
    <x v="3"/>
    <x v="1"/>
    <x v="2"/>
    <n v="0"/>
    <n v="1"/>
  </r>
  <r>
    <s v="025.236.865/0001-82"/>
    <x v="51"/>
    <s v="EXCLUSAO  ANOT.INADIMPLENCIA"/>
    <d v="2024-10-24T00:00:00"/>
    <x v="1"/>
    <x v="3"/>
    <x v="1"/>
    <x v="51"/>
    <n v="1"/>
    <n v="0"/>
  </r>
  <r>
    <s v="007.561.436/0001-07"/>
    <x v="34"/>
    <s v="INCLUSAO  ANOT.INADIMPLENCIA"/>
    <d v="2024-10-24T00:00:00"/>
    <x v="15"/>
    <x v="3"/>
    <x v="15"/>
    <x v="34"/>
    <n v="0"/>
    <n v="1"/>
  </r>
  <r>
    <s v="015.414.962/0001-64"/>
    <x v="19"/>
    <s v="INCL/EXCL ANOT.INADIMPLENCIA"/>
    <d v="2024-10-24T00:00:00"/>
    <x v="10"/>
    <x v="3"/>
    <x v="10"/>
    <x v="19"/>
    <n v="0"/>
    <n v="0"/>
  </r>
  <r>
    <s v="019.450.138/0001-10"/>
    <x v="71"/>
    <s v="EXCLUSAO  ANOT.INADIMPLENCIA"/>
    <d v="2024-10-24T00:00:00"/>
    <x v="22"/>
    <x v="3"/>
    <x v="22"/>
    <x v="71"/>
    <n v="1"/>
    <n v="0"/>
  </r>
  <r>
    <s v="025.825.654/0001-85"/>
    <x v="7"/>
    <s v="EXCLUSAO  ANOT.INADIMPLENCIA"/>
    <d v="2024-10-24T00:00:00"/>
    <x v="4"/>
    <x v="3"/>
    <x v="4"/>
    <x v="7"/>
    <n v="1"/>
    <n v="0"/>
  </r>
  <r>
    <s v="034.821.586/0001-77"/>
    <x v="38"/>
    <s v="INCLUSAO  ANOT.INADIMPLENCIA"/>
    <d v="2024-10-24T00:00:00"/>
    <x v="4"/>
    <x v="3"/>
    <x v="4"/>
    <x v="38"/>
    <n v="0"/>
    <n v="1"/>
  </r>
  <r>
    <s v="035.665.211/0001-28"/>
    <x v="94"/>
    <s v="INCLUSAO  ANOT.INADIMPLENCIA"/>
    <d v="2024-10-24T00:00:00"/>
    <x v="5"/>
    <x v="3"/>
    <x v="5"/>
    <x v="94"/>
    <n v="0"/>
    <n v="1"/>
  </r>
  <r>
    <s v="000.987.236/0001-63"/>
    <x v="99"/>
    <s v="INCLUSAO  ANOT.INADIMPLENCIA"/>
    <d v="2024-10-24T00:00:00"/>
    <x v="6"/>
    <x v="3"/>
    <x v="6"/>
    <x v="99"/>
    <n v="0"/>
    <n v="1"/>
  </r>
  <r>
    <s v="019.709.129/0001-00"/>
    <x v="11"/>
    <s v="INCLUSAO  ANOT.INADIMPLENCIA"/>
    <d v="2024-10-24T00:00:00"/>
    <x v="6"/>
    <x v="3"/>
    <x v="6"/>
    <x v="11"/>
    <n v="0"/>
    <n v="1"/>
  </r>
  <r>
    <s v="029.470.692/0001-13"/>
    <x v="100"/>
    <s v="EXCLUSAO  ANOT.INADIMPLENCIA"/>
    <d v="2024-10-24T00:00:00"/>
    <x v="7"/>
    <x v="3"/>
    <x v="7"/>
    <x v="100"/>
    <n v="1"/>
    <n v="0"/>
  </r>
  <r>
    <s v="023.605.544/0001-82"/>
    <x v="21"/>
    <s v="INCLUSAO  ANOT.INADIMPLENCIA"/>
    <d v="2024-10-24T00:00:00"/>
    <x v="11"/>
    <x v="3"/>
    <x v="11"/>
    <x v="21"/>
    <n v="0"/>
    <n v="1"/>
  </r>
  <r>
    <s v="011.122.552/0001-99"/>
    <x v="60"/>
    <s v="EXCLUSAO  ANOT.INADIMPLENCIA"/>
    <d v="2024-10-24T00:00:00"/>
    <x v="8"/>
    <x v="3"/>
    <x v="8"/>
    <x v="60"/>
    <n v="1"/>
    <n v="0"/>
  </r>
  <r>
    <s v="038.110.780/0001-03"/>
    <x v="47"/>
    <s v="EXCLUSAO  ANOT.INADIMPLENCIA"/>
    <d v="2024-10-24T00:00:00"/>
    <x v="8"/>
    <x v="3"/>
    <x v="8"/>
    <x v="47"/>
    <n v="1"/>
    <n v="0"/>
  </r>
  <r>
    <s v="002.534.653/0001-86"/>
    <x v="106"/>
    <s v="EXCLUSAO  ANOT.INADIMPLENCIA"/>
    <d v="2024-10-24T00:00:00"/>
    <x v="16"/>
    <x v="3"/>
    <x v="16"/>
    <x v="106"/>
    <n v="1"/>
    <n v="0"/>
  </r>
  <r>
    <s v="005.881.441/0001-63"/>
    <x v="97"/>
    <s v="INCLUSAO  ANOT.INADIMPLENCIA"/>
    <d v="2024-10-24T00:00:00"/>
    <x v="9"/>
    <x v="3"/>
    <x v="9"/>
    <x v="97"/>
    <n v="0"/>
    <n v="1"/>
  </r>
  <r>
    <s v="021.734.108/0001-88"/>
    <x v="41"/>
    <s v="EXCLUSAO  ANOT.INADIMPLENCIA"/>
    <d v="2024-10-25T00:00:00"/>
    <x v="13"/>
    <x v="3"/>
    <x v="13"/>
    <x v="41"/>
    <n v="1"/>
    <n v="0"/>
  </r>
  <r>
    <s v="020.066.300/0001-80"/>
    <x v="2"/>
    <s v="INCLUSAO  ANOT.INADIMPLENCIA"/>
    <d v="2024-10-25T00:00:00"/>
    <x v="1"/>
    <x v="3"/>
    <x v="1"/>
    <x v="2"/>
    <n v="0"/>
    <n v="1"/>
  </r>
  <r>
    <s v="029.030.307/0001-17"/>
    <x v="43"/>
    <s v="INCLUSAO  ANOT.INADIMPLENCIA"/>
    <d v="2024-10-25T00:00:00"/>
    <x v="1"/>
    <x v="3"/>
    <x v="1"/>
    <x v="43"/>
    <n v="0"/>
    <n v="1"/>
  </r>
  <r>
    <s v="016.757.535/0001-41"/>
    <x v="29"/>
    <s v="INCLUSAO  ANOT.INADIMPLENCIA"/>
    <d v="2024-10-25T00:00:00"/>
    <x v="14"/>
    <x v="3"/>
    <x v="14"/>
    <x v="29"/>
    <n v="0"/>
    <n v="1"/>
  </r>
  <r>
    <s v="008.712.271/0001-81"/>
    <x v="5"/>
    <s v="INCLUSAO  ANOT.INADIMPLENCIA"/>
    <d v="2024-10-25T00:00:00"/>
    <x v="2"/>
    <x v="3"/>
    <x v="2"/>
    <x v="5"/>
    <n v="0"/>
    <n v="1"/>
  </r>
  <r>
    <s v="002.246.382/0001-63"/>
    <x v="57"/>
    <s v="INCLUSAO  ANOT.INADIMPLENCIA"/>
    <d v="2024-10-25T00:00:00"/>
    <x v="4"/>
    <x v="3"/>
    <x v="4"/>
    <x v="57"/>
    <n v="0"/>
    <n v="1"/>
  </r>
  <r>
    <s v="035.665.211/0001-28"/>
    <x v="94"/>
    <s v="INCLUSAO  ANOT.INADIMPLENCIA"/>
    <d v="2024-10-25T00:00:00"/>
    <x v="5"/>
    <x v="3"/>
    <x v="5"/>
    <x v="94"/>
    <n v="0"/>
    <n v="1"/>
  </r>
  <r>
    <s v="014.763.606/0001-93"/>
    <x v="10"/>
    <s v="EXCLUSAO  ANOT.INADIMPLENCIA"/>
    <d v="2024-10-25T00:00:00"/>
    <x v="6"/>
    <x v="3"/>
    <x v="6"/>
    <x v="10"/>
    <n v="1"/>
    <n v="0"/>
  </r>
  <r>
    <s v="013.746.252/0001-06"/>
    <x v="15"/>
    <s v="INCLUSAO  ANOT.INADIMPLENCIA"/>
    <d v="2024-10-25T00:00:00"/>
    <x v="7"/>
    <x v="3"/>
    <x v="7"/>
    <x v="15"/>
    <n v="0"/>
    <n v="1"/>
  </r>
  <r>
    <s v="023.605.544/0001-82"/>
    <x v="21"/>
    <s v="INCLUSAO  ANOT.INADIMPLENCIA"/>
    <d v="2024-10-25T00:00:00"/>
    <x v="11"/>
    <x v="3"/>
    <x v="11"/>
    <x v="21"/>
    <n v="0"/>
    <n v="1"/>
  </r>
  <r>
    <s v="012.817.803/0001-12"/>
    <x v="81"/>
    <s v="INCLUSAO  ANOT.INADIMPLENCIA"/>
    <d v="2024-10-25T00:00:00"/>
    <x v="23"/>
    <x v="3"/>
    <x v="23"/>
    <x v="81"/>
    <n v="0"/>
    <n v="1"/>
  </r>
  <r>
    <s v="036.775.092/0001-29"/>
    <x v="82"/>
    <s v="EXCLUSAO  ANOT.INADIMPLENCIA"/>
    <d v="2024-10-26T00:00:00"/>
    <x v="0"/>
    <x v="3"/>
    <x v="0"/>
    <x v="82"/>
    <n v="1"/>
    <n v="0"/>
  </r>
  <r>
    <s v="020.066.300/0001-80"/>
    <x v="2"/>
    <s v="INCLUSAO  ANOT.INADIMPLENCIA"/>
    <d v="2024-10-26T00:00:00"/>
    <x v="1"/>
    <x v="3"/>
    <x v="1"/>
    <x v="2"/>
    <n v="0"/>
    <n v="1"/>
  </r>
  <r>
    <s v="003.590.360/0001-89"/>
    <x v="3"/>
    <s v="INCLUSAO  ANOT.INADIMPLENCIA"/>
    <d v="2024-10-26T00:00:00"/>
    <x v="1"/>
    <x v="3"/>
    <x v="1"/>
    <x v="3"/>
    <n v="0"/>
    <n v="1"/>
  </r>
  <r>
    <s v="007.561.436/0001-07"/>
    <x v="34"/>
    <s v="EXCLUSAO  ANOT.INADIMPLENCIA"/>
    <d v="2024-10-26T00:00:00"/>
    <x v="15"/>
    <x v="3"/>
    <x v="15"/>
    <x v="34"/>
    <n v="1"/>
    <n v="0"/>
  </r>
  <r>
    <s v="035.665.211/0001-28"/>
    <x v="94"/>
    <s v="INCLUSAO  ANOT.INADIMPLENCIA"/>
    <d v="2024-10-26T00:00:00"/>
    <x v="5"/>
    <x v="3"/>
    <x v="5"/>
    <x v="94"/>
    <n v="0"/>
    <n v="1"/>
  </r>
  <r>
    <s v="019.709.129/0001-00"/>
    <x v="11"/>
    <s v="INCLUSAO  ANOT.INADIMPLENCIA"/>
    <d v="2024-10-26T00:00:00"/>
    <x v="6"/>
    <x v="3"/>
    <x v="6"/>
    <x v="11"/>
    <n v="0"/>
    <n v="1"/>
  </r>
  <r>
    <s v="093.274.124/0001-46"/>
    <x v="83"/>
    <s v="EXCLUSAO  ANOT.INADIMPLENCIA"/>
    <d v="2024-10-26T00:00:00"/>
    <x v="6"/>
    <x v="3"/>
    <x v="6"/>
    <x v="83"/>
    <n v="1"/>
    <n v="0"/>
  </r>
  <r>
    <s v="013.746.252/0001-06"/>
    <x v="15"/>
    <s v="INCLUSAO  ANOT.INADIMPLENCIA"/>
    <d v="2024-10-26T00:00:00"/>
    <x v="7"/>
    <x v="3"/>
    <x v="7"/>
    <x v="15"/>
    <n v="0"/>
    <n v="1"/>
  </r>
  <r>
    <s v="043.515.558/0001-12"/>
    <x v="22"/>
    <s v="INCLUSAO  ANOT.INADIMPLENCIA"/>
    <d v="2024-10-26T00:00:00"/>
    <x v="12"/>
    <x v="3"/>
    <x v="12"/>
    <x v="22"/>
    <n v="0"/>
    <n v="1"/>
  </r>
  <r>
    <s v="016.772.642/0001-49"/>
    <x v="70"/>
    <s v="INCLUSAO  ANOT.INADIMPLENCIA"/>
    <d v="2024-10-29T00:00:00"/>
    <x v="0"/>
    <x v="3"/>
    <x v="0"/>
    <x v="70"/>
    <n v="0"/>
    <n v="1"/>
  </r>
  <r>
    <s v="033.803.691/0001-10"/>
    <x v="104"/>
    <s v="EXCLUSAO  ANOT.INADIMPLENCIA"/>
    <d v="2024-10-29T00:00:00"/>
    <x v="0"/>
    <x v="3"/>
    <x v="0"/>
    <x v="104"/>
    <n v="1"/>
    <n v="0"/>
  </r>
  <r>
    <s v="023.911.356/0001-82"/>
    <x v="55"/>
    <s v="INCLUSAO  ANOT.INADIMPLENCIA"/>
    <d v="2024-10-29T00:00:00"/>
    <x v="0"/>
    <x v="3"/>
    <x v="0"/>
    <x v="55"/>
    <n v="0"/>
    <n v="1"/>
  </r>
  <r>
    <s v="036.775.092/0001-29"/>
    <x v="82"/>
    <s v="INCLUSAO  ANOT.INADIMPLENCIA"/>
    <d v="2024-10-29T00:00:00"/>
    <x v="0"/>
    <x v="3"/>
    <x v="0"/>
    <x v="82"/>
    <n v="0"/>
    <n v="1"/>
  </r>
  <r>
    <s v="021.734.108/0001-88"/>
    <x v="41"/>
    <s v="INCL/EXCL ANOT.INADIMPLENCIA"/>
    <d v="2024-10-29T00:00:00"/>
    <x v="13"/>
    <x v="3"/>
    <x v="13"/>
    <x v="41"/>
    <n v="0"/>
    <n v="0"/>
  </r>
  <r>
    <s v="004.126.524/0001-84"/>
    <x v="49"/>
    <s v="EXCLUSAO  ANOT.INADIMPLENCIA"/>
    <d v="2024-10-29T00:00:00"/>
    <x v="13"/>
    <x v="3"/>
    <x v="13"/>
    <x v="49"/>
    <n v="1"/>
    <n v="0"/>
  </r>
  <r>
    <s v="006.107.454/0001-42"/>
    <x v="42"/>
    <s v="INCLUSAO  ANOT.INADIMPLENCIA"/>
    <d v="2024-10-29T00:00:00"/>
    <x v="13"/>
    <x v="3"/>
    <x v="13"/>
    <x v="42"/>
    <n v="0"/>
    <n v="1"/>
  </r>
  <r>
    <s v="020.066.300/0001-80"/>
    <x v="2"/>
    <s v="INCLUSAO  ANOT.INADIMPLENCIA"/>
    <d v="2024-10-29T00:00:00"/>
    <x v="1"/>
    <x v="3"/>
    <x v="1"/>
    <x v="2"/>
    <n v="0"/>
    <n v="1"/>
  </r>
  <r>
    <s v="003.590.360/0001-89"/>
    <x v="3"/>
    <s v="INCLUSAO  ANOT.INADIMPLENCIA"/>
    <d v="2024-10-29T00:00:00"/>
    <x v="1"/>
    <x v="3"/>
    <x v="1"/>
    <x v="3"/>
    <n v="0"/>
    <n v="1"/>
  </r>
  <r>
    <s v="015.414.962/0001-64"/>
    <x v="19"/>
    <s v="INCLUSAO  ANOT.INADIMPLENCIA"/>
    <d v="2024-10-29T00:00:00"/>
    <x v="10"/>
    <x v="3"/>
    <x v="10"/>
    <x v="19"/>
    <n v="0"/>
    <n v="1"/>
  </r>
  <r>
    <s v="019.450.138/0001-10"/>
    <x v="71"/>
    <s v="EXCLUSAO  ANOT.INADIMPLENCIA"/>
    <d v="2024-10-29T00:00:00"/>
    <x v="22"/>
    <x v="3"/>
    <x v="22"/>
    <x v="71"/>
    <n v="1"/>
    <n v="0"/>
  </r>
  <r>
    <s v="035.165.246/0001-06"/>
    <x v="105"/>
    <s v="INCLUSAO  ANOT.INADIMPLENCIA"/>
    <d v="2024-10-29T00:00:00"/>
    <x v="4"/>
    <x v="3"/>
    <x v="4"/>
    <x v="105"/>
    <n v="0"/>
    <n v="1"/>
  </r>
  <r>
    <s v="035.665.211/0001-28"/>
    <x v="94"/>
    <s v="INCLUSAO  ANOT.INADIMPLENCIA"/>
    <d v="2024-10-29T00:00:00"/>
    <x v="5"/>
    <x v="3"/>
    <x v="5"/>
    <x v="94"/>
    <n v="0"/>
    <n v="1"/>
  </r>
  <r>
    <s v="007.906.793/0001-51"/>
    <x v="95"/>
    <s v="INCLUSAO  ANOT.INADIMPLENCIA"/>
    <d v="2024-10-29T00:00:00"/>
    <x v="6"/>
    <x v="3"/>
    <x v="6"/>
    <x v="95"/>
    <n v="0"/>
    <n v="1"/>
  </r>
  <r>
    <s v="014.763.606/0001-93"/>
    <x v="10"/>
    <s v="INCL/EXCL ANOT.INADIMPLENCIA"/>
    <d v="2024-10-29T00:00:00"/>
    <x v="6"/>
    <x v="3"/>
    <x v="6"/>
    <x v="10"/>
    <n v="0"/>
    <n v="0"/>
  </r>
  <r>
    <s v="016.956.677/0001-38"/>
    <x v="93"/>
    <s v="INCLUSAO  ANOT.INADIMPLENCIA"/>
    <d v="2024-10-29T00:00:00"/>
    <x v="7"/>
    <x v="3"/>
    <x v="7"/>
    <x v="93"/>
    <n v="0"/>
    <n v="1"/>
  </r>
  <r>
    <s v="013.746.252/0001-06"/>
    <x v="15"/>
    <s v="INCL/EXCL ANOT.INADIMPLENCIA"/>
    <d v="2024-10-29T00:00:00"/>
    <x v="7"/>
    <x v="3"/>
    <x v="7"/>
    <x v="15"/>
    <n v="0"/>
    <n v="0"/>
  </r>
  <r>
    <s v="046.700.220/0001-29"/>
    <x v="46"/>
    <s v="INCLUSAO  ANOT.INADIMPLENCIA"/>
    <d v="2024-10-29T00:00:00"/>
    <x v="11"/>
    <x v="3"/>
    <x v="11"/>
    <x v="46"/>
    <n v="0"/>
    <n v="1"/>
  </r>
  <r>
    <s v="023.911.356/0001-82"/>
    <x v="55"/>
    <s v="INCLUSAO  ANOT.INADIMPLENCIA"/>
    <d v="2024-10-30T00:00:00"/>
    <x v="0"/>
    <x v="3"/>
    <x v="0"/>
    <x v="55"/>
    <n v="0"/>
    <n v="1"/>
  </r>
  <r>
    <s v="020.066.300/0001-80"/>
    <x v="2"/>
    <s v="INCLUSAO  ANOT.INADIMPLENCIA"/>
    <d v="2024-10-30T00:00:00"/>
    <x v="1"/>
    <x v="3"/>
    <x v="1"/>
    <x v="2"/>
    <n v="0"/>
    <n v="1"/>
  </r>
  <r>
    <s v="044.888.871/0001-69"/>
    <x v="107"/>
    <s v="ALTERACAO ENDERECO"/>
    <d v="2024-10-30T00:00:00"/>
    <x v="15"/>
    <x v="3"/>
    <x v="15"/>
    <x v="107"/>
    <n v="0"/>
    <n v="0"/>
  </r>
  <r>
    <s v="007.561.436/0001-07"/>
    <x v="34"/>
    <s v="EXCLUSAO  ANOT.INADIMPLENCIA"/>
    <d v="2024-10-30T00:00:00"/>
    <x v="15"/>
    <x v="3"/>
    <x v="15"/>
    <x v="34"/>
    <n v="1"/>
    <n v="0"/>
  </r>
  <r>
    <s v="015.414.962/0001-64"/>
    <x v="19"/>
    <s v="INCLUSAO  ANOT.INADIMPLENCIA"/>
    <d v="2024-10-30T00:00:00"/>
    <x v="10"/>
    <x v="3"/>
    <x v="10"/>
    <x v="19"/>
    <n v="0"/>
    <n v="1"/>
  </r>
  <r>
    <s v="035.165.246/0001-06"/>
    <x v="105"/>
    <s v="EXCLUSAO  ANOT.INADIMPLENCIA"/>
    <d v="2024-10-30T00:00:00"/>
    <x v="4"/>
    <x v="3"/>
    <x v="4"/>
    <x v="105"/>
    <n v="1"/>
    <n v="0"/>
  </r>
  <r>
    <s v="002.246.382/0001-63"/>
    <x v="57"/>
    <s v="ALTERACAO ENDERECO"/>
    <d v="2024-10-30T00:00:00"/>
    <x v="4"/>
    <x v="3"/>
    <x v="4"/>
    <x v="57"/>
    <n v="0"/>
    <n v="0"/>
  </r>
  <r>
    <s v="002.246.382/0001-63"/>
    <x v="57"/>
    <s v="INCLUSAO  ANOT.INADIMPLENCIA"/>
    <d v="2024-10-30T00:00:00"/>
    <x v="4"/>
    <x v="3"/>
    <x v="4"/>
    <x v="57"/>
    <n v="0"/>
    <n v="1"/>
  </r>
  <r>
    <s v="007.906.793/0001-51"/>
    <x v="95"/>
    <s v="INCLUSAO  ANOT.INADIMPLENCIA"/>
    <d v="2024-10-30T00:00:00"/>
    <x v="6"/>
    <x v="3"/>
    <x v="6"/>
    <x v="95"/>
    <n v="0"/>
    <n v="1"/>
  </r>
  <r>
    <s v="014.763.606/0001-93"/>
    <x v="10"/>
    <s v="INCLUSAO  ANOT.INADIMPLENCIA"/>
    <d v="2024-10-30T00:00:00"/>
    <x v="6"/>
    <x v="3"/>
    <x v="6"/>
    <x v="10"/>
    <n v="0"/>
    <n v="1"/>
  </r>
  <r>
    <s v="093.274.124/0001-46"/>
    <x v="83"/>
    <s v="EXCLUSAO  ANOT.INADIMPLENCIA"/>
    <d v="2024-10-30T00:00:00"/>
    <x v="6"/>
    <x v="3"/>
    <x v="6"/>
    <x v="83"/>
    <n v="1"/>
    <n v="0"/>
  </r>
  <r>
    <s v="017.274.123/0001-13"/>
    <x v="59"/>
    <s v="INCLUSAO  ANOT.INADIMPLENCIA"/>
    <d v="2024-10-30T00:00:00"/>
    <x v="7"/>
    <x v="3"/>
    <x v="7"/>
    <x v="59"/>
    <n v="0"/>
    <n v="1"/>
  </r>
  <r>
    <s v="013.746.252/0001-06"/>
    <x v="15"/>
    <s v="EXCLUSAO  ANOT.INADIMPLENCIA"/>
    <d v="2024-10-30T00:00:00"/>
    <x v="7"/>
    <x v="3"/>
    <x v="7"/>
    <x v="15"/>
    <n v="1"/>
    <n v="0"/>
  </r>
  <r>
    <s v="043.729.125/0001-60"/>
    <x v="79"/>
    <s v="ALTERACAO ENDERECO"/>
    <d v="2024-10-30T00:00:00"/>
    <x v="11"/>
    <x v="3"/>
    <x v="11"/>
    <x v="79"/>
    <n v="0"/>
    <n v="0"/>
  </r>
  <r>
    <s v="038.110.780/0001-03"/>
    <x v="47"/>
    <s v="ALTERACAO ENDERECO"/>
    <d v="2024-10-30T00:00:00"/>
    <x v="8"/>
    <x v="3"/>
    <x v="8"/>
    <x v="47"/>
    <n v="0"/>
    <n v="0"/>
  </r>
  <r>
    <s v="055.979.736/0001-45"/>
    <x v="64"/>
    <s v="EXCLUSAO  ANOT.INADIMPLENCIA"/>
    <d v="2024-10-30T00:00:00"/>
    <x v="20"/>
    <x v="3"/>
    <x v="20"/>
    <x v="64"/>
    <n v="1"/>
    <n v="0"/>
  </r>
  <r>
    <s v="043.515.558/0001-12"/>
    <x v="22"/>
    <s v="ALTERACAO QUADRO SOCIAL"/>
    <d v="2024-10-30T00:00:00"/>
    <x v="12"/>
    <x v="3"/>
    <x v="12"/>
    <x v="22"/>
    <n v="0"/>
    <n v="0"/>
  </r>
  <r>
    <s v="043.515.558/0001-12"/>
    <x v="22"/>
    <s v="ALTERACAO ADMINISTRADORES"/>
    <d v="2024-10-30T00:00:00"/>
    <x v="12"/>
    <x v="3"/>
    <x v="12"/>
    <x v="22"/>
    <n v="0"/>
    <n v="0"/>
  </r>
  <r>
    <s v="012.520.791/0001-60"/>
    <x v="4"/>
    <s v="INCLUSAO  ANOT.INADIMPLENCIA"/>
    <d v="2024-10-31T00:00:00"/>
    <x v="1"/>
    <x v="3"/>
    <x v="1"/>
    <x v="4"/>
    <n v="0"/>
    <n v="1"/>
  </r>
  <r>
    <s v="035.165.246/0001-06"/>
    <x v="105"/>
    <s v="EXCLUSAO  ANOT.INADIMPLENCIA"/>
    <d v="2024-10-31T00:00:00"/>
    <x v="4"/>
    <x v="3"/>
    <x v="4"/>
    <x v="105"/>
    <n v="1"/>
    <n v="0"/>
  </r>
  <r>
    <s v="002.246.382/0001-63"/>
    <x v="57"/>
    <s v="INCLUSAO  ANOT.INADIMPLENCIA"/>
    <d v="2024-10-31T00:00:00"/>
    <x v="4"/>
    <x v="3"/>
    <x v="4"/>
    <x v="57"/>
    <n v="0"/>
    <n v="1"/>
  </r>
  <r>
    <s v="000.803.044/0001-50"/>
    <x v="45"/>
    <s v="EXCLUSAO  ANOT.INADIMPLENCIA"/>
    <d v="2024-10-31T00:00:00"/>
    <x v="5"/>
    <x v="3"/>
    <x v="5"/>
    <x v="45"/>
    <n v="1"/>
    <n v="0"/>
  </r>
  <r>
    <s v="035.665.211/0001-28"/>
    <x v="94"/>
    <s v="INCLUSAO  ANOT.INADIMPLENCIA"/>
    <d v="2024-10-31T00:00:00"/>
    <x v="5"/>
    <x v="3"/>
    <x v="5"/>
    <x v="94"/>
    <n v="0"/>
    <n v="1"/>
  </r>
  <r>
    <s v="000.987.236/0001-63"/>
    <x v="99"/>
    <s v="INCLUSAO  ANOT.INADIMPLENCIA"/>
    <d v="2024-10-31T00:00:00"/>
    <x v="6"/>
    <x v="3"/>
    <x v="6"/>
    <x v="99"/>
    <n v="0"/>
    <n v="1"/>
  </r>
  <r>
    <s v="093.274.124/0001-46"/>
    <x v="83"/>
    <s v="INCLUSAO  ANOT.INADIMPLENCIA"/>
    <d v="2024-10-31T00:00:00"/>
    <x v="6"/>
    <x v="3"/>
    <x v="6"/>
    <x v="83"/>
    <n v="0"/>
    <n v="1"/>
  </r>
  <r>
    <s v="037.828.375/0001-54"/>
    <x v="39"/>
    <s v="EXCLUSAO  ANOT.INADIMPLENCIA"/>
    <d v="2024-10-31T00:00:00"/>
    <x v="7"/>
    <x v="3"/>
    <x v="7"/>
    <x v="39"/>
    <n v="1"/>
    <n v="0"/>
  </r>
  <r>
    <s v="017.274.123/0001-13"/>
    <x v="59"/>
    <s v="ALTERACAO QUADRO SOCIAL"/>
    <d v="2024-10-31T00:00:00"/>
    <x v="7"/>
    <x v="3"/>
    <x v="7"/>
    <x v="59"/>
    <n v="0"/>
    <n v="0"/>
  </r>
  <r>
    <s v="017.274.123/0001-13"/>
    <x v="59"/>
    <s v="ALTERACAO ADMINISTRADORES"/>
    <d v="2024-10-31T00:00:00"/>
    <x v="7"/>
    <x v="3"/>
    <x v="7"/>
    <x v="59"/>
    <n v="0"/>
    <n v="0"/>
  </r>
  <r>
    <s v="013.746.252/0001-06"/>
    <x v="15"/>
    <s v="INCLUSAO  ANOT.INADIMPLENCIA"/>
    <d v="2024-10-31T00:00:00"/>
    <x v="7"/>
    <x v="3"/>
    <x v="7"/>
    <x v="15"/>
    <n v="0"/>
    <n v="1"/>
  </r>
  <r>
    <s v="023.605.544/0001-82"/>
    <x v="21"/>
    <s v="INCLUSAO  ANOT.INADIMPLENCIA"/>
    <d v="2024-10-31T00:00:00"/>
    <x v="11"/>
    <x v="3"/>
    <x v="11"/>
    <x v="21"/>
    <n v="0"/>
    <n v="1"/>
  </r>
  <r>
    <s v="026.438.913/0001-88"/>
    <x v="101"/>
    <s v="ALTERACAO QUADRO SOCIAL"/>
    <d v="2024-10-31T00:00:00"/>
    <x v="8"/>
    <x v="3"/>
    <x v="8"/>
    <x v="101"/>
    <n v="0"/>
    <n v="0"/>
  </r>
  <r>
    <s v="016.772.642/0001-49"/>
    <x v="70"/>
    <s v="EXCLUSAO  ANOT.INADIMPLENCIA"/>
    <d v="2024-11-01T00:00:00"/>
    <x v="0"/>
    <x v="4"/>
    <x v="0"/>
    <x v="70"/>
    <n v="1"/>
    <n v="0"/>
  </r>
  <r>
    <s v="048.144.853/0001-23"/>
    <x v="53"/>
    <s v="EXCLUSAO  ANOT.INADIMPLENCIA"/>
    <d v="2024-11-01T00:00:00"/>
    <x v="0"/>
    <x v="4"/>
    <x v="0"/>
    <x v="53"/>
    <n v="1"/>
    <n v="0"/>
  </r>
  <r>
    <s v="003.590.360/0001-89"/>
    <x v="3"/>
    <s v="EXCLUSAO  ANOT.INADIMPLENCIA"/>
    <d v="2024-11-01T00:00:00"/>
    <x v="1"/>
    <x v="4"/>
    <x v="1"/>
    <x v="3"/>
    <n v="1"/>
    <n v="0"/>
  </r>
  <r>
    <s v="012.520.791/0001-60"/>
    <x v="4"/>
    <s v="INCLUSAO  ANOT.INADIMPLENCIA"/>
    <d v="2024-11-01T00:00:00"/>
    <x v="1"/>
    <x v="4"/>
    <x v="1"/>
    <x v="4"/>
    <n v="0"/>
    <n v="1"/>
  </r>
  <r>
    <s v="024.255.748/0001-01"/>
    <x v="30"/>
    <s v="EXCLUSAO  ANOT.INADIMPLENCIA"/>
    <d v="2024-11-01T00:00:00"/>
    <x v="15"/>
    <x v="4"/>
    <x v="15"/>
    <x v="30"/>
    <n v="1"/>
    <n v="0"/>
  </r>
  <r>
    <s v="035.665.211/0001-28"/>
    <x v="94"/>
    <s v="INCLUSAO  ANOT.INADIMPLENCIA"/>
    <d v="2024-11-01T00:00:00"/>
    <x v="5"/>
    <x v="4"/>
    <x v="5"/>
    <x v="94"/>
    <n v="0"/>
    <n v="1"/>
  </r>
  <r>
    <s v="014.763.606/0001-93"/>
    <x v="10"/>
    <s v="INCLUSAO  ANOT.INADIMPLENCIA"/>
    <d v="2024-11-01T00:00:00"/>
    <x v="6"/>
    <x v="4"/>
    <x v="6"/>
    <x v="10"/>
    <n v="0"/>
    <n v="1"/>
  </r>
  <r>
    <s v="019.709.129/0001-00"/>
    <x v="11"/>
    <s v="EXCLUSAO  ANOT.INADIMPLENCIA"/>
    <d v="2024-11-01T00:00:00"/>
    <x v="6"/>
    <x v="4"/>
    <x v="6"/>
    <x v="11"/>
    <n v="1"/>
    <n v="0"/>
  </r>
  <r>
    <s v="036.906.058/0001-46"/>
    <x v="76"/>
    <s v="INCLUSAO  ANOT.INADIMPLENCIA"/>
    <d v="2024-11-01T00:00:00"/>
    <x v="6"/>
    <x v="4"/>
    <x v="6"/>
    <x v="76"/>
    <n v="0"/>
    <n v="1"/>
  </r>
  <r>
    <s v="093.274.124/0001-46"/>
    <x v="83"/>
    <s v="INCLUSAO  ANOT.INADIMPLENCIA"/>
    <d v="2024-11-01T00:00:00"/>
    <x v="6"/>
    <x v="4"/>
    <x v="6"/>
    <x v="83"/>
    <n v="0"/>
    <n v="1"/>
  </r>
  <r>
    <s v="013.746.252/0001-06"/>
    <x v="15"/>
    <s v="INCLUSAO  ANOT.INADIMPLENCIA"/>
    <d v="2024-11-01T00:00:00"/>
    <x v="7"/>
    <x v="4"/>
    <x v="7"/>
    <x v="15"/>
    <n v="0"/>
    <n v="1"/>
  </r>
  <r>
    <s v="023.605.544/0001-82"/>
    <x v="21"/>
    <s v="EXCLUSAO  ANOT.INADIMPLENCIA"/>
    <d v="2024-11-01T00:00:00"/>
    <x v="11"/>
    <x v="4"/>
    <x v="11"/>
    <x v="21"/>
    <n v="1"/>
    <n v="0"/>
  </r>
  <r>
    <s v="071.350.797/0001-03"/>
    <x v="48"/>
    <s v="EXCLUSAO  ANOT.INADIMPLENCIA"/>
    <d v="2024-11-01T00:00:00"/>
    <x v="16"/>
    <x v="4"/>
    <x v="16"/>
    <x v="48"/>
    <n v="1"/>
    <n v="0"/>
  </r>
  <r>
    <s v="042.276.517/0001-58"/>
    <x v="108"/>
    <s v="INCLUSAO  ANOT.INADIMPLENCIA"/>
    <d v="2024-11-01T00:00:00"/>
    <x v="16"/>
    <x v="4"/>
    <x v="16"/>
    <x v="108"/>
    <n v="0"/>
    <n v="1"/>
  </r>
  <r>
    <s v="002.265.872/0001-07"/>
    <x v="109"/>
    <s v="ALTERACAO QUADRO SOCIAL"/>
    <d v="2024-11-01T00:00:00"/>
    <x v="20"/>
    <x v="4"/>
    <x v="20"/>
    <x v="109"/>
    <n v="0"/>
    <n v="0"/>
  </r>
  <r>
    <s v="002.265.872/0001-07"/>
    <x v="109"/>
    <s v="ALTERACAO ADMINISTRADORES"/>
    <d v="2024-11-01T00:00:00"/>
    <x v="20"/>
    <x v="4"/>
    <x v="20"/>
    <x v="109"/>
    <n v="0"/>
    <n v="0"/>
  </r>
  <r>
    <s v="020.066.300/0001-80"/>
    <x v="2"/>
    <s v="INCLUSAO  ANOT.INADIMPLENCIA"/>
    <d v="2024-11-02T00:00:00"/>
    <x v="1"/>
    <x v="4"/>
    <x v="1"/>
    <x v="2"/>
    <n v="0"/>
    <n v="1"/>
  </r>
  <r>
    <s v="016.757.535/0001-41"/>
    <x v="29"/>
    <s v="EXCLUSAO  ANOT.INADIMPLENCIA"/>
    <d v="2024-11-02T00:00:00"/>
    <x v="14"/>
    <x v="4"/>
    <x v="14"/>
    <x v="29"/>
    <n v="1"/>
    <n v="0"/>
  </r>
  <r>
    <s v="008.991.603/0001-04"/>
    <x v="58"/>
    <s v="INCLUSAO  ANOT.INADIMPLENCIA"/>
    <d v="2024-11-02T00:00:00"/>
    <x v="4"/>
    <x v="4"/>
    <x v="4"/>
    <x v="58"/>
    <n v="0"/>
    <n v="1"/>
  </r>
  <r>
    <s v="000.987.236/0001-63"/>
    <x v="99"/>
    <s v="INCLUSAO  ANOT.INADIMPLENCIA"/>
    <d v="2024-11-02T00:00:00"/>
    <x v="6"/>
    <x v="4"/>
    <x v="6"/>
    <x v="99"/>
    <n v="0"/>
    <n v="1"/>
  </r>
  <r>
    <s v="007.906.793/0001-51"/>
    <x v="95"/>
    <s v="INCLUSAO  ANOT.INADIMPLENCIA"/>
    <d v="2024-11-02T00:00:00"/>
    <x v="6"/>
    <x v="4"/>
    <x v="6"/>
    <x v="95"/>
    <n v="0"/>
    <n v="1"/>
  </r>
  <r>
    <s v="014.763.606/0001-93"/>
    <x v="10"/>
    <s v="INCL/EXCL ANOT.INADIMPLENCIA"/>
    <d v="2024-11-02T00:00:00"/>
    <x v="6"/>
    <x v="4"/>
    <x v="6"/>
    <x v="10"/>
    <n v="0"/>
    <n v="0"/>
  </r>
  <r>
    <s v="013.746.252/0001-06"/>
    <x v="15"/>
    <s v="INCL/EXCL ANOT.INADIMPLENCIA"/>
    <d v="2024-11-02T00:00:00"/>
    <x v="7"/>
    <x v="4"/>
    <x v="7"/>
    <x v="15"/>
    <n v="0"/>
    <n v="0"/>
  </r>
  <r>
    <s v="046.700.220/0001-29"/>
    <x v="46"/>
    <s v="INCLUSAO  ANOT.INADIMPLENCIA"/>
    <d v="2024-11-02T00:00:00"/>
    <x v="11"/>
    <x v="4"/>
    <x v="11"/>
    <x v="46"/>
    <n v="0"/>
    <n v="1"/>
  </r>
  <r>
    <s v="008.785.522/0001-58"/>
    <x v="17"/>
    <s v="INCL/EXCL ANOT.INADIMPLENCIA"/>
    <d v="2024-11-02T00:00:00"/>
    <x v="9"/>
    <x v="4"/>
    <x v="9"/>
    <x v="17"/>
    <n v="0"/>
    <n v="0"/>
  </r>
  <r>
    <s v="021.734.108/0001-88"/>
    <x v="41"/>
    <s v="INCLUSAO  ANOT.INADIMPLENCIA"/>
    <d v="2024-11-05T00:00:00"/>
    <x v="13"/>
    <x v="4"/>
    <x v="13"/>
    <x v="41"/>
    <n v="0"/>
    <n v="1"/>
  </r>
  <r>
    <s v="004.126.524/0001-84"/>
    <x v="49"/>
    <s v="EXCLUSAO  ANOT.INADIMPLENCIA"/>
    <d v="2024-11-05T00:00:00"/>
    <x v="13"/>
    <x v="4"/>
    <x v="13"/>
    <x v="49"/>
    <n v="1"/>
    <n v="0"/>
  </r>
  <r>
    <s v="020.066.300/0001-80"/>
    <x v="2"/>
    <s v="INCLUSAO  ANOT.INADIMPLENCIA"/>
    <d v="2024-11-05T00:00:00"/>
    <x v="1"/>
    <x v="4"/>
    <x v="1"/>
    <x v="2"/>
    <n v="0"/>
    <n v="1"/>
  </r>
  <r>
    <s v="035.165.246/0001-06"/>
    <x v="105"/>
    <s v="INCLUSAO  ANOT.INADIMPLENCIA"/>
    <d v="2024-11-05T00:00:00"/>
    <x v="4"/>
    <x v="4"/>
    <x v="4"/>
    <x v="105"/>
    <n v="0"/>
    <n v="1"/>
  </r>
  <r>
    <s v="007.906.793/0001-51"/>
    <x v="95"/>
    <s v="INCLUSAO  ANOT.INADIMPLENCIA"/>
    <d v="2024-11-05T00:00:00"/>
    <x v="6"/>
    <x v="4"/>
    <x v="6"/>
    <x v="95"/>
    <n v="0"/>
    <n v="1"/>
  </r>
  <r>
    <s v="014.763.606/0001-93"/>
    <x v="10"/>
    <s v="INCLUSAO  ANOT.INADIMPLENCIA"/>
    <d v="2024-11-05T00:00:00"/>
    <x v="6"/>
    <x v="4"/>
    <x v="6"/>
    <x v="10"/>
    <n v="0"/>
    <n v="1"/>
  </r>
  <r>
    <s v="093.274.124/0001-46"/>
    <x v="83"/>
    <s v="EXCLUSAO  ANOT.INADIMPLENCIA"/>
    <d v="2024-11-05T00:00:00"/>
    <x v="6"/>
    <x v="4"/>
    <x v="6"/>
    <x v="83"/>
    <n v="1"/>
    <n v="0"/>
  </r>
  <r>
    <s v="013.746.252/0001-06"/>
    <x v="15"/>
    <s v="INCLUSAO  ANOT.INADIMPLENCIA"/>
    <d v="2024-11-05T00:00:00"/>
    <x v="7"/>
    <x v="4"/>
    <x v="7"/>
    <x v="15"/>
    <n v="0"/>
    <n v="1"/>
  </r>
  <r>
    <s v="023.605.544/0001-82"/>
    <x v="21"/>
    <s v="INCLUSAO  ANOT.INADIMPLENCIA"/>
    <d v="2024-11-05T00:00:00"/>
    <x v="11"/>
    <x v="4"/>
    <x v="11"/>
    <x v="21"/>
    <n v="0"/>
    <n v="1"/>
  </r>
  <r>
    <s v="050.721.360/0001-50"/>
    <x v="110"/>
    <s v="INCLUSAO  ANOT.INADIMPLENCIA"/>
    <d v="2024-11-05T00:00:00"/>
    <x v="11"/>
    <x v="4"/>
    <x v="11"/>
    <x v="110"/>
    <n v="0"/>
    <n v="1"/>
  </r>
  <r>
    <s v="046.700.220/0001-29"/>
    <x v="46"/>
    <s v="INCLUSAO  ANOT.INADIMPLENCIA"/>
    <d v="2024-11-05T00:00:00"/>
    <x v="11"/>
    <x v="4"/>
    <x v="11"/>
    <x v="46"/>
    <n v="0"/>
    <n v="1"/>
  </r>
  <r>
    <s v="014.385.825/0001-86"/>
    <x v="111"/>
    <s v="INCLUSAO  ANOT.INADIMPLENCIA"/>
    <d v="2024-11-05T00:00:00"/>
    <x v="8"/>
    <x v="4"/>
    <x v="8"/>
    <x v="111"/>
    <n v="0"/>
    <n v="1"/>
  </r>
  <r>
    <s v="000.810.852/0001-44"/>
    <x v="85"/>
    <s v="EXCLUSAO  ANOT.INADIMPLENCIA"/>
    <d v="2024-11-05T00:00:00"/>
    <x v="8"/>
    <x v="4"/>
    <x v="8"/>
    <x v="85"/>
    <n v="1"/>
    <n v="0"/>
  </r>
  <r>
    <s v="038.110.780/0001-03"/>
    <x v="47"/>
    <s v="INCLUSAO  ANOT.INADIMPLENCIA"/>
    <d v="2024-11-05T00:00:00"/>
    <x v="8"/>
    <x v="4"/>
    <x v="8"/>
    <x v="47"/>
    <n v="0"/>
    <n v="1"/>
  </r>
  <r>
    <s v="020.066.300/0001-80"/>
    <x v="2"/>
    <s v="INCL/EXCL ANOT.INADIMPLENCIA"/>
    <d v="2024-11-06T00:00:00"/>
    <x v="1"/>
    <x v="4"/>
    <x v="1"/>
    <x v="2"/>
    <n v="0"/>
    <n v="0"/>
  </r>
  <r>
    <s v="007.561.436/0001-07"/>
    <x v="34"/>
    <s v="INCLUSAO  ANOT.INADIMPLENCIA"/>
    <d v="2024-11-06T00:00:00"/>
    <x v="15"/>
    <x v="4"/>
    <x v="15"/>
    <x v="34"/>
    <n v="0"/>
    <n v="1"/>
  </r>
  <r>
    <s v="035.165.246/0001-06"/>
    <x v="105"/>
    <s v="INCL/EXCL ANOT.INADIMPLENCIA"/>
    <d v="2024-11-06T00:00:00"/>
    <x v="4"/>
    <x v="4"/>
    <x v="4"/>
    <x v="105"/>
    <n v="0"/>
    <n v="0"/>
  </r>
  <r>
    <s v="014.763.606/0001-93"/>
    <x v="10"/>
    <s v="INCLUSAO  ANOT.INADIMPLENCIA"/>
    <d v="2024-11-06T00:00:00"/>
    <x v="6"/>
    <x v="4"/>
    <x v="6"/>
    <x v="10"/>
    <n v="0"/>
    <n v="1"/>
  </r>
  <r>
    <s v="093.274.124/0001-46"/>
    <x v="83"/>
    <s v="EXCLUSAO  ANOT.INADIMPLENCIA"/>
    <d v="2024-11-06T00:00:00"/>
    <x v="6"/>
    <x v="4"/>
    <x v="6"/>
    <x v="83"/>
    <n v="1"/>
    <n v="0"/>
  </r>
  <r>
    <s v="013.746.252/0001-06"/>
    <x v="15"/>
    <s v="INCLUSAO  ANOT.INADIMPLENCIA"/>
    <d v="2024-11-06T00:00:00"/>
    <x v="7"/>
    <x v="4"/>
    <x v="7"/>
    <x v="15"/>
    <n v="0"/>
    <n v="1"/>
  </r>
  <r>
    <s v="046.700.220/0001-29"/>
    <x v="46"/>
    <s v="INCLUSAO  ANOT.INADIMPLENCIA"/>
    <d v="2024-11-06T00:00:00"/>
    <x v="11"/>
    <x v="4"/>
    <x v="11"/>
    <x v="46"/>
    <n v="0"/>
    <n v="1"/>
  </r>
  <r>
    <s v="021.734.108/0001-88"/>
    <x v="41"/>
    <s v="EXCLUSAO  ANOT.INADIMPLENCIA"/>
    <d v="2024-11-07T00:00:00"/>
    <x v="13"/>
    <x v="4"/>
    <x v="13"/>
    <x v="41"/>
    <n v="1"/>
    <n v="0"/>
  </r>
  <r>
    <s v="020.066.300/0001-80"/>
    <x v="2"/>
    <s v="INCLUSAO  ANOT.INADIMPLENCIA"/>
    <d v="2024-11-07T00:00:00"/>
    <x v="1"/>
    <x v="4"/>
    <x v="1"/>
    <x v="2"/>
    <n v="0"/>
    <n v="1"/>
  </r>
  <r>
    <s v="012.520.791/0001-60"/>
    <x v="4"/>
    <s v="EXCLUSAO  ANOT.INADIMPLENCIA"/>
    <d v="2024-11-07T00:00:00"/>
    <x v="1"/>
    <x v="4"/>
    <x v="1"/>
    <x v="4"/>
    <n v="1"/>
    <n v="0"/>
  </r>
  <r>
    <s v="035.165.246/0001-06"/>
    <x v="105"/>
    <s v="INCLUSAO  ANOT.INADIMPLENCIA"/>
    <d v="2024-11-07T00:00:00"/>
    <x v="4"/>
    <x v="4"/>
    <x v="4"/>
    <x v="105"/>
    <n v="0"/>
    <n v="1"/>
  </r>
  <r>
    <s v="013.746.252/0001-06"/>
    <x v="15"/>
    <s v="INCL/EXCL ANOT.INADIMPLENCIA"/>
    <d v="2024-11-07T00:00:00"/>
    <x v="7"/>
    <x v="4"/>
    <x v="7"/>
    <x v="15"/>
    <n v="0"/>
    <n v="0"/>
  </r>
  <r>
    <s v="023.605.544/0001-82"/>
    <x v="21"/>
    <s v="INCLUSAO  ANOT.INADIMPLENCIA"/>
    <d v="2024-11-07T00:00:00"/>
    <x v="11"/>
    <x v="4"/>
    <x v="11"/>
    <x v="21"/>
    <n v="0"/>
    <n v="1"/>
  </r>
  <r>
    <s v="044.032.421/0001-70"/>
    <x v="112"/>
    <s v="ALTERACAO QUADRO SOCIAL"/>
    <d v="2024-11-08T00:00:00"/>
    <x v="0"/>
    <x v="4"/>
    <x v="0"/>
    <x v="112"/>
    <n v="0"/>
    <n v="0"/>
  </r>
  <r>
    <s v="044.032.421/0001-70"/>
    <x v="112"/>
    <s v="ALTERACAO ADMINISTRADORES"/>
    <d v="2024-11-08T00:00:00"/>
    <x v="0"/>
    <x v="4"/>
    <x v="0"/>
    <x v="112"/>
    <n v="0"/>
    <n v="0"/>
  </r>
  <r>
    <s v="021.734.108/0001-88"/>
    <x v="41"/>
    <s v="EXCLUSAO  ANOT.INADIMPLENCIA"/>
    <d v="2024-11-08T00:00:00"/>
    <x v="13"/>
    <x v="4"/>
    <x v="13"/>
    <x v="41"/>
    <n v="1"/>
    <n v="0"/>
  </r>
  <r>
    <s v="004.126.524/0001-84"/>
    <x v="49"/>
    <s v="EXCLUSAO  ANOT.INADIMPLENCIA"/>
    <d v="2024-11-08T00:00:00"/>
    <x v="13"/>
    <x v="4"/>
    <x v="13"/>
    <x v="49"/>
    <n v="1"/>
    <n v="0"/>
  </r>
  <r>
    <s v="020.066.300/0001-80"/>
    <x v="2"/>
    <s v="INCLUSAO  ANOT.INADIMPLENCIA"/>
    <d v="2024-11-08T00:00:00"/>
    <x v="1"/>
    <x v="4"/>
    <x v="1"/>
    <x v="2"/>
    <n v="0"/>
    <n v="1"/>
  </r>
  <r>
    <s v="012.520.791/0001-60"/>
    <x v="4"/>
    <s v="EXCLUSAO  ANOT.INADIMPLENCIA"/>
    <d v="2024-11-08T00:00:00"/>
    <x v="1"/>
    <x v="4"/>
    <x v="1"/>
    <x v="4"/>
    <n v="1"/>
    <n v="0"/>
  </r>
  <r>
    <s v="016.757.535/0001-41"/>
    <x v="29"/>
    <s v="EXCLUSAO  ANOT.INADIMPLENCIA"/>
    <d v="2024-11-08T00:00:00"/>
    <x v="14"/>
    <x v="4"/>
    <x v="14"/>
    <x v="29"/>
    <n v="1"/>
    <n v="0"/>
  </r>
  <r>
    <s v="035.165.246/0001-06"/>
    <x v="105"/>
    <s v="INCLUSAO  ANOT.INADIMPLENCIA"/>
    <d v="2024-11-08T00:00:00"/>
    <x v="4"/>
    <x v="4"/>
    <x v="4"/>
    <x v="105"/>
    <n v="0"/>
    <n v="1"/>
  </r>
  <r>
    <s v="014.763.606/0001-93"/>
    <x v="10"/>
    <s v="INCLUSAO  ANOT.INADIMPLENCIA"/>
    <d v="2024-11-08T00:00:00"/>
    <x v="6"/>
    <x v="4"/>
    <x v="6"/>
    <x v="10"/>
    <n v="0"/>
    <n v="1"/>
  </r>
  <r>
    <s v="016.956.677/0001-38"/>
    <x v="93"/>
    <s v="EXCLUSAO  ANOT.INADIMPLENCIA"/>
    <d v="2024-11-08T00:00:00"/>
    <x v="7"/>
    <x v="4"/>
    <x v="7"/>
    <x v="93"/>
    <n v="1"/>
    <n v="0"/>
  </r>
  <r>
    <s v="013.746.252/0001-06"/>
    <x v="15"/>
    <s v="INCLUSAO  ANOT.INADIMPLENCIA"/>
    <d v="2024-11-08T00:00:00"/>
    <x v="7"/>
    <x v="4"/>
    <x v="7"/>
    <x v="15"/>
    <n v="0"/>
    <n v="1"/>
  </r>
  <r>
    <s v="050.721.360/0001-50"/>
    <x v="110"/>
    <s v="EXCLUSAO  ANOT.INADIMPLENCIA"/>
    <d v="2024-11-08T00:00:00"/>
    <x v="11"/>
    <x v="4"/>
    <x v="11"/>
    <x v="110"/>
    <n v="1"/>
    <n v="0"/>
  </r>
  <r>
    <s v="043.515.558/0001-12"/>
    <x v="22"/>
    <s v="INCLUSAO  ANOT.INADIMPLENCIA"/>
    <d v="2024-11-08T00:00:00"/>
    <x v="12"/>
    <x v="4"/>
    <x v="12"/>
    <x v="22"/>
    <n v="0"/>
    <n v="1"/>
  </r>
  <r>
    <s v="020.066.300/0001-80"/>
    <x v="2"/>
    <s v="INCLUSAO  ANOT.INADIMPLENCIA"/>
    <d v="2024-11-09T00:00:00"/>
    <x v="1"/>
    <x v="4"/>
    <x v="1"/>
    <x v="2"/>
    <n v="0"/>
    <n v="1"/>
  </r>
  <r>
    <s v="012.520.791/0001-60"/>
    <x v="4"/>
    <s v="EXCLUSAO  ANOT.INADIMPLENCIA"/>
    <d v="2024-11-09T00:00:00"/>
    <x v="1"/>
    <x v="4"/>
    <x v="1"/>
    <x v="4"/>
    <n v="1"/>
    <n v="0"/>
  </r>
  <r>
    <s v="007.561.436/0001-07"/>
    <x v="34"/>
    <s v="INCLUSAO  ANOT.INADIMPLENCIA"/>
    <d v="2024-11-09T00:00:00"/>
    <x v="15"/>
    <x v="4"/>
    <x v="15"/>
    <x v="34"/>
    <n v="0"/>
    <n v="1"/>
  </r>
  <r>
    <s v="035.165.246/0001-06"/>
    <x v="105"/>
    <s v="INCLUSAO  ANOT.INADIMPLENCIA"/>
    <d v="2024-11-09T00:00:00"/>
    <x v="4"/>
    <x v="4"/>
    <x v="4"/>
    <x v="105"/>
    <n v="0"/>
    <n v="1"/>
  </r>
  <r>
    <s v="007.906.793/0001-51"/>
    <x v="95"/>
    <s v="INCLUSAO  ANOT.INADIMPLENCIA"/>
    <d v="2024-11-09T00:00:00"/>
    <x v="6"/>
    <x v="4"/>
    <x v="6"/>
    <x v="95"/>
    <n v="0"/>
    <n v="1"/>
  </r>
  <r>
    <s v="014.763.606/0001-93"/>
    <x v="10"/>
    <s v="INCLUSAO  ANOT.INADIMPLENCIA"/>
    <d v="2024-11-09T00:00:00"/>
    <x v="6"/>
    <x v="4"/>
    <x v="6"/>
    <x v="10"/>
    <n v="0"/>
    <n v="1"/>
  </r>
  <r>
    <s v="093.274.124/0001-46"/>
    <x v="83"/>
    <s v="EXCLUSAO  ANOT.INADIMPLENCIA"/>
    <d v="2024-11-09T00:00:00"/>
    <x v="6"/>
    <x v="4"/>
    <x v="6"/>
    <x v="83"/>
    <n v="1"/>
    <n v="0"/>
  </r>
  <r>
    <s v="013.746.252/0001-06"/>
    <x v="15"/>
    <s v="INCLUSAO  ANOT.INADIMPLENCIA"/>
    <d v="2024-11-09T00:00:00"/>
    <x v="7"/>
    <x v="4"/>
    <x v="7"/>
    <x v="15"/>
    <n v="0"/>
    <n v="1"/>
  </r>
  <r>
    <s v="046.700.220/0001-29"/>
    <x v="46"/>
    <s v="INCLUSAO  ANOT.INADIMPLENCIA"/>
    <d v="2024-11-09T00:00:00"/>
    <x v="11"/>
    <x v="4"/>
    <x v="11"/>
    <x v="46"/>
    <n v="0"/>
    <n v="1"/>
  </r>
  <r>
    <s v="071.350.797/0001-03"/>
    <x v="48"/>
    <s v="INCLUSAO  ANOT.INADIMPLENCIA"/>
    <d v="2024-11-09T00:00:00"/>
    <x v="16"/>
    <x v="4"/>
    <x v="16"/>
    <x v="48"/>
    <n v="0"/>
    <n v="1"/>
  </r>
  <r>
    <s v="002.534.653/0001-86"/>
    <x v="106"/>
    <s v="INCLUSAO  ANOT.INADIMPLENCIA"/>
    <d v="2024-11-09T00:00:00"/>
    <x v="16"/>
    <x v="4"/>
    <x v="16"/>
    <x v="106"/>
    <n v="0"/>
    <n v="1"/>
  </r>
  <r>
    <s v="023.911.356/0001-82"/>
    <x v="55"/>
    <s v="INCLUSAO  ANOT.INADIMPLENCIA"/>
    <d v="2024-11-12T00:00:00"/>
    <x v="0"/>
    <x v="4"/>
    <x v="0"/>
    <x v="55"/>
    <n v="0"/>
    <n v="1"/>
  </r>
  <r>
    <s v="020.066.300/0001-80"/>
    <x v="2"/>
    <s v="INCLUSAO  ANOT.INADIMPLENCIA"/>
    <d v="2024-11-12T00:00:00"/>
    <x v="1"/>
    <x v="4"/>
    <x v="1"/>
    <x v="2"/>
    <n v="0"/>
    <n v="1"/>
  </r>
  <r>
    <s v="007.561.436/0001-07"/>
    <x v="34"/>
    <s v="EXCLUSAO  ANOT.INADIMPLENCIA"/>
    <d v="2024-11-12T00:00:00"/>
    <x v="15"/>
    <x v="4"/>
    <x v="15"/>
    <x v="34"/>
    <n v="1"/>
    <n v="0"/>
  </r>
  <r>
    <s v="014.763.606/0001-93"/>
    <x v="10"/>
    <s v="INCL/EXCL ANOT.INADIMPLENCIA"/>
    <d v="2024-11-12T00:00:00"/>
    <x v="6"/>
    <x v="4"/>
    <x v="6"/>
    <x v="10"/>
    <n v="0"/>
    <n v="0"/>
  </r>
  <r>
    <s v="023.605.544/0001-82"/>
    <x v="21"/>
    <s v="EXCLUSAO  ANOT.INADIMPLENCIA"/>
    <d v="2024-11-12T00:00:00"/>
    <x v="11"/>
    <x v="4"/>
    <x v="11"/>
    <x v="21"/>
    <n v="1"/>
    <n v="0"/>
  </r>
  <r>
    <s v="046.700.220/0001-29"/>
    <x v="46"/>
    <s v="INCLUSAO  ANOT.INADIMPLENCIA"/>
    <d v="2024-11-12T00:00:00"/>
    <x v="11"/>
    <x v="4"/>
    <x v="11"/>
    <x v="46"/>
    <n v="0"/>
    <n v="1"/>
  </r>
  <r>
    <s v="071.350.797/0001-03"/>
    <x v="48"/>
    <s v="INCLUSAO  ANOT.INADIMPLENCIA"/>
    <d v="2024-11-12T00:00:00"/>
    <x v="16"/>
    <x v="4"/>
    <x v="16"/>
    <x v="48"/>
    <n v="0"/>
    <n v="1"/>
  </r>
  <r>
    <s v="042.276.517/0001-58"/>
    <x v="108"/>
    <s v="EXCLUSAO  ANOT.INADIMPLENCIA"/>
    <d v="2024-11-12T00:00:00"/>
    <x v="16"/>
    <x v="4"/>
    <x v="16"/>
    <x v="108"/>
    <n v="1"/>
    <n v="0"/>
  </r>
  <r>
    <s v="043.515.558/0001-12"/>
    <x v="22"/>
    <s v="INCLUSAO  ANOT.INADIMPLENCIA"/>
    <d v="2024-11-12T00:00:00"/>
    <x v="12"/>
    <x v="4"/>
    <x v="12"/>
    <x v="22"/>
    <n v="0"/>
    <n v="1"/>
  </r>
  <r>
    <s v="023.911.356/0001-82"/>
    <x v="55"/>
    <s v="EXCLUSAO  ANOT.INADIMPLENCIA"/>
    <d v="2024-11-13T00:00:00"/>
    <x v="0"/>
    <x v="4"/>
    <x v="0"/>
    <x v="55"/>
    <n v="1"/>
    <n v="0"/>
  </r>
  <r>
    <s v="021.734.108/0001-88"/>
    <x v="41"/>
    <s v="EXCLUSAO  ANOT.INADIMPLENCIA"/>
    <d v="2024-11-13T00:00:00"/>
    <x v="13"/>
    <x v="4"/>
    <x v="13"/>
    <x v="41"/>
    <n v="1"/>
    <n v="0"/>
  </r>
  <r>
    <s v="004.126.524/0001-84"/>
    <x v="49"/>
    <s v="EXCLUSAO  ANOT.INADIMPLENCIA"/>
    <d v="2024-11-13T00:00:00"/>
    <x v="13"/>
    <x v="4"/>
    <x v="13"/>
    <x v="49"/>
    <n v="1"/>
    <n v="0"/>
  </r>
  <r>
    <s v="020.066.300/0001-80"/>
    <x v="2"/>
    <s v="INCLUSAO  ANOT.INADIMPLENCIA"/>
    <d v="2024-11-13T00:00:00"/>
    <x v="1"/>
    <x v="4"/>
    <x v="1"/>
    <x v="2"/>
    <n v="0"/>
    <n v="1"/>
  </r>
  <r>
    <s v="016.757.535/0001-41"/>
    <x v="29"/>
    <s v="INCL/EXCL ANOT.INADIMPLENCIA"/>
    <d v="2024-11-13T00:00:00"/>
    <x v="14"/>
    <x v="4"/>
    <x v="14"/>
    <x v="29"/>
    <n v="0"/>
    <n v="0"/>
  </r>
  <r>
    <s v="002.377.675/0001-80"/>
    <x v="86"/>
    <s v="EXCLUSAO  ANOT.INADIMPLENCIA"/>
    <d v="2024-11-13T00:00:00"/>
    <x v="15"/>
    <x v="4"/>
    <x v="15"/>
    <x v="86"/>
    <n v="1"/>
    <n v="0"/>
  </r>
  <r>
    <s v="001.165.357/0001-92"/>
    <x v="87"/>
    <s v="EXCLUSAO  ANOT.INADIMPLENCIA"/>
    <d v="2024-11-13T00:00:00"/>
    <x v="15"/>
    <x v="4"/>
    <x v="15"/>
    <x v="87"/>
    <n v="1"/>
    <n v="0"/>
  </r>
  <r>
    <s v="024.331.138/0001-31"/>
    <x v="88"/>
    <s v="EXCLUSAO  ANOT.INADIMPLENCIA"/>
    <d v="2024-11-13T00:00:00"/>
    <x v="15"/>
    <x v="4"/>
    <x v="15"/>
    <x v="88"/>
    <n v="1"/>
    <n v="0"/>
  </r>
  <r>
    <s v="007.102.721/0001-51"/>
    <x v="44"/>
    <s v="INCLUSAO  ANOT.INADIMPLENCIA"/>
    <d v="2024-11-13T00:00:00"/>
    <x v="15"/>
    <x v="4"/>
    <x v="15"/>
    <x v="44"/>
    <n v="0"/>
    <n v="1"/>
  </r>
  <r>
    <s v="007.561.436/0001-07"/>
    <x v="34"/>
    <s v="INCLUSAO  ANOT.INADIMPLENCIA"/>
    <d v="2024-11-13T00:00:00"/>
    <x v="15"/>
    <x v="4"/>
    <x v="15"/>
    <x v="34"/>
    <n v="0"/>
    <n v="1"/>
  </r>
  <r>
    <s v="035.165.246/0001-06"/>
    <x v="105"/>
    <s v="INCLUSAO  ANOT.INADIMPLENCIA"/>
    <d v="2024-11-13T00:00:00"/>
    <x v="4"/>
    <x v="4"/>
    <x v="4"/>
    <x v="105"/>
    <n v="0"/>
    <n v="1"/>
  </r>
  <r>
    <s v="046.140.062/0001-08"/>
    <x v="69"/>
    <s v="INCLUSAO  ANOT.INADIMPLENCIA"/>
    <d v="2024-11-13T00:00:00"/>
    <x v="6"/>
    <x v="4"/>
    <x v="6"/>
    <x v="69"/>
    <n v="0"/>
    <n v="1"/>
  </r>
  <r>
    <s v="093.274.124/0001-46"/>
    <x v="83"/>
    <s v="EXCLUSAO  ANOT.INADIMPLENCIA"/>
    <d v="2024-11-13T00:00:00"/>
    <x v="6"/>
    <x v="4"/>
    <x v="6"/>
    <x v="83"/>
    <n v="1"/>
    <n v="0"/>
  </r>
  <r>
    <s v="013.746.252/0001-06"/>
    <x v="15"/>
    <s v="INCLUSAO  ANOT.INADIMPLENCIA"/>
    <d v="2024-11-13T00:00:00"/>
    <x v="7"/>
    <x v="4"/>
    <x v="7"/>
    <x v="15"/>
    <n v="0"/>
    <n v="1"/>
  </r>
  <r>
    <s v="026.988.940/0001-24"/>
    <x v="113"/>
    <s v="INCLUSAO  ANOT.INADIMPLENCIA"/>
    <d v="2024-11-13T00:00:00"/>
    <x v="11"/>
    <x v="4"/>
    <x v="11"/>
    <x v="113"/>
    <n v="0"/>
    <n v="1"/>
  </r>
  <r>
    <s v="046.700.220/0001-29"/>
    <x v="46"/>
    <s v="INCLUSAO  ANOT.INADIMPLENCIA"/>
    <d v="2024-11-13T00:00:00"/>
    <x v="11"/>
    <x v="4"/>
    <x v="11"/>
    <x v="46"/>
    <n v="0"/>
    <n v="1"/>
  </r>
  <r>
    <s v="016.772.642/0001-49"/>
    <x v="70"/>
    <s v="EXCLUSAO  ANOT.INADIMPLENCIA"/>
    <d v="2024-11-14T00:00:00"/>
    <x v="0"/>
    <x v="4"/>
    <x v="0"/>
    <x v="70"/>
    <n v="1"/>
    <n v="0"/>
  </r>
  <r>
    <s v="006.107.454/0001-42"/>
    <x v="42"/>
    <s v="INCLUSAO  ANOT.INADIMPLENCIA"/>
    <d v="2024-11-14T00:00:00"/>
    <x v="13"/>
    <x v="4"/>
    <x v="13"/>
    <x v="42"/>
    <n v="0"/>
    <n v="1"/>
  </r>
  <r>
    <s v="020.066.300/0001-80"/>
    <x v="2"/>
    <s v="INCLUSAO  ANOT.INADIMPLENCIA"/>
    <d v="2024-11-14T00:00:00"/>
    <x v="1"/>
    <x v="4"/>
    <x v="1"/>
    <x v="2"/>
    <n v="0"/>
    <n v="1"/>
  </r>
  <r>
    <s v="003.590.360/0001-89"/>
    <x v="3"/>
    <s v="EXCLUSAO  ANOT.INADIMPLENCIA"/>
    <d v="2024-11-14T00:00:00"/>
    <x v="1"/>
    <x v="4"/>
    <x v="1"/>
    <x v="3"/>
    <n v="1"/>
    <n v="0"/>
  </r>
  <r>
    <s v="012.520.791/0001-60"/>
    <x v="4"/>
    <s v="INCLUSAO  ANOT.INADIMPLENCIA"/>
    <d v="2024-11-14T00:00:00"/>
    <x v="1"/>
    <x v="4"/>
    <x v="1"/>
    <x v="4"/>
    <n v="0"/>
    <n v="1"/>
  </r>
  <r>
    <s v="007.561.436/0001-07"/>
    <x v="34"/>
    <s v="EXCLUSAO  ANOT.INADIMPLENCIA"/>
    <d v="2024-11-14T00:00:00"/>
    <x v="15"/>
    <x v="4"/>
    <x v="15"/>
    <x v="34"/>
    <n v="1"/>
    <n v="0"/>
  </r>
  <r>
    <s v="035.165.246/0001-06"/>
    <x v="105"/>
    <s v="INCLUSAO  ANOT.INADIMPLENCIA"/>
    <d v="2024-11-14T00:00:00"/>
    <x v="4"/>
    <x v="4"/>
    <x v="4"/>
    <x v="105"/>
    <n v="0"/>
    <n v="1"/>
  </r>
  <r>
    <s v="014.763.606/0001-93"/>
    <x v="10"/>
    <s v="EXCLUSAO  ANOT.INADIMPLENCIA"/>
    <d v="2024-11-14T00:00:00"/>
    <x v="6"/>
    <x v="4"/>
    <x v="6"/>
    <x v="10"/>
    <n v="1"/>
    <n v="0"/>
  </r>
  <r>
    <s v="006.236.494/0001-94"/>
    <x v="62"/>
    <s v="EXCLUSAO  ANOT.INADIMPLENCIA"/>
    <d v="2024-11-14T00:00:00"/>
    <x v="7"/>
    <x v="4"/>
    <x v="7"/>
    <x v="62"/>
    <n v="1"/>
    <n v="0"/>
  </r>
  <r>
    <s v="029.470.692/0001-13"/>
    <x v="100"/>
    <s v="INCLUSAO  ANOT.INADIMPLENCIA"/>
    <d v="2024-11-14T00:00:00"/>
    <x v="7"/>
    <x v="4"/>
    <x v="7"/>
    <x v="100"/>
    <n v="0"/>
    <n v="1"/>
  </r>
  <r>
    <s v="013.746.252/0001-06"/>
    <x v="15"/>
    <s v="INCL/EXCL ANOT.INADIMPLENCIA"/>
    <d v="2024-11-14T00:00:00"/>
    <x v="7"/>
    <x v="4"/>
    <x v="7"/>
    <x v="15"/>
    <n v="0"/>
    <n v="0"/>
  </r>
  <r>
    <s v="023.605.544/0001-82"/>
    <x v="21"/>
    <s v="INCLUSAO  ANOT.INADIMPLENCIA"/>
    <d v="2024-11-14T00:00:00"/>
    <x v="11"/>
    <x v="4"/>
    <x v="11"/>
    <x v="21"/>
    <n v="0"/>
    <n v="1"/>
  </r>
  <r>
    <s v="000.810.852/0001-44"/>
    <x v="85"/>
    <s v="INCLUSAO  ANOT.INADIMPLENCIA"/>
    <d v="2024-11-14T00:00:00"/>
    <x v="8"/>
    <x v="4"/>
    <x v="8"/>
    <x v="85"/>
    <n v="0"/>
    <n v="1"/>
  </r>
  <r>
    <s v="005.881.441/0001-63"/>
    <x v="97"/>
    <s v="EXCLUSAO  ANOT.INADIMPLENCIA"/>
    <d v="2024-11-14T00:00:00"/>
    <x v="9"/>
    <x v="4"/>
    <x v="9"/>
    <x v="97"/>
    <n v="1"/>
    <n v="0"/>
  </r>
  <r>
    <s v="020.066.300/0001-80"/>
    <x v="2"/>
    <s v="INCLUSAO  ANOT.INADIMPLENCIA"/>
    <d v="2024-11-15T00:00:00"/>
    <x v="1"/>
    <x v="4"/>
    <x v="1"/>
    <x v="2"/>
    <n v="0"/>
    <n v="1"/>
  </r>
  <r>
    <s v="012.520.791/0001-60"/>
    <x v="4"/>
    <s v="INCLUSAO  ANOT.INADIMPLENCIA"/>
    <d v="2024-11-15T00:00:00"/>
    <x v="1"/>
    <x v="4"/>
    <x v="1"/>
    <x v="4"/>
    <n v="0"/>
    <n v="1"/>
  </r>
  <r>
    <s v="007.102.721/0001-51"/>
    <x v="44"/>
    <s v="INCLUSAO  ANOT.INADIMPLENCIA"/>
    <d v="2024-11-15T00:00:00"/>
    <x v="15"/>
    <x v="4"/>
    <x v="15"/>
    <x v="44"/>
    <n v="0"/>
    <n v="1"/>
  </r>
  <r>
    <s v="035.165.246/0001-06"/>
    <x v="105"/>
    <s v="INCLUSAO  ANOT.INADIMPLENCIA"/>
    <d v="2024-11-15T00:00:00"/>
    <x v="4"/>
    <x v="4"/>
    <x v="4"/>
    <x v="105"/>
    <n v="0"/>
    <n v="1"/>
  </r>
  <r>
    <s v="008.991.603/0001-04"/>
    <x v="58"/>
    <s v="INCLUSAO  ANOT.INADIMPLENCIA"/>
    <d v="2024-11-15T00:00:00"/>
    <x v="4"/>
    <x v="4"/>
    <x v="4"/>
    <x v="58"/>
    <n v="0"/>
    <n v="1"/>
  </r>
  <r>
    <s v="000.987.236/0001-63"/>
    <x v="99"/>
    <s v="INCLUSAO  ANOT.INADIMPLENCIA"/>
    <d v="2024-11-15T00:00:00"/>
    <x v="6"/>
    <x v="4"/>
    <x v="6"/>
    <x v="99"/>
    <n v="0"/>
    <n v="1"/>
  </r>
  <r>
    <s v="014.763.606/0001-93"/>
    <x v="10"/>
    <s v="INCLUSAO  ANOT.INADIMPLENCIA"/>
    <d v="2024-11-15T00:00:00"/>
    <x v="6"/>
    <x v="4"/>
    <x v="6"/>
    <x v="10"/>
    <n v="0"/>
    <n v="1"/>
  </r>
  <r>
    <s v="093.274.124/0001-46"/>
    <x v="83"/>
    <s v="EXCLUSAO  ANOT.INADIMPLENCIA"/>
    <d v="2024-11-15T00:00:00"/>
    <x v="6"/>
    <x v="4"/>
    <x v="6"/>
    <x v="83"/>
    <n v="1"/>
    <n v="0"/>
  </r>
  <r>
    <s v="013.746.252/0001-06"/>
    <x v="15"/>
    <s v="INCLUSAO  ANOT.INADIMPLENCIA"/>
    <d v="2024-11-15T00:00:00"/>
    <x v="7"/>
    <x v="4"/>
    <x v="7"/>
    <x v="15"/>
    <n v="0"/>
    <n v="1"/>
  </r>
  <r>
    <s v="026.988.940/0001-24"/>
    <x v="113"/>
    <s v="EXCLUSAO  ANOT.INADIMPLENCIA"/>
    <d v="2024-11-15T00:00:00"/>
    <x v="11"/>
    <x v="4"/>
    <x v="11"/>
    <x v="113"/>
    <n v="1"/>
    <n v="0"/>
  </r>
  <r>
    <s v="014.829.598/0001-30"/>
    <x v="31"/>
    <s v="ALTERACAO ENDERECO"/>
    <d v="2024-11-15T00:00:00"/>
    <x v="11"/>
    <x v="4"/>
    <x v="11"/>
    <x v="31"/>
    <n v="0"/>
    <n v="0"/>
  </r>
  <r>
    <s v="014.385.825/0001-86"/>
    <x v="111"/>
    <s v="INCLUSAO  ANOT.INADIMPLENCIA"/>
    <d v="2024-11-15T00:00:00"/>
    <x v="8"/>
    <x v="4"/>
    <x v="8"/>
    <x v="111"/>
    <n v="0"/>
    <n v="1"/>
  </r>
  <r>
    <s v="038.110.780/0001-03"/>
    <x v="47"/>
    <s v="EXCLUSAO  ANOT.INADIMPLENCIA"/>
    <d v="2024-11-15T00:00:00"/>
    <x v="8"/>
    <x v="4"/>
    <x v="8"/>
    <x v="47"/>
    <n v="1"/>
    <n v="0"/>
  </r>
  <r>
    <s v="016.772.642/0001-49"/>
    <x v="70"/>
    <s v="INCLUSAO  ANOT.INADIMPLENCIA"/>
    <d v="2024-11-16T00:00:00"/>
    <x v="0"/>
    <x v="5"/>
    <x v="0"/>
    <x v="70"/>
    <n v="0"/>
    <n v="1"/>
  </r>
  <r>
    <s v="021.734.108/0001-88"/>
    <x v="41"/>
    <s v="INCLUSAO  ANOT.INADIMPLENCIA"/>
    <d v="2024-11-16T00:00:00"/>
    <x v="13"/>
    <x v="5"/>
    <x v="13"/>
    <x v="41"/>
    <n v="0"/>
    <n v="1"/>
  </r>
  <r>
    <s v="004.126.524/0001-84"/>
    <x v="49"/>
    <s v="EXCLUSAO  ANOT.INADIMPLENCIA"/>
    <d v="2024-11-16T00:00:00"/>
    <x v="13"/>
    <x v="5"/>
    <x v="13"/>
    <x v="49"/>
    <n v="1"/>
    <n v="0"/>
  </r>
  <r>
    <s v="020.066.300/0001-80"/>
    <x v="2"/>
    <s v="INCLUSAO  ANOT.INADIMPLENCIA"/>
    <d v="2024-11-16T00:00:00"/>
    <x v="1"/>
    <x v="5"/>
    <x v="1"/>
    <x v="2"/>
    <n v="0"/>
    <n v="1"/>
  </r>
  <r>
    <s v="016.757.535/0001-41"/>
    <x v="29"/>
    <s v="EXCLUSAO  ANOT.INADIMPLENCIA"/>
    <d v="2024-11-16T00:00:00"/>
    <x v="14"/>
    <x v="5"/>
    <x v="14"/>
    <x v="29"/>
    <n v="1"/>
    <n v="0"/>
  </r>
  <r>
    <s v="028.842.753/0001-63"/>
    <x v="50"/>
    <s v="INCLUSAO  ANOT.INADIMPLENCIA"/>
    <d v="2024-11-16T00:00:00"/>
    <x v="19"/>
    <x v="5"/>
    <x v="19"/>
    <x v="50"/>
    <n v="0"/>
    <n v="1"/>
  </r>
  <r>
    <s v="007.102.721/0001-51"/>
    <x v="44"/>
    <s v="INCLUSAO  ANOT.INADIMPLENCIA"/>
    <d v="2024-11-16T00:00:00"/>
    <x v="15"/>
    <x v="5"/>
    <x v="15"/>
    <x v="44"/>
    <n v="0"/>
    <n v="1"/>
  </r>
  <r>
    <s v="034.821.586/0001-77"/>
    <x v="38"/>
    <s v="INCLUSAO  ANOT.INADIMPLENCIA"/>
    <d v="2024-11-16T00:00:00"/>
    <x v="4"/>
    <x v="5"/>
    <x v="4"/>
    <x v="38"/>
    <n v="0"/>
    <n v="1"/>
  </r>
  <r>
    <s v="035.165.246/0001-06"/>
    <x v="105"/>
    <s v="INCLUSAO  ANOT.INADIMPLENCIA"/>
    <d v="2024-11-16T00:00:00"/>
    <x v="4"/>
    <x v="5"/>
    <x v="4"/>
    <x v="105"/>
    <n v="0"/>
    <n v="1"/>
  </r>
  <r>
    <s v="000.987.236/0001-63"/>
    <x v="99"/>
    <s v="INCLUSAO  ANOT.INADIMPLENCIA"/>
    <d v="2024-11-16T00:00:00"/>
    <x v="6"/>
    <x v="5"/>
    <x v="6"/>
    <x v="99"/>
    <n v="0"/>
    <n v="1"/>
  </r>
  <r>
    <s v="007.906.793/0001-51"/>
    <x v="95"/>
    <s v="INCLUSAO  ANOT.INADIMPLENCIA"/>
    <d v="2024-11-16T00:00:00"/>
    <x v="6"/>
    <x v="5"/>
    <x v="6"/>
    <x v="95"/>
    <n v="0"/>
    <n v="1"/>
  </r>
  <r>
    <s v="014.763.606/0001-93"/>
    <x v="10"/>
    <s v="INCLUSAO  ANOT.INADIMPLENCIA"/>
    <d v="2024-11-16T00:00:00"/>
    <x v="6"/>
    <x v="5"/>
    <x v="6"/>
    <x v="10"/>
    <n v="0"/>
    <n v="1"/>
  </r>
  <r>
    <s v="046.140.062/0001-08"/>
    <x v="69"/>
    <s v="INCLUSAO  ANOT.INADIMPLENCIA"/>
    <d v="2024-11-16T00:00:00"/>
    <x v="6"/>
    <x v="5"/>
    <x v="6"/>
    <x v="69"/>
    <n v="0"/>
    <n v="1"/>
  </r>
  <r>
    <s v="036.906.058/0001-46"/>
    <x v="76"/>
    <s v="INCLUSAO  ANOT.INADIMPLENCIA"/>
    <d v="2024-11-16T00:00:00"/>
    <x v="6"/>
    <x v="5"/>
    <x v="6"/>
    <x v="76"/>
    <n v="0"/>
    <n v="1"/>
  </r>
  <r>
    <s v="016.956.677/0001-38"/>
    <x v="93"/>
    <s v="INCLUSAO  ANOT.INADIMPLENCIA"/>
    <d v="2024-11-16T00:00:00"/>
    <x v="7"/>
    <x v="5"/>
    <x v="7"/>
    <x v="93"/>
    <n v="0"/>
    <n v="1"/>
  </r>
  <r>
    <s v="013.746.252/0001-06"/>
    <x v="15"/>
    <s v="INCLUSAO  ANOT.INADIMPLENCIA"/>
    <d v="2024-11-16T00:00:00"/>
    <x v="7"/>
    <x v="5"/>
    <x v="7"/>
    <x v="15"/>
    <n v="0"/>
    <n v="1"/>
  </r>
  <r>
    <s v="026.988.940/0001-24"/>
    <x v="113"/>
    <s v="EXCLUSAO  ANOT.INADIMPLENCIA"/>
    <d v="2024-11-16T00:00:00"/>
    <x v="11"/>
    <x v="5"/>
    <x v="11"/>
    <x v="113"/>
    <n v="1"/>
    <n v="0"/>
  </r>
  <r>
    <s v="050.721.360/0001-50"/>
    <x v="110"/>
    <s v="INCLUSAO  ANOT.INADIMPLENCIA"/>
    <d v="2024-11-16T00:00:00"/>
    <x v="11"/>
    <x v="5"/>
    <x v="11"/>
    <x v="110"/>
    <n v="0"/>
    <n v="1"/>
  </r>
  <r>
    <s v="046.700.220/0001-29"/>
    <x v="46"/>
    <s v="INCLUSAO  ANOT.INADIMPLENCIA"/>
    <d v="2024-11-16T00:00:00"/>
    <x v="11"/>
    <x v="5"/>
    <x v="11"/>
    <x v="46"/>
    <n v="0"/>
    <n v="1"/>
  </r>
  <r>
    <s v="071.350.797/0001-03"/>
    <x v="48"/>
    <s v="INCLUSAO  ANOT.INADIMPLENCIA"/>
    <d v="2024-11-16T00:00:00"/>
    <x v="16"/>
    <x v="5"/>
    <x v="16"/>
    <x v="48"/>
    <n v="0"/>
    <n v="1"/>
  </r>
  <r>
    <s v="005.355.135/0001-93"/>
    <x v="114"/>
    <s v="INCLUSAO  ANOT.INADIMPLENCIA"/>
    <d v="2024-11-16T00:00:00"/>
    <x v="16"/>
    <x v="5"/>
    <x v="16"/>
    <x v="114"/>
    <n v="0"/>
    <n v="1"/>
  </r>
  <r>
    <s v="043.515.558/0001-12"/>
    <x v="22"/>
    <s v="EXCLUSAO  ANOT.INADIMPLENCIA"/>
    <d v="2024-11-16T00:00:00"/>
    <x v="12"/>
    <x v="5"/>
    <x v="12"/>
    <x v="22"/>
    <n v="1"/>
    <n v="0"/>
  </r>
  <r>
    <s v="016.772.642/0001-49"/>
    <x v="70"/>
    <s v="EXCLUSAO  ANOT.INADIMPLENCIA"/>
    <d v="2024-11-20T00:00:00"/>
    <x v="0"/>
    <x v="5"/>
    <x v="0"/>
    <x v="70"/>
    <n v="1"/>
    <n v="0"/>
  </r>
  <r>
    <s v="020.066.300/0001-80"/>
    <x v="2"/>
    <s v="INCLUSAO  ANOT.INADIMPLENCIA"/>
    <d v="2024-11-20T00:00:00"/>
    <x v="1"/>
    <x v="5"/>
    <x v="1"/>
    <x v="2"/>
    <n v="0"/>
    <n v="1"/>
  </r>
  <r>
    <s v="003.590.360/0001-89"/>
    <x v="3"/>
    <s v="INCLUSAO  ANOT.INADIMPLENCIA"/>
    <d v="2024-11-20T00:00:00"/>
    <x v="1"/>
    <x v="5"/>
    <x v="1"/>
    <x v="3"/>
    <n v="0"/>
    <n v="1"/>
  </r>
  <r>
    <s v="016.757.535/0001-41"/>
    <x v="29"/>
    <s v="EXCLUSAO  ANOT.INADIMPLENCIA"/>
    <d v="2024-11-20T00:00:00"/>
    <x v="14"/>
    <x v="5"/>
    <x v="14"/>
    <x v="29"/>
    <n v="1"/>
    <n v="0"/>
  </r>
  <r>
    <s v="028.842.753/0001-63"/>
    <x v="50"/>
    <s v="INCLUSAO  ANOT.INADIMPLENCIA"/>
    <d v="2024-11-20T00:00:00"/>
    <x v="19"/>
    <x v="5"/>
    <x v="19"/>
    <x v="50"/>
    <n v="0"/>
    <n v="1"/>
  </r>
  <r>
    <s v="034.821.586/0001-77"/>
    <x v="38"/>
    <s v="INCLUSAO  ANOT.INADIMPLENCIA"/>
    <d v="2024-11-20T00:00:00"/>
    <x v="4"/>
    <x v="5"/>
    <x v="4"/>
    <x v="38"/>
    <n v="0"/>
    <n v="1"/>
  </r>
  <r>
    <s v="035.165.246/0001-06"/>
    <x v="105"/>
    <s v="INCLUSAO  ANOT.INADIMPLENCIA"/>
    <d v="2024-11-20T00:00:00"/>
    <x v="4"/>
    <x v="5"/>
    <x v="4"/>
    <x v="105"/>
    <n v="0"/>
    <n v="1"/>
  </r>
  <r>
    <s v="000.987.236/0001-63"/>
    <x v="99"/>
    <s v="INCLUSAO  ANOT.INADIMPLENCIA"/>
    <d v="2024-11-20T00:00:00"/>
    <x v="6"/>
    <x v="5"/>
    <x v="6"/>
    <x v="99"/>
    <n v="0"/>
    <n v="1"/>
  </r>
  <r>
    <s v="007.906.793/0001-51"/>
    <x v="95"/>
    <s v="INCLUSAO  ANOT.INADIMPLENCIA"/>
    <d v="2024-11-20T00:00:00"/>
    <x v="6"/>
    <x v="5"/>
    <x v="6"/>
    <x v="95"/>
    <n v="0"/>
    <n v="1"/>
  </r>
  <r>
    <s v="014.763.606/0001-93"/>
    <x v="10"/>
    <s v="EXCLUSAO  ANOT.INADIMPLENCIA"/>
    <d v="2024-11-20T00:00:00"/>
    <x v="6"/>
    <x v="5"/>
    <x v="6"/>
    <x v="10"/>
    <n v="1"/>
    <n v="0"/>
  </r>
  <r>
    <s v="046.140.062/0001-08"/>
    <x v="69"/>
    <s v="INCLUSAO  ANOT.INADIMPLENCIA"/>
    <d v="2024-11-20T00:00:00"/>
    <x v="6"/>
    <x v="5"/>
    <x v="6"/>
    <x v="69"/>
    <n v="0"/>
    <n v="1"/>
  </r>
  <r>
    <s v="016.956.677/0001-38"/>
    <x v="93"/>
    <s v="EXCLUSAO  ANOT.INADIMPLENCIA"/>
    <d v="2024-11-20T00:00:00"/>
    <x v="7"/>
    <x v="5"/>
    <x v="7"/>
    <x v="93"/>
    <n v="1"/>
    <n v="0"/>
  </r>
  <r>
    <s v="013.746.252/0001-06"/>
    <x v="15"/>
    <s v="EXCLUSAO  ANOT.INADIMPLENCIA"/>
    <d v="2024-11-20T00:00:00"/>
    <x v="7"/>
    <x v="5"/>
    <x v="7"/>
    <x v="15"/>
    <n v="1"/>
    <n v="0"/>
  </r>
  <r>
    <s v="023.605.544/0001-82"/>
    <x v="21"/>
    <s v="INCLUSAO  ANOT.INADIMPLENCIA"/>
    <d v="2024-11-20T00:00:00"/>
    <x v="11"/>
    <x v="5"/>
    <x v="11"/>
    <x v="21"/>
    <n v="0"/>
    <n v="1"/>
  </r>
  <r>
    <s v="046.700.220/0001-29"/>
    <x v="46"/>
    <s v="INCLUSAO  ANOT.INADIMPLENCIA"/>
    <d v="2024-11-20T00:00:00"/>
    <x v="11"/>
    <x v="5"/>
    <x v="11"/>
    <x v="46"/>
    <n v="0"/>
    <n v="1"/>
  </r>
  <r>
    <s v="021.473.575/0001-00"/>
    <x v="63"/>
    <s v="INCLUSAO  ANOT.INADIMPLENCIA"/>
    <d v="2024-11-20T00:00:00"/>
    <x v="11"/>
    <x v="5"/>
    <x v="11"/>
    <x v="63"/>
    <n v="0"/>
    <n v="1"/>
  </r>
  <r>
    <s v="071.350.797/0001-03"/>
    <x v="48"/>
    <s v="EXCLUSAO  ANOT.INADIMPLENCIA"/>
    <d v="2024-11-20T00:00:00"/>
    <x v="16"/>
    <x v="5"/>
    <x v="16"/>
    <x v="48"/>
    <n v="1"/>
    <n v="0"/>
  </r>
  <r>
    <s v="042.276.517/0001-58"/>
    <x v="108"/>
    <s v="INCLUSAO  ANOT.INADIMPLENCIA"/>
    <d v="2024-11-20T00:00:00"/>
    <x v="16"/>
    <x v="5"/>
    <x v="16"/>
    <x v="108"/>
    <n v="0"/>
    <n v="1"/>
  </r>
  <r>
    <s v="023.911.356/0001-82"/>
    <x v="55"/>
    <s v="INCLUSAO  ANOT.INADIMPLENCIA"/>
    <d v="2024-11-21T00:00:00"/>
    <x v="0"/>
    <x v="5"/>
    <x v="0"/>
    <x v="55"/>
    <n v="0"/>
    <n v="1"/>
  </r>
  <r>
    <s v="020.066.300/0001-80"/>
    <x v="2"/>
    <s v="INCLUSAO  ANOT.INADIMPLENCIA"/>
    <d v="2024-11-21T00:00:00"/>
    <x v="1"/>
    <x v="5"/>
    <x v="1"/>
    <x v="2"/>
    <n v="0"/>
    <n v="1"/>
  </r>
  <r>
    <s v="016.757.535/0001-41"/>
    <x v="29"/>
    <s v="EXCLUSAO  ANOT.INADIMPLENCIA"/>
    <d v="2024-11-21T00:00:00"/>
    <x v="14"/>
    <x v="5"/>
    <x v="14"/>
    <x v="29"/>
    <n v="1"/>
    <n v="0"/>
  </r>
  <r>
    <s v="036.906.058/0001-46"/>
    <x v="76"/>
    <s v="INCLUSAO  ANOT.INADIMPLENCIA"/>
    <d v="2024-11-21T00:00:00"/>
    <x v="6"/>
    <x v="5"/>
    <x v="6"/>
    <x v="76"/>
    <n v="0"/>
    <n v="1"/>
  </r>
  <r>
    <s v="013.746.252/0001-06"/>
    <x v="15"/>
    <s v="ALTERACAO ENDERECO"/>
    <d v="2024-11-21T00:00:00"/>
    <x v="7"/>
    <x v="5"/>
    <x v="7"/>
    <x v="15"/>
    <n v="0"/>
    <n v="0"/>
  </r>
  <r>
    <s v="013.746.252/0001-06"/>
    <x v="15"/>
    <s v="INCLUSAO  ANOT.INADIMPLENCIA"/>
    <d v="2024-11-21T00:00:00"/>
    <x v="7"/>
    <x v="5"/>
    <x v="7"/>
    <x v="15"/>
    <n v="0"/>
    <n v="1"/>
  </r>
  <r>
    <s v="023.605.544/0001-82"/>
    <x v="21"/>
    <s v="INCLUSAO  ANOT.INADIMPLENCIA"/>
    <d v="2024-11-21T00:00:00"/>
    <x v="11"/>
    <x v="5"/>
    <x v="11"/>
    <x v="21"/>
    <n v="0"/>
    <n v="1"/>
  </r>
  <r>
    <s v="046.700.220/0001-29"/>
    <x v="46"/>
    <s v="INCLUSAO  ANOT.INADIMPLENCIA"/>
    <d v="2024-11-21T00:00:00"/>
    <x v="11"/>
    <x v="5"/>
    <x v="11"/>
    <x v="46"/>
    <n v="0"/>
    <n v="1"/>
  </r>
  <r>
    <s v="014.385.825/0001-86"/>
    <x v="111"/>
    <s v="INCLUSAO  ANOT.INADIMPLENCIA"/>
    <d v="2024-11-21T00:00:00"/>
    <x v="8"/>
    <x v="5"/>
    <x v="8"/>
    <x v="111"/>
    <n v="0"/>
    <n v="1"/>
  </r>
  <r>
    <s v="038.110.780/0001-03"/>
    <x v="47"/>
    <s v="ALTERACAO ENDERECO"/>
    <d v="2024-11-21T00:00:00"/>
    <x v="8"/>
    <x v="5"/>
    <x v="8"/>
    <x v="47"/>
    <n v="0"/>
    <n v="0"/>
  </r>
  <r>
    <s v="020.066.300/0001-80"/>
    <x v="2"/>
    <s v="INCLUSAO  ANOT.INADIMPLENCIA"/>
    <d v="2024-11-23T00:00:00"/>
    <x v="1"/>
    <x v="5"/>
    <x v="1"/>
    <x v="2"/>
    <n v="0"/>
    <n v="1"/>
  </r>
  <r>
    <s v="003.590.360/0001-89"/>
    <x v="3"/>
    <s v="EXCLUSAO  ANOT.INADIMPLENCIA"/>
    <d v="2024-11-23T00:00:00"/>
    <x v="1"/>
    <x v="5"/>
    <x v="1"/>
    <x v="3"/>
    <n v="1"/>
    <n v="0"/>
  </r>
  <r>
    <s v="044.888.871/0001-69"/>
    <x v="107"/>
    <s v="ALTERACAO ENDERECO"/>
    <d v="2024-11-23T00:00:00"/>
    <x v="15"/>
    <x v="5"/>
    <x v="15"/>
    <x v="107"/>
    <n v="0"/>
    <n v="0"/>
  </r>
  <r>
    <s v="007.102.721/0001-51"/>
    <x v="44"/>
    <s v="EXCLUSAO  ANOT.INADIMPLENCIA"/>
    <d v="2024-11-23T00:00:00"/>
    <x v="15"/>
    <x v="5"/>
    <x v="15"/>
    <x v="44"/>
    <n v="1"/>
    <n v="0"/>
  </r>
  <r>
    <s v="008.991.603/0001-04"/>
    <x v="58"/>
    <s v="INCLUSAO  ANOT.INADIMPLENCIA"/>
    <d v="2024-11-23T00:00:00"/>
    <x v="4"/>
    <x v="5"/>
    <x v="4"/>
    <x v="58"/>
    <n v="0"/>
    <n v="1"/>
  </r>
  <r>
    <s v="036.906.058/0001-46"/>
    <x v="76"/>
    <s v="EXCLUSAO  ANOT.INADIMPLENCIA"/>
    <d v="2024-11-23T00:00:00"/>
    <x v="6"/>
    <x v="5"/>
    <x v="6"/>
    <x v="76"/>
    <n v="1"/>
    <n v="0"/>
  </r>
  <r>
    <s v="006.236.494/0001-94"/>
    <x v="62"/>
    <s v="ALTERACAO ENDERECO"/>
    <d v="2024-11-23T00:00:00"/>
    <x v="7"/>
    <x v="5"/>
    <x v="7"/>
    <x v="62"/>
    <n v="0"/>
    <n v="0"/>
  </r>
  <r>
    <s v="016.956.677/0001-38"/>
    <x v="93"/>
    <s v="EXCLUSAO  ANOT.INADIMPLENCIA"/>
    <d v="2024-11-23T00:00:00"/>
    <x v="7"/>
    <x v="5"/>
    <x v="7"/>
    <x v="93"/>
    <n v="1"/>
    <n v="0"/>
  </r>
  <r>
    <s v="013.746.252/0001-06"/>
    <x v="15"/>
    <s v="INCL/EXCL ANOT.INADIMPLENCIA"/>
    <d v="2024-11-23T00:00:00"/>
    <x v="7"/>
    <x v="5"/>
    <x v="7"/>
    <x v="15"/>
    <n v="0"/>
    <n v="0"/>
  </r>
  <r>
    <s v="023.605.544/0001-82"/>
    <x v="21"/>
    <s v="INCLUSAO  ANOT.INADIMPLENCIA"/>
    <d v="2024-11-23T00:00:00"/>
    <x v="11"/>
    <x v="5"/>
    <x v="11"/>
    <x v="21"/>
    <n v="0"/>
    <n v="1"/>
  </r>
  <r>
    <s v="050.721.360/0001-50"/>
    <x v="110"/>
    <s v="EXCLUSAO  ANOT.INADIMPLENCIA"/>
    <d v="2024-11-23T00:00:00"/>
    <x v="11"/>
    <x v="5"/>
    <x v="11"/>
    <x v="110"/>
    <n v="1"/>
    <n v="0"/>
  </r>
  <r>
    <s v="002.534.653/0001-86"/>
    <x v="106"/>
    <s v="EXCLUSAO  ANOT.INADIMPLENCIA"/>
    <d v="2024-11-23T00:00:00"/>
    <x v="16"/>
    <x v="5"/>
    <x v="16"/>
    <x v="106"/>
    <n v="1"/>
    <n v="0"/>
  </r>
  <r>
    <s v="043.515.558/0001-12"/>
    <x v="22"/>
    <s v="INCLUSAO  ANOT.INADIMPLENCIA"/>
    <d v="2024-11-23T00:00:00"/>
    <x v="12"/>
    <x v="5"/>
    <x v="12"/>
    <x v="22"/>
    <n v="0"/>
    <n v="1"/>
  </r>
  <r>
    <s v="008.785.522/0001-58"/>
    <x v="17"/>
    <s v="INCLUSAO  ANOT.INADIMPLENCIA"/>
    <d v="2024-11-23T00:00:00"/>
    <x v="9"/>
    <x v="5"/>
    <x v="9"/>
    <x v="17"/>
    <n v="0"/>
    <n v="1"/>
  </r>
  <r>
    <s v="023.911.356/0001-82"/>
    <x v="55"/>
    <s v="INCLUSAO  ANOT.INADIMPLENCIA"/>
    <d v="2024-11-26T00:00:00"/>
    <x v="0"/>
    <x v="5"/>
    <x v="0"/>
    <x v="55"/>
    <n v="0"/>
    <n v="1"/>
  </r>
  <r>
    <s v="021.734.108/0001-88"/>
    <x v="41"/>
    <s v="INCL/EXCL ANOT.INADIMPLENCIA"/>
    <d v="2024-11-26T00:00:00"/>
    <x v="13"/>
    <x v="5"/>
    <x v="13"/>
    <x v="41"/>
    <n v="0"/>
    <n v="0"/>
  </r>
  <r>
    <s v="004.126.524/0001-84"/>
    <x v="49"/>
    <s v="INCLUSAO  ANOT.INADIMPLENCIA"/>
    <d v="2024-11-26T00:00:00"/>
    <x v="13"/>
    <x v="5"/>
    <x v="13"/>
    <x v="49"/>
    <n v="0"/>
    <n v="1"/>
  </r>
  <r>
    <s v="006.107.454/0001-42"/>
    <x v="42"/>
    <s v="EXCLUSAO  ANOT.INADIMPLENCIA"/>
    <d v="2024-11-26T00:00:00"/>
    <x v="13"/>
    <x v="5"/>
    <x v="13"/>
    <x v="42"/>
    <n v="1"/>
    <n v="0"/>
  </r>
  <r>
    <s v="020.066.300/0001-80"/>
    <x v="2"/>
    <s v="INCLUSAO  ANOT.INADIMPLENCIA"/>
    <d v="2024-11-26T00:00:00"/>
    <x v="1"/>
    <x v="5"/>
    <x v="1"/>
    <x v="2"/>
    <n v="0"/>
    <n v="1"/>
  </r>
  <r>
    <s v="003.590.360/0001-89"/>
    <x v="3"/>
    <s v="INCLUSAO  ANOT.INADIMPLENCIA"/>
    <d v="2024-11-26T00:00:00"/>
    <x v="1"/>
    <x v="5"/>
    <x v="1"/>
    <x v="3"/>
    <n v="0"/>
    <n v="1"/>
  </r>
  <r>
    <s v="012.520.791/0001-60"/>
    <x v="4"/>
    <s v="INCLUSAO  ANOT.INADIMPLENCIA"/>
    <d v="2024-11-26T00:00:00"/>
    <x v="1"/>
    <x v="5"/>
    <x v="1"/>
    <x v="4"/>
    <n v="0"/>
    <n v="1"/>
  </r>
  <r>
    <s v="016.757.535/0001-41"/>
    <x v="29"/>
    <s v="EXCLUSAO  ANOT.INADIMPLENCIA"/>
    <d v="2024-11-26T00:00:00"/>
    <x v="14"/>
    <x v="5"/>
    <x v="14"/>
    <x v="29"/>
    <n v="1"/>
    <n v="0"/>
  </r>
  <r>
    <s v="007.102.721/0001-51"/>
    <x v="44"/>
    <s v="EXCLUSAO  ANOT.INADIMPLENCIA"/>
    <d v="2024-11-26T00:00:00"/>
    <x v="15"/>
    <x v="5"/>
    <x v="15"/>
    <x v="44"/>
    <n v="1"/>
    <n v="0"/>
  </r>
  <r>
    <s v="007.561.436/0001-07"/>
    <x v="34"/>
    <s v="INCLUSAO  ANOT.INADIMPLENCIA"/>
    <d v="2024-11-26T00:00:00"/>
    <x v="15"/>
    <x v="5"/>
    <x v="15"/>
    <x v="34"/>
    <n v="0"/>
    <n v="1"/>
  </r>
  <r>
    <s v="035.165.246/0001-06"/>
    <x v="105"/>
    <s v="INCLUSAO  ANOT.INADIMPLENCIA"/>
    <d v="2024-11-26T00:00:00"/>
    <x v="4"/>
    <x v="5"/>
    <x v="4"/>
    <x v="105"/>
    <n v="0"/>
    <n v="1"/>
  </r>
  <r>
    <s v="008.991.603/0001-04"/>
    <x v="58"/>
    <s v="INCLUSAO  ANOT.INADIMPLENCIA"/>
    <d v="2024-11-26T00:00:00"/>
    <x v="4"/>
    <x v="5"/>
    <x v="4"/>
    <x v="58"/>
    <n v="0"/>
    <n v="1"/>
  </r>
  <r>
    <s v="000.987.236/0001-63"/>
    <x v="99"/>
    <s v="EXCLUSAO  ANOT.INADIMPLENCIA"/>
    <d v="2024-11-26T00:00:00"/>
    <x v="6"/>
    <x v="5"/>
    <x v="6"/>
    <x v="99"/>
    <n v="1"/>
    <n v="0"/>
  </r>
  <r>
    <s v="007.906.793/0001-51"/>
    <x v="95"/>
    <s v="INCLUSAO  ANOT.INADIMPLENCIA"/>
    <d v="2024-11-26T00:00:00"/>
    <x v="6"/>
    <x v="5"/>
    <x v="6"/>
    <x v="95"/>
    <n v="0"/>
    <n v="1"/>
  </r>
  <r>
    <s v="046.140.062/0001-08"/>
    <x v="69"/>
    <s v="INCLUSAO  ANOT.INADIMPLENCIA"/>
    <d v="2024-11-26T00:00:00"/>
    <x v="6"/>
    <x v="5"/>
    <x v="6"/>
    <x v="69"/>
    <n v="0"/>
    <n v="1"/>
  </r>
  <r>
    <s v="023.605.544/0001-82"/>
    <x v="21"/>
    <s v="INCLUSAO  ANOT.INADIMPLENCIA"/>
    <d v="2024-11-26T00:00:00"/>
    <x v="11"/>
    <x v="5"/>
    <x v="11"/>
    <x v="21"/>
    <n v="0"/>
    <n v="1"/>
  </r>
  <r>
    <s v="046.700.220/0001-29"/>
    <x v="46"/>
    <s v="INCLUSAO  ANOT.INADIMPLENCIA"/>
    <d v="2024-11-26T00:00:00"/>
    <x v="11"/>
    <x v="5"/>
    <x v="11"/>
    <x v="46"/>
    <n v="0"/>
    <n v="1"/>
  </r>
  <r>
    <s v="014.385.825/0001-86"/>
    <x v="111"/>
    <s v="EXCLUSAO  ANOT.INADIMPLENCIA"/>
    <d v="2024-11-26T00:00:00"/>
    <x v="8"/>
    <x v="5"/>
    <x v="8"/>
    <x v="111"/>
    <n v="1"/>
    <n v="0"/>
  </r>
  <r>
    <s v="038.110.780/0001-03"/>
    <x v="47"/>
    <s v="INCLUSAO  ANOT.INADIMPLENCIA"/>
    <d v="2024-11-26T00:00:00"/>
    <x v="8"/>
    <x v="5"/>
    <x v="8"/>
    <x v="47"/>
    <n v="0"/>
    <n v="1"/>
  </r>
  <r>
    <s v="016.757.535/0001-41"/>
    <x v="29"/>
    <s v="EXCLUSAO  ANOT.INADIMPLENCIA"/>
    <d v="2024-11-27T00:00:00"/>
    <x v="14"/>
    <x v="5"/>
    <x v="14"/>
    <x v="29"/>
    <n v="1"/>
    <n v="0"/>
  </r>
  <r>
    <s v="007.906.793/0001-51"/>
    <x v="95"/>
    <s v="INCLUSAO  ANOT.INADIMPLENCIA"/>
    <d v="2024-11-27T00:00:00"/>
    <x v="6"/>
    <x v="5"/>
    <x v="6"/>
    <x v="95"/>
    <n v="0"/>
    <n v="1"/>
  </r>
  <r>
    <s v="014.763.606/0001-93"/>
    <x v="10"/>
    <s v="INCLUSAO  ANOT.INADIMPLENCIA"/>
    <d v="2024-11-27T00:00:00"/>
    <x v="6"/>
    <x v="5"/>
    <x v="6"/>
    <x v="10"/>
    <n v="0"/>
    <n v="1"/>
  </r>
  <r>
    <s v="046.140.062/0001-08"/>
    <x v="69"/>
    <s v="INCLUSAO  ANOT.INADIMPLENCIA"/>
    <d v="2024-11-27T00:00:00"/>
    <x v="6"/>
    <x v="5"/>
    <x v="6"/>
    <x v="69"/>
    <n v="0"/>
    <n v="1"/>
  </r>
  <r>
    <s v="013.746.252/0001-06"/>
    <x v="15"/>
    <s v="INCLUSAO  ANOT.INADIMPLENCIA"/>
    <d v="2024-11-27T00:00:00"/>
    <x v="7"/>
    <x v="5"/>
    <x v="7"/>
    <x v="15"/>
    <n v="0"/>
    <n v="1"/>
  </r>
  <r>
    <s v="021.473.575/0001-00"/>
    <x v="63"/>
    <s v="EXCLUSAO  ANOT.INADIMPLENCIA"/>
    <d v="2024-11-27T00:00:00"/>
    <x v="11"/>
    <x v="5"/>
    <x v="11"/>
    <x v="63"/>
    <n v="1"/>
    <n v="0"/>
  </r>
  <r>
    <s v="008.785.522/0001-58"/>
    <x v="17"/>
    <s v="INCLUSAO  ANOT.INADIMPLENCIA"/>
    <d v="2024-11-27T00:00:00"/>
    <x v="9"/>
    <x v="5"/>
    <x v="9"/>
    <x v="17"/>
    <n v="0"/>
    <n v="1"/>
  </r>
  <r>
    <s v="004.126.524/0001-84"/>
    <x v="49"/>
    <s v="EXCLUSAO  ANOT.INADIMPLENCIA"/>
    <d v="2024-11-28T00:00:00"/>
    <x v="13"/>
    <x v="5"/>
    <x v="13"/>
    <x v="49"/>
    <n v="1"/>
    <n v="0"/>
  </r>
  <r>
    <s v="016.757.535/0001-41"/>
    <x v="29"/>
    <s v="EXCLUSAO  ANOT.INADIMPLENCIA"/>
    <d v="2024-11-28T00:00:00"/>
    <x v="14"/>
    <x v="5"/>
    <x v="14"/>
    <x v="29"/>
    <n v="1"/>
    <n v="0"/>
  </r>
  <r>
    <s v="007.102.721/0001-51"/>
    <x v="44"/>
    <s v="EXCLUSAO  ANOT.INADIMPLENCIA"/>
    <d v="2024-11-28T00:00:00"/>
    <x v="15"/>
    <x v="5"/>
    <x v="15"/>
    <x v="44"/>
    <n v="1"/>
    <n v="0"/>
  </r>
  <r>
    <s v="035.165.246/0001-06"/>
    <x v="105"/>
    <s v="INCLUSAO  ANOT.INADIMPLENCIA"/>
    <d v="2024-11-28T00:00:00"/>
    <x v="4"/>
    <x v="5"/>
    <x v="4"/>
    <x v="105"/>
    <n v="0"/>
    <n v="1"/>
  </r>
  <r>
    <s v="013.746.252/0001-06"/>
    <x v="15"/>
    <s v="INCLUSAO  ANOT.INADIMPLENCIA"/>
    <d v="2024-11-28T00:00:00"/>
    <x v="7"/>
    <x v="5"/>
    <x v="7"/>
    <x v="15"/>
    <n v="0"/>
    <n v="1"/>
  </r>
  <r>
    <s v="046.700.220/0001-29"/>
    <x v="46"/>
    <s v="INCLUSAO  ANOT.INADIMPLENCIA"/>
    <d v="2024-11-28T00:00:00"/>
    <x v="11"/>
    <x v="5"/>
    <x v="11"/>
    <x v="46"/>
    <n v="0"/>
    <n v="1"/>
  </r>
  <r>
    <s v="038.110.780/0001-03"/>
    <x v="47"/>
    <s v="EXCLUSAO  ANOT.INADIMPLENCIA"/>
    <d v="2024-11-28T00:00:00"/>
    <x v="8"/>
    <x v="5"/>
    <x v="8"/>
    <x v="47"/>
    <n v="1"/>
    <n v="0"/>
  </r>
  <r>
    <s v="071.350.797/0001-03"/>
    <x v="48"/>
    <s v="EXCLUSAO  ANOT.INADIMPLENCIA"/>
    <d v="2024-11-28T00:00:00"/>
    <x v="16"/>
    <x v="5"/>
    <x v="16"/>
    <x v="48"/>
    <n v="1"/>
    <n v="0"/>
  </r>
  <r>
    <s v="043.515.558/0001-12"/>
    <x v="22"/>
    <s v="EXCLUSAO  ANOT.INADIMPLENCIA"/>
    <d v="2024-11-28T00:00:00"/>
    <x v="12"/>
    <x v="5"/>
    <x v="12"/>
    <x v="22"/>
    <n v="1"/>
    <n v="0"/>
  </r>
  <r>
    <s v="020.066.300/0001-80"/>
    <x v="2"/>
    <s v="INCLUSAO  ANOT.INADIMPLENCIA"/>
    <d v="2024-11-29T00:00:00"/>
    <x v="1"/>
    <x v="5"/>
    <x v="1"/>
    <x v="2"/>
    <n v="0"/>
    <n v="1"/>
  </r>
  <r>
    <s v="013.746.252/0001-06"/>
    <x v="15"/>
    <s v="INCLUSAO  ANOT.INADIMPLENCIA"/>
    <d v="2024-11-29T00:00:00"/>
    <x v="7"/>
    <x v="5"/>
    <x v="7"/>
    <x v="15"/>
    <n v="0"/>
    <n v="1"/>
  </r>
  <r>
    <s v="071.350.797/0001-03"/>
    <x v="48"/>
    <s v="EXCLUSAO  ANOT.INADIMPLENCIA"/>
    <d v="2024-11-29T00:00:00"/>
    <x v="16"/>
    <x v="5"/>
    <x v="16"/>
    <x v="48"/>
    <n v="1"/>
    <n v="0"/>
  </r>
  <r>
    <s v="023.911.356/0001-82"/>
    <x v="55"/>
    <s v="INCLUSAO  ANOT.INADIMPLENCIA"/>
    <d v="2024-11-30T00:00:00"/>
    <x v="0"/>
    <x v="5"/>
    <x v="0"/>
    <x v="55"/>
    <n v="0"/>
    <n v="1"/>
  </r>
  <r>
    <s v="021.734.108/0001-88"/>
    <x v="41"/>
    <s v="INCLUSAO  ANOT.INADIMPLENCIA"/>
    <d v="2024-11-30T00:00:00"/>
    <x v="13"/>
    <x v="5"/>
    <x v="13"/>
    <x v="41"/>
    <n v="0"/>
    <n v="1"/>
  </r>
  <r>
    <s v="020.066.300/0001-80"/>
    <x v="2"/>
    <s v="INCLUSAO  ANOT.INADIMPLENCIA"/>
    <d v="2024-11-30T00:00:00"/>
    <x v="1"/>
    <x v="5"/>
    <x v="1"/>
    <x v="2"/>
    <n v="0"/>
    <n v="1"/>
  </r>
  <r>
    <s v="016.757.535/0001-41"/>
    <x v="29"/>
    <s v="INCLUSAO  ANOT.INADIMPLENCIA"/>
    <d v="2024-11-30T00:00:00"/>
    <x v="14"/>
    <x v="5"/>
    <x v="14"/>
    <x v="29"/>
    <n v="0"/>
    <n v="1"/>
  </r>
  <r>
    <s v="007.561.436/0001-07"/>
    <x v="34"/>
    <s v="INCL/EXCL ANOT.INADIMPLENCIA"/>
    <d v="2024-11-30T00:00:00"/>
    <x v="15"/>
    <x v="5"/>
    <x v="15"/>
    <x v="34"/>
    <n v="0"/>
    <n v="0"/>
  </r>
  <r>
    <s v="019.450.138/0001-10"/>
    <x v="71"/>
    <s v="INCLUSAO  ANOT.INADIMPLENCIA"/>
    <d v="2024-11-30T00:00:00"/>
    <x v="22"/>
    <x v="5"/>
    <x v="22"/>
    <x v="71"/>
    <n v="0"/>
    <n v="1"/>
  </r>
  <r>
    <s v="035.165.246/0001-06"/>
    <x v="105"/>
    <s v="INCLUSAO  ANOT.INADIMPLENCIA"/>
    <d v="2024-11-30T00:00:00"/>
    <x v="4"/>
    <x v="5"/>
    <x v="4"/>
    <x v="105"/>
    <n v="0"/>
    <n v="1"/>
  </r>
  <r>
    <s v="000.987.236/0001-63"/>
    <x v="99"/>
    <s v="INCLUSAO  ANOT.INADIMPLENCIA"/>
    <d v="2024-11-30T00:00:00"/>
    <x v="6"/>
    <x v="5"/>
    <x v="6"/>
    <x v="99"/>
    <n v="0"/>
    <n v="1"/>
  </r>
  <r>
    <s v="007.906.793/0001-51"/>
    <x v="95"/>
    <s v="INCLUSAO  ANOT.INADIMPLENCIA"/>
    <d v="2024-11-30T00:00:00"/>
    <x v="6"/>
    <x v="5"/>
    <x v="6"/>
    <x v="95"/>
    <n v="0"/>
    <n v="1"/>
  </r>
  <r>
    <s v="014.763.606/0001-93"/>
    <x v="10"/>
    <s v="INCLUSAO  ANOT.INADIMPLENCIA"/>
    <d v="2024-11-30T00:00:00"/>
    <x v="6"/>
    <x v="5"/>
    <x v="6"/>
    <x v="10"/>
    <n v="0"/>
    <n v="1"/>
  </r>
  <r>
    <s v="088.978.606/0001-47"/>
    <x v="115"/>
    <s v="INCLUSAO  ANOT.INADIMPLENCIA"/>
    <d v="2024-11-30T00:00:00"/>
    <x v="6"/>
    <x v="5"/>
    <x v="6"/>
    <x v="115"/>
    <n v="0"/>
    <n v="1"/>
  </r>
  <r>
    <s v="013.746.252/0001-06"/>
    <x v="15"/>
    <s v="EXCLUSAO  ANOT.INADIMPLENCIA"/>
    <d v="2024-11-30T00:00:00"/>
    <x v="7"/>
    <x v="5"/>
    <x v="7"/>
    <x v="15"/>
    <n v="1"/>
    <n v="0"/>
  </r>
  <r>
    <s v="023.605.544/0001-82"/>
    <x v="21"/>
    <s v="INCLUSAO  ANOT.INADIMPLENCIA"/>
    <d v="2024-11-30T00:00:00"/>
    <x v="11"/>
    <x v="5"/>
    <x v="11"/>
    <x v="21"/>
    <n v="0"/>
    <n v="1"/>
  </r>
  <r>
    <s v="046.700.220/0001-29"/>
    <x v="46"/>
    <s v="INCLUSAO  ANOT.INADIMPLENCIA"/>
    <d v="2024-11-30T00:00:00"/>
    <x v="11"/>
    <x v="5"/>
    <x v="11"/>
    <x v="46"/>
    <n v="0"/>
    <n v="1"/>
  </r>
  <r>
    <s v="038.110.780/0001-03"/>
    <x v="47"/>
    <s v="INCLUSAO  ANOT.INADIMPLENCIA"/>
    <d v="2024-11-30T00:00:00"/>
    <x v="8"/>
    <x v="5"/>
    <x v="8"/>
    <x v="47"/>
    <n v="0"/>
    <n v="1"/>
  </r>
  <r>
    <s v="071.350.797/0001-03"/>
    <x v="48"/>
    <s v="EXCLUSAO  ANOT.INADIMPLENCIA"/>
    <d v="2024-11-30T00:00:00"/>
    <x v="16"/>
    <x v="5"/>
    <x v="16"/>
    <x v="48"/>
    <n v="1"/>
    <n v="0"/>
  </r>
  <r>
    <s v="016.772.642/0001-49"/>
    <x v="70"/>
    <s v="INCLUSAO  ANOT.INADIMPLENCIA"/>
    <d v="2024-12-03T00:00:00"/>
    <x v="0"/>
    <x v="6"/>
    <x v="0"/>
    <x v="70"/>
    <n v="0"/>
    <n v="1"/>
  </r>
  <r>
    <s v="023.911.356/0001-82"/>
    <x v="55"/>
    <s v="INCLUSAO  ANOT.INADIMPLENCIA"/>
    <d v="2024-12-03T00:00:00"/>
    <x v="0"/>
    <x v="6"/>
    <x v="0"/>
    <x v="55"/>
    <n v="0"/>
    <n v="1"/>
  </r>
  <r>
    <s v="004.126.524/0001-84"/>
    <x v="49"/>
    <s v="INCLUSAO  ANOT.INADIMPLENCIA"/>
    <d v="2024-12-03T00:00:00"/>
    <x v="13"/>
    <x v="6"/>
    <x v="13"/>
    <x v="49"/>
    <n v="0"/>
    <n v="1"/>
  </r>
  <r>
    <s v="020.066.300/0001-80"/>
    <x v="2"/>
    <s v="INCL/EXCL ANOT.INADIMPLENCIA"/>
    <d v="2024-12-03T00:00:00"/>
    <x v="1"/>
    <x v="6"/>
    <x v="1"/>
    <x v="2"/>
    <n v="0"/>
    <n v="0"/>
  </r>
  <r>
    <s v="003.590.360/0001-89"/>
    <x v="3"/>
    <s v="INCLUSAO  ANOT.INADIMPLENCIA"/>
    <d v="2024-12-03T00:00:00"/>
    <x v="1"/>
    <x v="6"/>
    <x v="1"/>
    <x v="3"/>
    <n v="0"/>
    <n v="1"/>
  </r>
  <r>
    <s v="005.363.690/0001-67"/>
    <x v="91"/>
    <s v="EXCLUSAO  ANOT.INADIMPLENCIA"/>
    <d v="2024-12-03T00:00:00"/>
    <x v="15"/>
    <x v="6"/>
    <x v="15"/>
    <x v="91"/>
    <n v="1"/>
    <n v="0"/>
  </r>
  <r>
    <s v="007.102.721/0001-51"/>
    <x v="44"/>
    <s v="INCLUSAO  ANOT.INADIMPLENCIA"/>
    <d v="2024-12-03T00:00:00"/>
    <x v="15"/>
    <x v="6"/>
    <x v="15"/>
    <x v="44"/>
    <n v="0"/>
    <n v="1"/>
  </r>
  <r>
    <s v="007.561.436/0001-07"/>
    <x v="34"/>
    <s v="EXCLUSAO  ANOT.INADIMPLENCIA"/>
    <d v="2024-12-03T00:00:00"/>
    <x v="15"/>
    <x v="6"/>
    <x v="15"/>
    <x v="34"/>
    <n v="1"/>
    <n v="0"/>
  </r>
  <r>
    <s v="019.450.138/0001-10"/>
    <x v="71"/>
    <s v="EXCLUSAO  ANOT.INADIMPLENCIA"/>
    <d v="2024-12-03T00:00:00"/>
    <x v="22"/>
    <x v="6"/>
    <x v="22"/>
    <x v="71"/>
    <n v="1"/>
    <n v="0"/>
  </r>
  <r>
    <s v="035.165.246/0001-06"/>
    <x v="105"/>
    <s v="INCLUSAO  ANOT.INADIMPLENCIA"/>
    <d v="2024-12-03T00:00:00"/>
    <x v="4"/>
    <x v="6"/>
    <x v="4"/>
    <x v="105"/>
    <n v="0"/>
    <n v="1"/>
  </r>
  <r>
    <s v="007.906.793/0001-51"/>
    <x v="95"/>
    <s v="INCLUSAO  ANOT.INADIMPLENCIA"/>
    <d v="2024-12-03T00:00:00"/>
    <x v="6"/>
    <x v="6"/>
    <x v="6"/>
    <x v="95"/>
    <n v="0"/>
    <n v="1"/>
  </r>
  <r>
    <s v="046.140.062/0001-08"/>
    <x v="69"/>
    <s v="INCLUSAO  ANOT.INADIMPLENCIA"/>
    <d v="2024-12-03T00:00:00"/>
    <x v="6"/>
    <x v="6"/>
    <x v="6"/>
    <x v="69"/>
    <n v="0"/>
    <n v="1"/>
  </r>
  <r>
    <s v="036.906.058/0001-46"/>
    <x v="76"/>
    <s v="INCLUSAO  ANOT.INADIMPLENCIA"/>
    <d v="2024-12-03T00:00:00"/>
    <x v="6"/>
    <x v="6"/>
    <x v="6"/>
    <x v="76"/>
    <n v="0"/>
    <n v="1"/>
  </r>
  <r>
    <s v="006.236.494/0001-94"/>
    <x v="62"/>
    <s v="EXCLUSAO  ANOT.INADIMPLENCIA"/>
    <d v="2024-12-03T00:00:00"/>
    <x v="7"/>
    <x v="6"/>
    <x v="7"/>
    <x v="62"/>
    <n v="1"/>
    <n v="0"/>
  </r>
  <r>
    <s v="013.746.252/0001-06"/>
    <x v="15"/>
    <s v="INCLUSAO  ANOT.INADIMPLENCIA"/>
    <d v="2024-12-03T00:00:00"/>
    <x v="7"/>
    <x v="6"/>
    <x v="7"/>
    <x v="15"/>
    <n v="0"/>
    <n v="1"/>
  </r>
  <r>
    <s v="014.514.481/0001-68"/>
    <x v="74"/>
    <s v="INCLUSAO  ANOT.INADIMPLENCIA"/>
    <d v="2024-12-03T00:00:00"/>
    <x v="11"/>
    <x v="6"/>
    <x v="11"/>
    <x v="74"/>
    <n v="0"/>
    <n v="1"/>
  </r>
  <r>
    <s v="046.700.220/0001-29"/>
    <x v="46"/>
    <s v="INCLUSAO  ANOT.INADIMPLENCIA"/>
    <d v="2024-12-03T00:00:00"/>
    <x v="11"/>
    <x v="6"/>
    <x v="11"/>
    <x v="46"/>
    <n v="0"/>
    <n v="1"/>
  </r>
  <r>
    <s v="002.534.653/0001-86"/>
    <x v="106"/>
    <s v="INCLUSAO  ANOT.INADIMPLENCIA"/>
    <d v="2024-12-03T00:00:00"/>
    <x v="16"/>
    <x v="6"/>
    <x v="16"/>
    <x v="106"/>
    <n v="0"/>
    <n v="1"/>
  </r>
  <r>
    <s v="016.772.642/0001-49"/>
    <x v="70"/>
    <s v="INCLUSAO  ANOT.INADIMPLENCIA"/>
    <d v="2024-12-04T00:00:00"/>
    <x v="0"/>
    <x v="6"/>
    <x v="0"/>
    <x v="70"/>
    <n v="0"/>
    <n v="1"/>
  </r>
  <r>
    <s v="023.911.356/0001-82"/>
    <x v="55"/>
    <s v="INCLUSAO  ANOT.INADIMPLENCIA"/>
    <d v="2024-12-04T00:00:00"/>
    <x v="0"/>
    <x v="6"/>
    <x v="0"/>
    <x v="55"/>
    <n v="0"/>
    <n v="1"/>
  </r>
  <r>
    <s v="021.734.108/0001-88"/>
    <x v="41"/>
    <s v="INCLUSAO  ANOT.INADIMPLENCIA"/>
    <d v="2024-12-04T00:00:00"/>
    <x v="13"/>
    <x v="6"/>
    <x v="13"/>
    <x v="41"/>
    <n v="0"/>
    <n v="1"/>
  </r>
  <r>
    <s v="004.126.524/0001-84"/>
    <x v="49"/>
    <s v="INCLUSAO  ANOT.INADIMPLENCIA"/>
    <d v="2024-12-04T00:00:00"/>
    <x v="13"/>
    <x v="6"/>
    <x v="13"/>
    <x v="49"/>
    <n v="0"/>
    <n v="1"/>
  </r>
  <r>
    <s v="020.066.300/0001-80"/>
    <x v="2"/>
    <s v="INCL/EXCL ANOT.INADIMPLENCIA"/>
    <d v="2024-12-04T00:00:00"/>
    <x v="1"/>
    <x v="6"/>
    <x v="1"/>
    <x v="2"/>
    <n v="0"/>
    <n v="0"/>
  </r>
  <r>
    <s v="007.102.721/0001-51"/>
    <x v="44"/>
    <s v="EXCLUSAO  ANOT.INADIMPLENCIA"/>
    <d v="2024-12-04T00:00:00"/>
    <x v="15"/>
    <x v="6"/>
    <x v="15"/>
    <x v="44"/>
    <n v="1"/>
    <n v="0"/>
  </r>
  <r>
    <s v="035.165.246/0001-06"/>
    <x v="105"/>
    <s v="INCL/EXCL ANOT.INADIMPLENCIA"/>
    <d v="2024-12-04T00:00:00"/>
    <x v="4"/>
    <x v="6"/>
    <x v="4"/>
    <x v="105"/>
    <n v="0"/>
    <n v="0"/>
  </r>
  <r>
    <s v="000.987.236/0001-63"/>
    <x v="99"/>
    <s v="INCLUSAO  ANOT.INADIMPLENCIA"/>
    <d v="2024-12-04T00:00:00"/>
    <x v="6"/>
    <x v="6"/>
    <x v="6"/>
    <x v="99"/>
    <n v="0"/>
    <n v="1"/>
  </r>
  <r>
    <s v="007.906.793/0001-51"/>
    <x v="95"/>
    <s v="INCLUSAO  ANOT.INADIMPLENCIA"/>
    <d v="2024-12-04T00:00:00"/>
    <x v="6"/>
    <x v="6"/>
    <x v="6"/>
    <x v="95"/>
    <n v="0"/>
    <n v="1"/>
  </r>
  <r>
    <s v="014.763.606/0001-93"/>
    <x v="10"/>
    <s v="INCLUSAO  ANOT.INADIMPLENCIA"/>
    <d v="2024-12-04T00:00:00"/>
    <x v="6"/>
    <x v="6"/>
    <x v="6"/>
    <x v="10"/>
    <n v="0"/>
    <n v="1"/>
  </r>
  <r>
    <s v="046.140.062/0001-08"/>
    <x v="69"/>
    <s v="INCLUSAO  ANOT.INADIMPLENCIA"/>
    <d v="2024-12-04T00:00:00"/>
    <x v="6"/>
    <x v="6"/>
    <x v="6"/>
    <x v="69"/>
    <n v="0"/>
    <n v="1"/>
  </r>
  <r>
    <s v="006.236.494/0001-94"/>
    <x v="62"/>
    <s v="INCL/EXCL ANOT.INADIMPLENCIA"/>
    <d v="2024-12-04T00:00:00"/>
    <x v="7"/>
    <x v="6"/>
    <x v="7"/>
    <x v="62"/>
    <n v="0"/>
    <n v="0"/>
  </r>
  <r>
    <s v="016.956.677/0001-38"/>
    <x v="93"/>
    <s v="INCLUSAO  ANOT.INADIMPLENCIA"/>
    <d v="2024-12-04T00:00:00"/>
    <x v="7"/>
    <x v="6"/>
    <x v="7"/>
    <x v="93"/>
    <n v="0"/>
    <n v="1"/>
  </r>
  <r>
    <s v="013.746.252/0001-06"/>
    <x v="15"/>
    <s v="INCLUSAO  ANOT.INADIMPLENCIA"/>
    <d v="2024-12-04T00:00:00"/>
    <x v="7"/>
    <x v="6"/>
    <x v="7"/>
    <x v="15"/>
    <n v="0"/>
    <n v="1"/>
  </r>
  <r>
    <s v="023.605.544/0001-82"/>
    <x v="21"/>
    <s v="EXCLUSAO  ANOT.INADIMPLENCIA"/>
    <d v="2024-12-04T00:00:00"/>
    <x v="11"/>
    <x v="6"/>
    <x v="11"/>
    <x v="21"/>
    <n v="1"/>
    <n v="0"/>
  </r>
  <r>
    <s v="050.721.360/0001-50"/>
    <x v="110"/>
    <s v="INCLUSAO  ANOT.INADIMPLENCIA"/>
    <d v="2024-12-04T00:00:00"/>
    <x v="11"/>
    <x v="6"/>
    <x v="11"/>
    <x v="110"/>
    <n v="0"/>
    <n v="1"/>
  </r>
  <r>
    <s v="046.700.220/0001-29"/>
    <x v="46"/>
    <s v="INCLUSAO  ANOT.INADIMPLENCIA"/>
    <d v="2024-12-04T00:00:00"/>
    <x v="11"/>
    <x v="6"/>
    <x v="11"/>
    <x v="46"/>
    <n v="0"/>
    <n v="1"/>
  </r>
  <r>
    <s v="042.276.517/0001-58"/>
    <x v="108"/>
    <s v="EXCLUSAO  ANOT.INADIMPLENCIA"/>
    <d v="2024-12-04T00:00:00"/>
    <x v="16"/>
    <x v="6"/>
    <x v="16"/>
    <x v="108"/>
    <n v="1"/>
    <n v="0"/>
  </r>
  <r>
    <s v="023.911.356/0001-82"/>
    <x v="55"/>
    <s v="EXCLUSAO  ANOT.INADIMPLENCIA"/>
    <d v="2024-12-05T00:00:00"/>
    <x v="0"/>
    <x v="6"/>
    <x v="0"/>
    <x v="55"/>
    <n v="1"/>
    <n v="0"/>
  </r>
  <r>
    <s v="004.126.524/0001-84"/>
    <x v="49"/>
    <s v="EXCLUSAO  ANOT.INADIMPLENCIA"/>
    <d v="2024-12-05T00:00:00"/>
    <x v="13"/>
    <x v="6"/>
    <x v="13"/>
    <x v="49"/>
    <n v="1"/>
    <n v="0"/>
  </r>
  <r>
    <s v="020.066.300/0001-80"/>
    <x v="2"/>
    <s v="INCL/EXCL ANOT.INADIMPLENCIA"/>
    <d v="2024-12-05T00:00:00"/>
    <x v="1"/>
    <x v="6"/>
    <x v="1"/>
    <x v="2"/>
    <n v="0"/>
    <n v="0"/>
  </r>
  <r>
    <s v="003.590.360/0001-89"/>
    <x v="3"/>
    <s v="EXCLUSAO  ANOT.INADIMPLENCIA"/>
    <d v="2024-12-05T00:00:00"/>
    <x v="1"/>
    <x v="6"/>
    <x v="1"/>
    <x v="3"/>
    <n v="1"/>
    <n v="0"/>
  </r>
  <r>
    <s v="007.102.721/0001-51"/>
    <x v="44"/>
    <s v="INCLUSAO  ANOT.INADIMPLENCIA"/>
    <d v="2024-12-05T00:00:00"/>
    <x v="15"/>
    <x v="6"/>
    <x v="15"/>
    <x v="44"/>
    <n v="0"/>
    <n v="1"/>
  </r>
  <r>
    <s v="007.561.436/0001-07"/>
    <x v="34"/>
    <s v="EXCLUSAO  ANOT.INADIMPLENCIA"/>
    <d v="2024-12-05T00:00:00"/>
    <x v="15"/>
    <x v="6"/>
    <x v="15"/>
    <x v="34"/>
    <n v="1"/>
    <n v="0"/>
  </r>
  <r>
    <s v="025.825.654/0001-85"/>
    <x v="7"/>
    <s v="INCLUSAO  ANOT.INADIMPLENCIA"/>
    <d v="2024-12-05T00:00:00"/>
    <x v="4"/>
    <x v="6"/>
    <x v="4"/>
    <x v="7"/>
    <n v="0"/>
    <n v="1"/>
  </r>
  <r>
    <s v="035.165.246/0001-06"/>
    <x v="105"/>
    <s v="INCLUSAO  ANOT.INADIMPLENCIA"/>
    <d v="2024-12-05T00:00:00"/>
    <x v="4"/>
    <x v="6"/>
    <x v="4"/>
    <x v="105"/>
    <n v="0"/>
    <n v="1"/>
  </r>
  <r>
    <s v="014.763.606/0001-93"/>
    <x v="10"/>
    <s v="INCLUSAO  ANOT.INADIMPLENCIA"/>
    <d v="2024-12-05T00:00:00"/>
    <x v="6"/>
    <x v="6"/>
    <x v="6"/>
    <x v="10"/>
    <n v="0"/>
    <n v="1"/>
  </r>
  <r>
    <s v="006.236.494/0001-94"/>
    <x v="62"/>
    <s v="EXCLUSAO  ANOT.INADIMPLENCIA"/>
    <d v="2024-12-05T00:00:00"/>
    <x v="7"/>
    <x v="6"/>
    <x v="7"/>
    <x v="62"/>
    <n v="1"/>
    <n v="0"/>
  </r>
  <r>
    <s v="013.746.252/0001-06"/>
    <x v="15"/>
    <s v="EXCLUSAO  ANOT.INADIMPLENCIA"/>
    <d v="2024-12-05T00:00:00"/>
    <x v="7"/>
    <x v="6"/>
    <x v="7"/>
    <x v="15"/>
    <n v="1"/>
    <n v="0"/>
  </r>
  <r>
    <s v="023.605.544/0001-82"/>
    <x v="21"/>
    <s v="INCLUSAO  ANOT.INADIMPLENCIA"/>
    <d v="2024-12-05T00:00:00"/>
    <x v="11"/>
    <x v="6"/>
    <x v="11"/>
    <x v="21"/>
    <n v="0"/>
    <n v="1"/>
  </r>
  <r>
    <s v="046.700.220/0001-29"/>
    <x v="46"/>
    <s v="EXCLUSAO  ANOT.INADIMPLENCIA"/>
    <d v="2024-12-05T00:00:00"/>
    <x v="11"/>
    <x v="6"/>
    <x v="11"/>
    <x v="46"/>
    <n v="1"/>
    <n v="0"/>
  </r>
  <r>
    <s v="020.066.300/0001-80"/>
    <x v="2"/>
    <s v="INCLUSAO  ANOT.INADIMPLENCIA"/>
    <d v="2024-12-06T00:00:00"/>
    <x v="1"/>
    <x v="6"/>
    <x v="1"/>
    <x v="2"/>
    <n v="0"/>
    <n v="1"/>
  </r>
  <r>
    <s v="016.757.535/0001-41"/>
    <x v="29"/>
    <s v="EXCLUSAO  ANOT.INADIMPLENCIA"/>
    <d v="2024-12-06T00:00:00"/>
    <x v="14"/>
    <x v="6"/>
    <x v="14"/>
    <x v="29"/>
    <n v="1"/>
    <n v="0"/>
  </r>
  <r>
    <s v="005.363.690/0001-67"/>
    <x v="91"/>
    <s v="INCLUSAO  ANOT.INADIMPLENCIA"/>
    <d v="2024-12-06T00:00:00"/>
    <x v="15"/>
    <x v="6"/>
    <x v="15"/>
    <x v="91"/>
    <n v="0"/>
    <n v="1"/>
  </r>
  <r>
    <s v="007.561.436/0001-07"/>
    <x v="34"/>
    <s v="EXCLUSAO  ANOT.INADIMPLENCIA"/>
    <d v="2024-12-06T00:00:00"/>
    <x v="15"/>
    <x v="6"/>
    <x v="15"/>
    <x v="34"/>
    <n v="1"/>
    <n v="0"/>
  </r>
  <r>
    <s v="025.825.654/0001-85"/>
    <x v="7"/>
    <s v="EXCLUSAO  ANOT.INADIMPLENCIA"/>
    <d v="2024-12-06T00:00:00"/>
    <x v="4"/>
    <x v="6"/>
    <x v="4"/>
    <x v="7"/>
    <n v="1"/>
    <n v="0"/>
  </r>
  <r>
    <s v="035.165.246/0001-06"/>
    <x v="105"/>
    <s v="INCLUSAO  ANOT.INADIMPLENCIA"/>
    <d v="2024-12-06T00:00:00"/>
    <x v="4"/>
    <x v="6"/>
    <x v="4"/>
    <x v="105"/>
    <n v="0"/>
    <n v="1"/>
  </r>
  <r>
    <s v="014.763.606/0001-93"/>
    <x v="10"/>
    <s v="INCLUSAO  ANOT.INADIMPLENCIA"/>
    <d v="2024-12-06T00:00:00"/>
    <x v="6"/>
    <x v="6"/>
    <x v="6"/>
    <x v="10"/>
    <n v="0"/>
    <n v="1"/>
  </r>
  <r>
    <s v="036.906.058/0001-46"/>
    <x v="76"/>
    <s v="INCLUSAO  ANOT.INADIMPLENCIA"/>
    <d v="2024-12-06T00:00:00"/>
    <x v="6"/>
    <x v="6"/>
    <x v="6"/>
    <x v="76"/>
    <n v="0"/>
    <n v="1"/>
  </r>
  <r>
    <s v="006.236.494/0001-94"/>
    <x v="62"/>
    <s v="EXCLUSAO  ANOT.INADIMPLENCIA"/>
    <d v="2024-12-06T00:00:00"/>
    <x v="7"/>
    <x v="6"/>
    <x v="7"/>
    <x v="62"/>
    <n v="1"/>
    <n v="0"/>
  </r>
  <r>
    <s v="013.746.252/0001-06"/>
    <x v="15"/>
    <s v="INCLUSAO  ANOT.INADIMPLENCIA"/>
    <d v="2024-12-06T00:00:00"/>
    <x v="7"/>
    <x v="6"/>
    <x v="7"/>
    <x v="15"/>
    <n v="0"/>
    <n v="1"/>
  </r>
  <r>
    <s v="002.534.653/0001-86"/>
    <x v="106"/>
    <s v="INCLUSAO  ANOT.INADIMPLENCIA"/>
    <d v="2024-12-06T00:00:00"/>
    <x v="16"/>
    <x v="6"/>
    <x v="16"/>
    <x v="106"/>
    <n v="0"/>
    <n v="1"/>
  </r>
  <r>
    <s v="035.475.312/0001-36"/>
    <x v="116"/>
    <s v="INCLUSAO  ANOT.INADIMPLENCIA"/>
    <d v="2024-12-07T00:00:00"/>
    <x v="0"/>
    <x v="6"/>
    <x v="0"/>
    <x v="116"/>
    <n v="0"/>
    <n v="1"/>
  </r>
  <r>
    <s v="023.911.356/0001-82"/>
    <x v="55"/>
    <s v="EXCLUSAO  ANOT.INADIMPLENCIA"/>
    <d v="2024-12-07T00:00:00"/>
    <x v="0"/>
    <x v="6"/>
    <x v="0"/>
    <x v="55"/>
    <n v="1"/>
    <n v="0"/>
  </r>
  <r>
    <s v="020.066.300/0001-80"/>
    <x v="2"/>
    <s v="INCL/EXCL ANOT.INADIMPLENCIA"/>
    <d v="2024-12-07T00:00:00"/>
    <x v="1"/>
    <x v="6"/>
    <x v="1"/>
    <x v="2"/>
    <n v="0"/>
    <n v="0"/>
  </r>
  <r>
    <s v="007.102.721/0001-51"/>
    <x v="44"/>
    <s v="EXCLUSAO  ANOT.INADIMPLENCIA"/>
    <d v="2024-12-07T00:00:00"/>
    <x v="15"/>
    <x v="6"/>
    <x v="15"/>
    <x v="44"/>
    <n v="1"/>
    <n v="0"/>
  </r>
  <r>
    <s v="035.165.246/0001-06"/>
    <x v="105"/>
    <s v="INCLUSAO  ANOT.INADIMPLENCIA"/>
    <d v="2024-12-07T00:00:00"/>
    <x v="4"/>
    <x v="6"/>
    <x v="4"/>
    <x v="105"/>
    <n v="0"/>
    <n v="1"/>
  </r>
  <r>
    <s v="007.906.793/0001-51"/>
    <x v="95"/>
    <s v="INCLUSAO  ANOT.INADIMPLENCIA"/>
    <d v="2024-12-07T00:00:00"/>
    <x v="6"/>
    <x v="6"/>
    <x v="6"/>
    <x v="95"/>
    <n v="0"/>
    <n v="1"/>
  </r>
  <r>
    <s v="014.763.606/0001-93"/>
    <x v="10"/>
    <s v="INCLUSAO  ANOT.INADIMPLENCIA"/>
    <d v="2024-12-07T00:00:00"/>
    <x v="6"/>
    <x v="6"/>
    <x v="6"/>
    <x v="10"/>
    <n v="0"/>
    <n v="1"/>
  </r>
  <r>
    <s v="046.140.062/0001-08"/>
    <x v="69"/>
    <s v="INCLUSAO  ANOT.INADIMPLENCIA"/>
    <d v="2024-12-07T00:00:00"/>
    <x v="6"/>
    <x v="6"/>
    <x v="6"/>
    <x v="69"/>
    <n v="0"/>
    <n v="1"/>
  </r>
  <r>
    <s v="006.236.494/0001-94"/>
    <x v="62"/>
    <s v="EXCLUSAO  ANOT.INADIMPLENCIA"/>
    <d v="2024-12-07T00:00:00"/>
    <x v="7"/>
    <x v="6"/>
    <x v="7"/>
    <x v="62"/>
    <n v="1"/>
    <n v="0"/>
  </r>
  <r>
    <s v="013.746.252/0001-06"/>
    <x v="15"/>
    <s v="INCLUSAO  ANOT.INADIMPLENCIA"/>
    <d v="2024-12-07T00:00:00"/>
    <x v="7"/>
    <x v="6"/>
    <x v="7"/>
    <x v="15"/>
    <n v="0"/>
    <n v="1"/>
  </r>
  <r>
    <s v="050.721.360/0001-50"/>
    <x v="110"/>
    <s v="EXCLUSAO  ANOT.INADIMPLENCIA"/>
    <d v="2024-12-07T00:00:00"/>
    <x v="11"/>
    <x v="6"/>
    <x v="11"/>
    <x v="110"/>
    <n v="1"/>
    <n v="0"/>
  </r>
  <r>
    <s v="071.350.797/0001-03"/>
    <x v="48"/>
    <s v="INCLUSAO  ANOT.INADIMPLENCIA"/>
    <d v="2024-12-07T00:00:00"/>
    <x v="16"/>
    <x v="6"/>
    <x v="16"/>
    <x v="48"/>
    <n v="0"/>
    <n v="1"/>
  </r>
  <r>
    <s v="016.772.642/0001-49"/>
    <x v="70"/>
    <s v="INCLUSAO  ANOT.INADIMPLENCIA"/>
    <d v="2024-12-10T00:00:00"/>
    <x v="0"/>
    <x v="6"/>
    <x v="0"/>
    <x v="70"/>
    <n v="0"/>
    <n v="1"/>
  </r>
  <r>
    <s v="023.911.356/0001-82"/>
    <x v="55"/>
    <s v="INCL/EXCL ANOT.INADIMPLENCIA"/>
    <d v="2024-12-10T00:00:00"/>
    <x v="0"/>
    <x v="6"/>
    <x v="0"/>
    <x v="55"/>
    <n v="0"/>
    <n v="0"/>
  </r>
  <r>
    <s v="021.734.108/0001-88"/>
    <x v="41"/>
    <s v="EXCLUSAO  ANOT.INADIMPLENCIA"/>
    <d v="2024-12-10T00:00:00"/>
    <x v="13"/>
    <x v="6"/>
    <x v="13"/>
    <x v="41"/>
    <n v="1"/>
    <n v="0"/>
  </r>
  <r>
    <s v="004.126.524/0001-84"/>
    <x v="49"/>
    <s v="INCLUSAO  ANOT.INADIMPLENCIA"/>
    <d v="2024-12-10T00:00:00"/>
    <x v="13"/>
    <x v="6"/>
    <x v="13"/>
    <x v="49"/>
    <n v="0"/>
    <n v="1"/>
  </r>
  <r>
    <s v="020.066.300/0001-80"/>
    <x v="2"/>
    <s v="INCLUSAO  ANOT.INADIMPLENCIA"/>
    <d v="2024-12-10T00:00:00"/>
    <x v="1"/>
    <x v="6"/>
    <x v="1"/>
    <x v="2"/>
    <n v="0"/>
    <n v="1"/>
  </r>
  <r>
    <s v="002.038.227/0001-51"/>
    <x v="56"/>
    <s v="INCLUSAO  ANOT.INADIMPLENCIA"/>
    <d v="2024-12-10T00:00:00"/>
    <x v="1"/>
    <x v="6"/>
    <x v="1"/>
    <x v="56"/>
    <n v="0"/>
    <n v="1"/>
  </r>
  <r>
    <s v="003.590.360/0001-89"/>
    <x v="3"/>
    <s v="INCLUSAO  ANOT.INADIMPLENCIA"/>
    <d v="2024-12-10T00:00:00"/>
    <x v="1"/>
    <x v="6"/>
    <x v="1"/>
    <x v="3"/>
    <n v="0"/>
    <n v="1"/>
  </r>
  <r>
    <s v="016.757.535/0001-41"/>
    <x v="29"/>
    <s v="INCLUSAO  ANOT.INADIMPLENCIA"/>
    <d v="2024-12-10T00:00:00"/>
    <x v="14"/>
    <x v="6"/>
    <x v="14"/>
    <x v="29"/>
    <n v="0"/>
    <n v="1"/>
  </r>
  <r>
    <s v="028.842.753/0001-63"/>
    <x v="50"/>
    <s v="INCLUSAO  ANOT.INADIMPLENCIA"/>
    <d v="2024-12-10T00:00:00"/>
    <x v="19"/>
    <x v="6"/>
    <x v="19"/>
    <x v="50"/>
    <n v="0"/>
    <n v="1"/>
  </r>
  <r>
    <s v="044.570.311/0001-61"/>
    <x v="117"/>
    <s v="INCLUSAO  ANOT.INADIMPLENCIA"/>
    <d v="2024-12-10T00:00:00"/>
    <x v="15"/>
    <x v="6"/>
    <x v="15"/>
    <x v="117"/>
    <n v="0"/>
    <n v="1"/>
  </r>
  <r>
    <s v="034.821.586/0001-77"/>
    <x v="38"/>
    <s v="EXCLUSAO  ANOT.INADIMPLENCIA"/>
    <d v="2024-12-10T00:00:00"/>
    <x v="4"/>
    <x v="6"/>
    <x v="4"/>
    <x v="38"/>
    <n v="1"/>
    <n v="0"/>
  </r>
  <r>
    <s v="035.165.246/0001-06"/>
    <x v="105"/>
    <s v="INCLUSAO  ANOT.INADIMPLENCIA"/>
    <d v="2024-12-10T00:00:00"/>
    <x v="4"/>
    <x v="6"/>
    <x v="4"/>
    <x v="105"/>
    <n v="0"/>
    <n v="1"/>
  </r>
  <r>
    <s v="007.906.793/0001-51"/>
    <x v="95"/>
    <s v="INCLUSAO  ANOT.INADIMPLENCIA"/>
    <d v="2024-12-10T00:00:00"/>
    <x v="6"/>
    <x v="6"/>
    <x v="6"/>
    <x v="95"/>
    <n v="0"/>
    <n v="1"/>
  </r>
  <r>
    <s v="014.763.606/0001-93"/>
    <x v="10"/>
    <s v="INCLUSAO  ANOT.INADIMPLENCIA"/>
    <d v="2024-12-10T00:00:00"/>
    <x v="6"/>
    <x v="6"/>
    <x v="6"/>
    <x v="10"/>
    <n v="0"/>
    <n v="1"/>
  </r>
  <r>
    <s v="036.906.058/0001-46"/>
    <x v="76"/>
    <s v="INCLUSAO  ANOT.INADIMPLENCIA"/>
    <d v="2024-12-10T00:00:00"/>
    <x v="6"/>
    <x v="6"/>
    <x v="6"/>
    <x v="76"/>
    <n v="0"/>
    <n v="1"/>
  </r>
  <r>
    <s v="006.236.494/0001-94"/>
    <x v="62"/>
    <s v="EXCLUSAO  ANOT.INADIMPLENCIA"/>
    <d v="2024-12-10T00:00:00"/>
    <x v="7"/>
    <x v="6"/>
    <x v="7"/>
    <x v="62"/>
    <n v="1"/>
    <n v="0"/>
  </r>
  <r>
    <s v="013.746.252/0001-06"/>
    <x v="15"/>
    <s v="INCLUSAO  ANOT.INADIMPLENCIA"/>
    <d v="2024-12-10T00:00:00"/>
    <x v="7"/>
    <x v="6"/>
    <x v="7"/>
    <x v="15"/>
    <n v="0"/>
    <n v="1"/>
  </r>
  <r>
    <s v="023.605.544/0001-82"/>
    <x v="21"/>
    <s v="INCLUSAO  ANOT.INADIMPLENCIA"/>
    <d v="2024-12-10T00:00:00"/>
    <x v="11"/>
    <x v="6"/>
    <x v="11"/>
    <x v="21"/>
    <n v="0"/>
    <n v="1"/>
  </r>
  <r>
    <s v="050.721.360/0001-50"/>
    <x v="110"/>
    <s v="INCLUSAO  ANOT.INADIMPLENCIA"/>
    <d v="2024-12-10T00:00:00"/>
    <x v="11"/>
    <x v="6"/>
    <x v="11"/>
    <x v="110"/>
    <n v="0"/>
    <n v="1"/>
  </r>
  <r>
    <s v="046.700.220/0001-29"/>
    <x v="46"/>
    <s v="INCLUSAO  ANOT.INADIMPLENCIA"/>
    <d v="2024-12-10T00:00:00"/>
    <x v="11"/>
    <x v="6"/>
    <x v="11"/>
    <x v="46"/>
    <n v="0"/>
    <n v="1"/>
  </r>
  <r>
    <s v="038.082.538/0001-65"/>
    <x v="80"/>
    <s v="INCLUSAO  ANOT.INADIMPLENCIA"/>
    <d v="2024-12-11T00:00:00"/>
    <x v="0"/>
    <x v="6"/>
    <x v="0"/>
    <x v="80"/>
    <n v="0"/>
    <n v="1"/>
  </r>
  <r>
    <s v="003.590.360/0001-89"/>
    <x v="3"/>
    <s v="EXCLUSAO  ANOT.INADIMPLENCIA"/>
    <d v="2024-12-11T00:00:00"/>
    <x v="1"/>
    <x v="6"/>
    <x v="1"/>
    <x v="3"/>
    <n v="1"/>
    <n v="0"/>
  </r>
  <r>
    <s v="007.102.721/0001-51"/>
    <x v="44"/>
    <s v="EXCLUSAO  ANOT.INADIMPLENCIA"/>
    <d v="2024-12-11T00:00:00"/>
    <x v="15"/>
    <x v="6"/>
    <x v="15"/>
    <x v="44"/>
    <n v="1"/>
    <n v="0"/>
  </r>
  <r>
    <s v="019.450.138/0001-10"/>
    <x v="71"/>
    <s v="INCLUSAO  ANOT.INADIMPLENCIA"/>
    <d v="2024-12-11T00:00:00"/>
    <x v="22"/>
    <x v="6"/>
    <x v="22"/>
    <x v="71"/>
    <n v="0"/>
    <n v="1"/>
  </r>
  <r>
    <s v="034.821.586/0001-77"/>
    <x v="38"/>
    <s v="INCLUSAO  ANOT.INADIMPLENCIA"/>
    <d v="2024-12-11T00:00:00"/>
    <x v="4"/>
    <x v="6"/>
    <x v="4"/>
    <x v="38"/>
    <n v="0"/>
    <n v="1"/>
  </r>
  <r>
    <s v="035.165.246/0001-06"/>
    <x v="105"/>
    <s v="INCLUSAO  ANOT.INADIMPLENCIA"/>
    <d v="2024-12-11T00:00:00"/>
    <x v="4"/>
    <x v="6"/>
    <x v="4"/>
    <x v="105"/>
    <n v="0"/>
    <n v="1"/>
  </r>
  <r>
    <s v="088.978.606/0001-47"/>
    <x v="115"/>
    <s v="INCLUSAO  ANOT.INADIMPLENCIA"/>
    <d v="2024-12-11T00:00:00"/>
    <x v="6"/>
    <x v="6"/>
    <x v="6"/>
    <x v="115"/>
    <n v="0"/>
    <n v="1"/>
  </r>
  <r>
    <s v="046.140.062/0001-08"/>
    <x v="69"/>
    <s v="INCLUSAO  ANOT.INADIMPLENCIA"/>
    <d v="2024-12-11T00:00:00"/>
    <x v="6"/>
    <x v="6"/>
    <x v="6"/>
    <x v="69"/>
    <n v="0"/>
    <n v="1"/>
  </r>
  <r>
    <s v="006.236.494/0001-94"/>
    <x v="62"/>
    <s v="EXCLUSAO  ANOT.INADIMPLENCIA"/>
    <d v="2024-12-11T00:00:00"/>
    <x v="7"/>
    <x v="6"/>
    <x v="7"/>
    <x v="62"/>
    <n v="1"/>
    <n v="0"/>
  </r>
  <r>
    <s v="013.746.252/0001-06"/>
    <x v="15"/>
    <s v="INCL/EXCL ANOT.INADIMPLENCIA"/>
    <d v="2024-12-11T00:00:00"/>
    <x v="7"/>
    <x v="6"/>
    <x v="7"/>
    <x v="15"/>
    <n v="0"/>
    <n v="0"/>
  </r>
  <r>
    <s v="026.988.940/0001-24"/>
    <x v="113"/>
    <s v="INCLUSAO  ANOT.INADIMPLENCIA"/>
    <d v="2024-12-11T00:00:00"/>
    <x v="11"/>
    <x v="6"/>
    <x v="11"/>
    <x v="113"/>
    <n v="0"/>
    <n v="1"/>
  </r>
  <r>
    <s v="023.605.544/0001-82"/>
    <x v="21"/>
    <s v="INCLUSAO  ANOT.INADIMPLENCIA"/>
    <d v="2024-12-11T00:00:00"/>
    <x v="11"/>
    <x v="6"/>
    <x v="11"/>
    <x v="21"/>
    <n v="0"/>
    <n v="1"/>
  </r>
  <r>
    <s v="050.721.360/0001-50"/>
    <x v="110"/>
    <s v="INCL/EXCL ANOT.INADIMPLENCIA"/>
    <d v="2024-12-11T00:00:00"/>
    <x v="11"/>
    <x v="6"/>
    <x v="11"/>
    <x v="110"/>
    <n v="0"/>
    <n v="0"/>
  </r>
  <r>
    <s v="071.350.797/0001-03"/>
    <x v="48"/>
    <s v="INCLUSAO  ANOT.INADIMPLENCIA"/>
    <d v="2024-12-11T00:00:00"/>
    <x v="16"/>
    <x v="6"/>
    <x v="16"/>
    <x v="48"/>
    <n v="0"/>
    <n v="1"/>
  </r>
  <r>
    <s v="042.276.517/0001-58"/>
    <x v="108"/>
    <s v="INCLUSAO  ANOT.INADIMPLENCIA"/>
    <d v="2024-12-11T00:00:00"/>
    <x v="16"/>
    <x v="6"/>
    <x v="16"/>
    <x v="108"/>
    <n v="0"/>
    <n v="1"/>
  </r>
  <r>
    <s v="038.634.242/0001-00"/>
    <x v="92"/>
    <s v="EXCLUSAO  ANOT.INADIMPLENCIA"/>
    <d v="2024-12-11T00:00:00"/>
    <x v="16"/>
    <x v="6"/>
    <x v="16"/>
    <x v="92"/>
    <n v="1"/>
    <n v="0"/>
  </r>
  <r>
    <s v="008.785.522/0001-58"/>
    <x v="17"/>
    <s v="INCLUSAO  ANOT.INADIMPLENCIA"/>
    <d v="2024-12-11T00:00:00"/>
    <x v="9"/>
    <x v="6"/>
    <x v="9"/>
    <x v="17"/>
    <n v="0"/>
    <n v="1"/>
  </r>
  <r>
    <s v="020.066.300/0001-80"/>
    <x v="2"/>
    <s v="INCLUSAO  ANOT.INADIMPLENCIA"/>
    <d v="2024-12-12T00:00:00"/>
    <x v="1"/>
    <x v="6"/>
    <x v="1"/>
    <x v="2"/>
    <n v="0"/>
    <n v="1"/>
  </r>
  <r>
    <s v="016.757.535/0001-41"/>
    <x v="29"/>
    <s v="EXCLUSAO  ANOT.INADIMPLENCIA"/>
    <d v="2024-12-12T00:00:00"/>
    <x v="14"/>
    <x v="6"/>
    <x v="14"/>
    <x v="29"/>
    <n v="1"/>
    <n v="0"/>
  </r>
  <r>
    <s v="019.450.138/0001-10"/>
    <x v="71"/>
    <s v="INCLUSAO  ANOT.INADIMPLENCIA"/>
    <d v="2024-12-12T00:00:00"/>
    <x v="22"/>
    <x v="6"/>
    <x v="22"/>
    <x v="71"/>
    <n v="0"/>
    <n v="1"/>
  </r>
  <r>
    <s v="035.165.246/0001-06"/>
    <x v="105"/>
    <s v="INCLUSAO  ANOT.INADIMPLENCIA"/>
    <d v="2024-12-12T00:00:00"/>
    <x v="4"/>
    <x v="6"/>
    <x v="4"/>
    <x v="105"/>
    <n v="0"/>
    <n v="1"/>
  </r>
  <r>
    <s v="014.763.606/0001-93"/>
    <x v="10"/>
    <s v="INCLUSAO  ANOT.INADIMPLENCIA"/>
    <d v="2024-12-12T00:00:00"/>
    <x v="6"/>
    <x v="6"/>
    <x v="6"/>
    <x v="10"/>
    <n v="0"/>
    <n v="1"/>
  </r>
  <r>
    <s v="006.236.494/0001-94"/>
    <x v="62"/>
    <s v="EXCLUSAO  ANOT.INADIMPLENCIA"/>
    <d v="2024-12-12T00:00:00"/>
    <x v="7"/>
    <x v="6"/>
    <x v="7"/>
    <x v="62"/>
    <n v="1"/>
    <n v="0"/>
  </r>
  <r>
    <s v="013.746.252/0001-06"/>
    <x v="15"/>
    <s v="INCLUSAO  ANOT.INADIMPLENCIA"/>
    <d v="2024-12-12T00:00:00"/>
    <x v="7"/>
    <x v="6"/>
    <x v="7"/>
    <x v="15"/>
    <n v="0"/>
    <n v="1"/>
  </r>
  <r>
    <s v="045.694.996/0001-10"/>
    <x v="118"/>
    <s v="INCLUSAO  ANOT.INADIMPLENCIA"/>
    <d v="2024-12-12T00:00:00"/>
    <x v="16"/>
    <x v="6"/>
    <x v="16"/>
    <x v="118"/>
    <n v="0"/>
    <n v="1"/>
  </r>
  <r>
    <s v="043.515.558/0001-12"/>
    <x v="22"/>
    <s v="INCLUSAO  ANOT.INADIMPLENCIA"/>
    <d v="2024-12-12T00:00:00"/>
    <x v="12"/>
    <x v="6"/>
    <x v="12"/>
    <x v="22"/>
    <n v="0"/>
    <n v="1"/>
  </r>
  <r>
    <s v="020.066.300/0001-80"/>
    <x v="2"/>
    <s v="INCLUSAO  ANOT.INADIMPLENCIA"/>
    <d v="2024-12-13T00:00:00"/>
    <x v="1"/>
    <x v="6"/>
    <x v="1"/>
    <x v="2"/>
    <n v="0"/>
    <n v="1"/>
  </r>
  <r>
    <s v="035.165.246/0001-06"/>
    <x v="105"/>
    <s v="INCLUSAO  ANOT.INADIMPLENCIA"/>
    <d v="2024-12-13T00:00:00"/>
    <x v="4"/>
    <x v="6"/>
    <x v="4"/>
    <x v="105"/>
    <n v="0"/>
    <n v="1"/>
  </r>
  <r>
    <s v="014.763.606/0001-93"/>
    <x v="10"/>
    <s v="INCLUSAO  ANOT.INADIMPLENCIA"/>
    <d v="2024-12-13T00:00:00"/>
    <x v="6"/>
    <x v="6"/>
    <x v="6"/>
    <x v="10"/>
    <n v="0"/>
    <n v="1"/>
  </r>
  <r>
    <s v="046.140.062/0001-08"/>
    <x v="69"/>
    <s v="INCLUSAO  ANOT.INADIMPLENCIA"/>
    <d v="2024-12-13T00:00:00"/>
    <x v="6"/>
    <x v="6"/>
    <x v="6"/>
    <x v="69"/>
    <n v="0"/>
    <n v="1"/>
  </r>
  <r>
    <s v="006.236.494/0001-94"/>
    <x v="62"/>
    <s v="EXCLUSAO  ANOT.INADIMPLENCIA"/>
    <d v="2024-12-13T00:00:00"/>
    <x v="7"/>
    <x v="6"/>
    <x v="7"/>
    <x v="62"/>
    <n v="1"/>
    <n v="0"/>
  </r>
  <r>
    <s v="013.746.252/0001-06"/>
    <x v="15"/>
    <s v="INCLUSAO  ANOT.INADIMPLENCIA"/>
    <d v="2024-12-13T00:00:00"/>
    <x v="7"/>
    <x v="6"/>
    <x v="7"/>
    <x v="15"/>
    <n v="0"/>
    <n v="1"/>
  </r>
  <r>
    <s v="026.988.940/0001-24"/>
    <x v="113"/>
    <s v="EXCLUSAO  ANOT.INADIMPLENCIA"/>
    <d v="2024-12-13T00:00:00"/>
    <x v="11"/>
    <x v="6"/>
    <x v="11"/>
    <x v="113"/>
    <n v="1"/>
    <n v="0"/>
  </r>
  <r>
    <s v="050.721.360/0001-50"/>
    <x v="110"/>
    <s v="EXCLUSAO  ANOT.INADIMPLENCIA"/>
    <d v="2024-12-13T00:00:00"/>
    <x v="11"/>
    <x v="6"/>
    <x v="11"/>
    <x v="110"/>
    <n v="1"/>
    <n v="0"/>
  </r>
  <r>
    <s v="071.350.797/0001-03"/>
    <x v="48"/>
    <s v="INCL/EXCL ANOT.INADIMPLENCIA"/>
    <d v="2024-12-13T00:00:00"/>
    <x v="16"/>
    <x v="6"/>
    <x v="16"/>
    <x v="48"/>
    <n v="0"/>
    <n v="0"/>
  </r>
  <r>
    <s v="002.534.653/0001-86"/>
    <x v="106"/>
    <s v="EXCLUSAO  ANOT.INADIMPLENCIA"/>
    <d v="2024-12-13T00:00:00"/>
    <x v="16"/>
    <x v="6"/>
    <x v="16"/>
    <x v="106"/>
    <n v="1"/>
    <n v="0"/>
  </r>
  <r>
    <s v="023.909.177/0001-00"/>
    <x v="103"/>
    <s v="INCLUSAO  ANOT.INADIMPLENCIA"/>
    <d v="2024-12-13T00:00:00"/>
    <x v="9"/>
    <x v="6"/>
    <x v="9"/>
    <x v="103"/>
    <n v="0"/>
    <n v="1"/>
  </r>
  <r>
    <s v="020.066.300/0001-80"/>
    <x v="2"/>
    <s v="INCLUSAO  ANOT.INADIMPLENCIA"/>
    <d v="2024-12-14T00:00:00"/>
    <x v="1"/>
    <x v="6"/>
    <x v="1"/>
    <x v="2"/>
    <n v="0"/>
    <n v="1"/>
  </r>
  <r>
    <s v="016.757.535/0001-41"/>
    <x v="29"/>
    <s v="EXCLUSAO  ANOT.INADIMPLENCIA"/>
    <d v="2024-12-14T00:00:00"/>
    <x v="14"/>
    <x v="6"/>
    <x v="14"/>
    <x v="29"/>
    <n v="1"/>
    <n v="0"/>
  </r>
  <r>
    <s v="044.570.311/0001-61"/>
    <x v="117"/>
    <s v="INCLUSAO  ANOT.INADIMPLENCIA"/>
    <d v="2024-12-14T00:00:00"/>
    <x v="15"/>
    <x v="6"/>
    <x v="15"/>
    <x v="117"/>
    <n v="0"/>
    <n v="1"/>
  </r>
  <r>
    <s v="035.165.246/0001-06"/>
    <x v="105"/>
    <s v="INCL/EXCL ANOT.INADIMPLENCIA"/>
    <d v="2024-12-14T00:00:00"/>
    <x v="4"/>
    <x v="6"/>
    <x v="4"/>
    <x v="105"/>
    <n v="0"/>
    <n v="0"/>
  </r>
  <r>
    <s v="007.906.793/0001-51"/>
    <x v="95"/>
    <s v="INCLUSAO  ANOT.INADIMPLENCIA"/>
    <d v="2024-12-14T00:00:00"/>
    <x v="6"/>
    <x v="6"/>
    <x v="6"/>
    <x v="95"/>
    <n v="0"/>
    <n v="1"/>
  </r>
  <r>
    <s v="014.763.606/0001-93"/>
    <x v="10"/>
    <s v="EXCLUSAO  ANOT.INADIMPLENCIA"/>
    <d v="2024-12-14T00:00:00"/>
    <x v="6"/>
    <x v="6"/>
    <x v="6"/>
    <x v="10"/>
    <n v="1"/>
    <n v="0"/>
  </r>
  <r>
    <s v="046.140.062/0001-08"/>
    <x v="69"/>
    <s v="INCLUSAO  ANOT.INADIMPLENCIA"/>
    <d v="2024-12-14T00:00:00"/>
    <x v="6"/>
    <x v="6"/>
    <x v="6"/>
    <x v="69"/>
    <n v="0"/>
    <n v="1"/>
  </r>
  <r>
    <s v="036.906.058/0001-46"/>
    <x v="76"/>
    <s v="INCLUSAO  ANOT.INADIMPLENCIA"/>
    <d v="2024-12-14T00:00:00"/>
    <x v="6"/>
    <x v="6"/>
    <x v="6"/>
    <x v="76"/>
    <n v="0"/>
    <n v="1"/>
  </r>
  <r>
    <s v="006.236.494/0001-94"/>
    <x v="62"/>
    <s v="EXCLUSAO  ANOT.INADIMPLENCIA"/>
    <d v="2024-12-14T00:00:00"/>
    <x v="7"/>
    <x v="6"/>
    <x v="7"/>
    <x v="62"/>
    <n v="1"/>
    <n v="0"/>
  </r>
  <r>
    <s v="013.746.252/0001-06"/>
    <x v="15"/>
    <s v="INCLUSAO  ANOT.INADIMPLENCIA"/>
    <d v="2024-12-14T00:00:00"/>
    <x v="7"/>
    <x v="6"/>
    <x v="7"/>
    <x v="15"/>
    <n v="0"/>
    <n v="1"/>
  </r>
  <r>
    <s v="046.700.220/0001-29"/>
    <x v="46"/>
    <s v="INCLUSAO  ANOT.INADIMPLENCIA"/>
    <d v="2024-12-14T00:00:00"/>
    <x v="11"/>
    <x v="6"/>
    <x v="11"/>
    <x v="46"/>
    <n v="0"/>
    <n v="1"/>
  </r>
  <r>
    <s v="055.979.736/0001-45"/>
    <x v="64"/>
    <s v="EXCLUSAO  ANOT.INADIMPLENCIA"/>
    <d v="2024-12-14T00:00:00"/>
    <x v="20"/>
    <x v="6"/>
    <x v="20"/>
    <x v="64"/>
    <n v="1"/>
    <n v="0"/>
  </r>
  <r>
    <s v="023.911.356/0001-82"/>
    <x v="55"/>
    <s v="INCL/EXCL ANOT.INADIMPLENCIA"/>
    <d v="2024-12-17T00:00:00"/>
    <x v="0"/>
    <x v="7"/>
    <x v="0"/>
    <x v="55"/>
    <n v="0"/>
    <n v="0"/>
  </r>
  <r>
    <s v="021.734.108/0001-88"/>
    <x v="41"/>
    <s v="INCLUSAO  ANOT.INADIMPLENCIA"/>
    <d v="2024-12-17T00:00:00"/>
    <x v="13"/>
    <x v="7"/>
    <x v="13"/>
    <x v="41"/>
    <n v="0"/>
    <n v="1"/>
  </r>
  <r>
    <s v="004.126.524/0001-84"/>
    <x v="49"/>
    <s v="INCL/EXCL ANOT.INADIMPLENCIA"/>
    <d v="2024-12-17T00:00:00"/>
    <x v="13"/>
    <x v="7"/>
    <x v="13"/>
    <x v="49"/>
    <n v="0"/>
    <n v="0"/>
  </r>
  <r>
    <s v="020.066.300/0001-80"/>
    <x v="2"/>
    <s v="INCLUSAO  ANOT.INADIMPLENCIA"/>
    <d v="2024-12-17T00:00:00"/>
    <x v="1"/>
    <x v="7"/>
    <x v="1"/>
    <x v="2"/>
    <n v="0"/>
    <n v="1"/>
  </r>
  <r>
    <s v="012.520.791/0001-60"/>
    <x v="4"/>
    <s v="INCLUSAO  ANOT.INADIMPLENCIA"/>
    <d v="2024-12-17T00:00:00"/>
    <x v="1"/>
    <x v="7"/>
    <x v="1"/>
    <x v="4"/>
    <n v="0"/>
    <n v="1"/>
  </r>
  <r>
    <s v="016.757.535/0001-41"/>
    <x v="29"/>
    <s v="INCLUSAO  ANOT.INADIMPLENCIA"/>
    <d v="2024-12-17T00:00:00"/>
    <x v="14"/>
    <x v="7"/>
    <x v="14"/>
    <x v="29"/>
    <n v="0"/>
    <n v="1"/>
  </r>
  <r>
    <s v="044.888.871/0001-69"/>
    <x v="107"/>
    <s v="INCLUSAO  ANOT.INADIMPLENCIA"/>
    <d v="2024-12-17T00:00:00"/>
    <x v="15"/>
    <x v="7"/>
    <x v="15"/>
    <x v="107"/>
    <n v="0"/>
    <n v="1"/>
  </r>
  <r>
    <s v="034.821.586/0001-77"/>
    <x v="38"/>
    <s v="INCLUSAO  ANOT.INADIMPLENCIA"/>
    <d v="2024-12-17T00:00:00"/>
    <x v="4"/>
    <x v="7"/>
    <x v="4"/>
    <x v="38"/>
    <n v="0"/>
    <n v="1"/>
  </r>
  <r>
    <s v="035.165.246/0001-06"/>
    <x v="105"/>
    <s v="INCLUSAO  ANOT.INADIMPLENCIA"/>
    <d v="2024-12-17T00:00:00"/>
    <x v="4"/>
    <x v="7"/>
    <x v="4"/>
    <x v="105"/>
    <n v="0"/>
    <n v="1"/>
  </r>
  <r>
    <s v="008.991.603/0001-04"/>
    <x v="58"/>
    <s v="EXCLUSAO  ANOT.INADIMPLENCIA"/>
    <d v="2024-12-17T00:00:00"/>
    <x v="4"/>
    <x v="7"/>
    <x v="4"/>
    <x v="58"/>
    <n v="1"/>
    <n v="0"/>
  </r>
  <r>
    <s v="014.763.606/0001-93"/>
    <x v="10"/>
    <s v="INCLUSAO  ANOT.INADIMPLENCIA"/>
    <d v="2024-12-17T00:00:00"/>
    <x v="6"/>
    <x v="7"/>
    <x v="6"/>
    <x v="10"/>
    <n v="0"/>
    <n v="1"/>
  </r>
  <r>
    <s v="046.140.062/0001-08"/>
    <x v="69"/>
    <s v="INCLUSAO  ANOT.INADIMPLENCIA"/>
    <d v="2024-12-17T00:00:00"/>
    <x v="6"/>
    <x v="7"/>
    <x v="6"/>
    <x v="69"/>
    <n v="0"/>
    <n v="1"/>
  </r>
  <r>
    <s v="006.236.494/0001-94"/>
    <x v="62"/>
    <s v="EXCLUSAO  ANOT.INADIMPLENCIA"/>
    <d v="2024-12-17T00:00:00"/>
    <x v="7"/>
    <x v="7"/>
    <x v="7"/>
    <x v="62"/>
    <n v="1"/>
    <n v="0"/>
  </r>
  <r>
    <s v="028.477.685/0001-80"/>
    <x v="96"/>
    <s v="INCLUSAO  ANOT.INADIMPLENCIA"/>
    <d v="2024-12-17T00:00:00"/>
    <x v="7"/>
    <x v="7"/>
    <x v="7"/>
    <x v="96"/>
    <n v="0"/>
    <n v="1"/>
  </r>
  <r>
    <s v="013.746.252/0001-06"/>
    <x v="15"/>
    <s v="INCLUSAO  ANOT.INADIMPLENCIA"/>
    <d v="2024-12-17T00:00:00"/>
    <x v="7"/>
    <x v="7"/>
    <x v="7"/>
    <x v="15"/>
    <n v="0"/>
    <n v="1"/>
  </r>
  <r>
    <s v="023.605.544/0001-82"/>
    <x v="21"/>
    <s v="INCLUSAO  ANOT.INADIMPLENCIA"/>
    <d v="2024-12-17T00:00:00"/>
    <x v="11"/>
    <x v="7"/>
    <x v="11"/>
    <x v="21"/>
    <n v="0"/>
    <n v="1"/>
  </r>
  <r>
    <s v="046.700.220/0001-29"/>
    <x v="46"/>
    <s v="INCLUSAO  ANOT.INADIMPLENCIA"/>
    <d v="2024-12-17T00:00:00"/>
    <x v="11"/>
    <x v="7"/>
    <x v="11"/>
    <x v="46"/>
    <n v="0"/>
    <n v="1"/>
  </r>
  <r>
    <s v="014.385.825/0001-86"/>
    <x v="111"/>
    <s v="INCLUSAO  ANOT.INADIMPLENCIA"/>
    <d v="2024-12-17T00:00:00"/>
    <x v="8"/>
    <x v="7"/>
    <x v="8"/>
    <x v="111"/>
    <n v="0"/>
    <n v="1"/>
  </r>
  <r>
    <s v="038.110.780/0001-03"/>
    <x v="47"/>
    <s v="EXCLUSAO  ANOT.INADIMPLENCIA"/>
    <d v="2024-12-17T00:00:00"/>
    <x v="8"/>
    <x v="7"/>
    <x v="8"/>
    <x v="47"/>
    <n v="1"/>
    <n v="0"/>
  </r>
  <r>
    <s v="071.350.797/0001-03"/>
    <x v="48"/>
    <s v="EXCLUSAO  ANOT.INADIMPLENCIA"/>
    <d v="2024-12-17T00:00:00"/>
    <x v="16"/>
    <x v="7"/>
    <x v="16"/>
    <x v="48"/>
    <n v="1"/>
    <n v="0"/>
  </r>
  <r>
    <s v="020.066.300/0001-80"/>
    <x v="2"/>
    <s v="INCL/EXCL ANOT.INADIMPLENCIA"/>
    <d v="2024-12-18T00:00:00"/>
    <x v="1"/>
    <x v="7"/>
    <x v="1"/>
    <x v="2"/>
    <n v="0"/>
    <n v="0"/>
  </r>
  <r>
    <s v="012.520.791/0001-60"/>
    <x v="4"/>
    <s v="EXCLUSAO  ANOT.INADIMPLENCIA"/>
    <d v="2024-12-18T00:00:00"/>
    <x v="1"/>
    <x v="7"/>
    <x v="1"/>
    <x v="4"/>
    <n v="1"/>
    <n v="0"/>
  </r>
  <r>
    <s v="005.363.690/0001-67"/>
    <x v="91"/>
    <s v="EXCLUSAO  ANOT.INADIMPLENCIA"/>
    <d v="2024-12-18T00:00:00"/>
    <x v="15"/>
    <x v="7"/>
    <x v="15"/>
    <x v="91"/>
    <n v="1"/>
    <n v="0"/>
  </r>
  <r>
    <s v="007.102.721/0001-51"/>
    <x v="44"/>
    <s v="EXCLUSAO  ANOT.INADIMPLENCIA"/>
    <d v="2024-12-18T00:00:00"/>
    <x v="15"/>
    <x v="7"/>
    <x v="15"/>
    <x v="44"/>
    <n v="1"/>
    <n v="0"/>
  </r>
  <r>
    <s v="035.165.246/0001-06"/>
    <x v="105"/>
    <s v="INCLUSAO  ANOT.INADIMPLENCIA"/>
    <d v="2024-12-18T00:00:00"/>
    <x v="4"/>
    <x v="7"/>
    <x v="4"/>
    <x v="105"/>
    <n v="0"/>
    <n v="1"/>
  </r>
  <r>
    <s v="014.763.606/0001-93"/>
    <x v="10"/>
    <s v="ALTERACAO QUADRO SOCIAL"/>
    <d v="2024-12-18T00:00:00"/>
    <x v="6"/>
    <x v="7"/>
    <x v="6"/>
    <x v="10"/>
    <n v="0"/>
    <n v="0"/>
  </r>
  <r>
    <s v="014.763.606/0001-93"/>
    <x v="10"/>
    <s v="ALTERACAO ADMINISTRADORES"/>
    <d v="2024-12-18T00:00:00"/>
    <x v="6"/>
    <x v="7"/>
    <x v="6"/>
    <x v="10"/>
    <n v="0"/>
    <n v="0"/>
  </r>
  <r>
    <s v="088.978.606/0001-47"/>
    <x v="115"/>
    <s v="INCL/EXCL ANOT.INADIMPLENCIA"/>
    <d v="2024-12-18T00:00:00"/>
    <x v="6"/>
    <x v="7"/>
    <x v="6"/>
    <x v="115"/>
    <n v="0"/>
    <n v="0"/>
  </r>
  <r>
    <s v="046.140.062/0001-08"/>
    <x v="69"/>
    <s v="INCLUSAO  ANOT.INADIMPLENCIA"/>
    <d v="2024-12-18T00:00:00"/>
    <x v="6"/>
    <x v="7"/>
    <x v="6"/>
    <x v="69"/>
    <n v="0"/>
    <n v="1"/>
  </r>
  <r>
    <s v="006.236.494/0001-94"/>
    <x v="62"/>
    <s v="EXCLUSAO  ANOT.INADIMPLENCIA"/>
    <d v="2024-12-18T00:00:00"/>
    <x v="7"/>
    <x v="7"/>
    <x v="7"/>
    <x v="62"/>
    <n v="1"/>
    <n v="0"/>
  </r>
  <r>
    <s v="023.605.544/0001-82"/>
    <x v="21"/>
    <s v="INCLUSAO  ANOT.INADIMPLENCIA"/>
    <d v="2024-12-18T00:00:00"/>
    <x v="11"/>
    <x v="7"/>
    <x v="11"/>
    <x v="21"/>
    <n v="0"/>
    <n v="1"/>
  </r>
  <r>
    <s v="014.385.825/0001-86"/>
    <x v="111"/>
    <s v="INCLUSAO  ANOT.INADIMPLENCIA"/>
    <d v="2024-12-18T00:00:00"/>
    <x v="8"/>
    <x v="7"/>
    <x v="8"/>
    <x v="111"/>
    <n v="0"/>
    <n v="1"/>
  </r>
  <r>
    <s v="042.276.517/0001-58"/>
    <x v="108"/>
    <s v="INCLUSAO  ANOT.INADIMPLENCIA"/>
    <d v="2024-12-18T00:00:00"/>
    <x v="16"/>
    <x v="7"/>
    <x v="16"/>
    <x v="108"/>
    <n v="0"/>
    <n v="1"/>
  </r>
  <r>
    <s v="038.082.538/0001-65"/>
    <x v="80"/>
    <s v="EXCLUSAO  ANOT.INADIMPLENCIA"/>
    <d v="2024-12-19T00:00:00"/>
    <x v="0"/>
    <x v="7"/>
    <x v="0"/>
    <x v="80"/>
    <n v="1"/>
    <n v="0"/>
  </r>
  <r>
    <s v="002.038.227/0001-51"/>
    <x v="56"/>
    <s v="EXCLUSAO  ANOT.INADIMPLENCIA"/>
    <d v="2024-12-19T00:00:00"/>
    <x v="1"/>
    <x v="7"/>
    <x v="1"/>
    <x v="56"/>
    <n v="1"/>
    <n v="0"/>
  </r>
  <r>
    <s v="012.520.791/0001-60"/>
    <x v="4"/>
    <s v="EXCLUSAO  ANOT.INADIMPLENCIA"/>
    <d v="2024-12-19T00:00:00"/>
    <x v="1"/>
    <x v="7"/>
    <x v="1"/>
    <x v="4"/>
    <n v="1"/>
    <n v="0"/>
  </r>
  <r>
    <s v="016.757.535/0001-41"/>
    <x v="29"/>
    <s v="EXCLUSAO  ANOT.INADIMPLENCIA"/>
    <d v="2024-12-19T00:00:00"/>
    <x v="14"/>
    <x v="7"/>
    <x v="14"/>
    <x v="29"/>
    <n v="1"/>
    <n v="0"/>
  </r>
  <r>
    <s v="044.570.311/0001-61"/>
    <x v="117"/>
    <s v="EXCLUSAO  ANOT.INADIMPLENCIA"/>
    <d v="2024-12-19T00:00:00"/>
    <x v="15"/>
    <x v="7"/>
    <x v="15"/>
    <x v="117"/>
    <n v="1"/>
    <n v="0"/>
  </r>
  <r>
    <s v="007.561.436/0001-07"/>
    <x v="34"/>
    <s v="INCLUSAO  ANOT.INADIMPLENCIA"/>
    <d v="2024-12-19T00:00:00"/>
    <x v="15"/>
    <x v="7"/>
    <x v="15"/>
    <x v="34"/>
    <n v="0"/>
    <n v="1"/>
  </r>
  <r>
    <s v="035.165.246/0001-06"/>
    <x v="105"/>
    <s v="INCLUSAO  ANOT.INADIMPLENCIA"/>
    <d v="2024-12-19T00:00:00"/>
    <x v="4"/>
    <x v="7"/>
    <x v="4"/>
    <x v="105"/>
    <n v="0"/>
    <n v="1"/>
  </r>
  <r>
    <s v="088.978.606/0001-47"/>
    <x v="115"/>
    <s v="EXCLUSAO  ANOT.INADIMPLENCIA"/>
    <d v="2024-12-19T00:00:00"/>
    <x v="6"/>
    <x v="7"/>
    <x v="6"/>
    <x v="115"/>
    <n v="1"/>
    <n v="0"/>
  </r>
  <r>
    <s v="006.236.494/0001-94"/>
    <x v="62"/>
    <s v="EXCLUSAO  ANOT.INADIMPLENCIA"/>
    <d v="2024-12-19T00:00:00"/>
    <x v="7"/>
    <x v="7"/>
    <x v="7"/>
    <x v="62"/>
    <n v="1"/>
    <n v="0"/>
  </r>
  <r>
    <s v="013.746.252/0001-06"/>
    <x v="15"/>
    <s v="INCLUSAO  ANOT.INADIMPLENCIA"/>
    <d v="2024-12-19T00:00:00"/>
    <x v="7"/>
    <x v="7"/>
    <x v="7"/>
    <x v="15"/>
    <n v="0"/>
    <n v="1"/>
  </r>
  <r>
    <s v="071.350.797/0001-03"/>
    <x v="48"/>
    <s v="EXCLUSAO  ANOT.INADIMPLENCIA"/>
    <d v="2024-12-19T00:00:00"/>
    <x v="16"/>
    <x v="7"/>
    <x v="16"/>
    <x v="48"/>
    <n v="1"/>
    <n v="0"/>
  </r>
  <r>
    <s v="016.772.642/0001-49"/>
    <x v="70"/>
    <s v="INCLUSAO  ANOT.INADIMPLENCIA"/>
    <d v="2024-12-20T00:00:00"/>
    <x v="0"/>
    <x v="7"/>
    <x v="0"/>
    <x v="70"/>
    <n v="0"/>
    <n v="1"/>
  </r>
  <r>
    <s v="023.911.356/0001-82"/>
    <x v="55"/>
    <s v="INCL/EXCL ANOT.INADIMPLENCIA"/>
    <d v="2024-12-20T00:00:00"/>
    <x v="0"/>
    <x v="7"/>
    <x v="0"/>
    <x v="55"/>
    <n v="0"/>
    <n v="0"/>
  </r>
  <r>
    <s v="021.734.108/0001-88"/>
    <x v="41"/>
    <s v="EXCLUSAO  ANOT.INADIMPLENCIA"/>
    <d v="2024-12-20T00:00:00"/>
    <x v="13"/>
    <x v="7"/>
    <x v="13"/>
    <x v="41"/>
    <n v="1"/>
    <n v="0"/>
  </r>
  <r>
    <s v="020.066.300/0001-80"/>
    <x v="2"/>
    <s v="INCLUSAO  ANOT.INADIMPLENCIA"/>
    <d v="2024-12-20T00:00:00"/>
    <x v="1"/>
    <x v="7"/>
    <x v="1"/>
    <x v="2"/>
    <n v="0"/>
    <n v="1"/>
  </r>
  <r>
    <s v="003.590.360/0001-89"/>
    <x v="3"/>
    <s v="EXCLUSAO  ANOT.INADIMPLENCIA"/>
    <d v="2024-12-20T00:00:00"/>
    <x v="1"/>
    <x v="7"/>
    <x v="1"/>
    <x v="3"/>
    <n v="1"/>
    <n v="0"/>
  </r>
  <r>
    <s v="016.757.535/0001-41"/>
    <x v="29"/>
    <s v="EXCLUSAO  ANOT.INADIMPLENCIA"/>
    <d v="2024-12-20T00:00:00"/>
    <x v="14"/>
    <x v="7"/>
    <x v="14"/>
    <x v="29"/>
    <n v="1"/>
    <n v="0"/>
  </r>
  <r>
    <s v="035.165.246/0001-06"/>
    <x v="105"/>
    <s v="INCLUSAO  ANOT.INADIMPLENCIA"/>
    <d v="2024-12-20T00:00:00"/>
    <x v="4"/>
    <x v="7"/>
    <x v="4"/>
    <x v="105"/>
    <n v="0"/>
    <n v="1"/>
  </r>
  <r>
    <s v="046.140.062/0001-08"/>
    <x v="69"/>
    <s v="INCLUSAO  ANOT.INADIMPLENCIA"/>
    <d v="2024-12-20T00:00:00"/>
    <x v="6"/>
    <x v="7"/>
    <x v="6"/>
    <x v="69"/>
    <n v="0"/>
    <n v="1"/>
  </r>
  <r>
    <s v="006.236.494/0001-94"/>
    <x v="62"/>
    <s v="EXCLUSAO  ANOT.INADIMPLENCIA"/>
    <d v="2024-12-20T00:00:00"/>
    <x v="7"/>
    <x v="7"/>
    <x v="7"/>
    <x v="62"/>
    <n v="1"/>
    <n v="0"/>
  </r>
  <r>
    <s v="029.470.692/0001-13"/>
    <x v="100"/>
    <s v="EXCLUSAO  ANOT.INADIMPLENCIA"/>
    <d v="2024-12-20T00:00:00"/>
    <x v="7"/>
    <x v="7"/>
    <x v="7"/>
    <x v="100"/>
    <n v="1"/>
    <n v="0"/>
  </r>
  <r>
    <s v="013.746.252/0001-06"/>
    <x v="15"/>
    <s v="INCLUSAO  ANOT.INADIMPLENCIA"/>
    <d v="2024-12-20T00:00:00"/>
    <x v="7"/>
    <x v="7"/>
    <x v="7"/>
    <x v="15"/>
    <n v="0"/>
    <n v="1"/>
  </r>
  <r>
    <s v="014.385.825/0001-86"/>
    <x v="111"/>
    <s v="EXCLUSAO  ANOT.INADIMPLENCIA"/>
    <d v="2024-12-20T00:00:00"/>
    <x v="8"/>
    <x v="7"/>
    <x v="8"/>
    <x v="111"/>
    <n v="1"/>
    <n v="0"/>
  </r>
  <r>
    <s v="071.350.797/0001-03"/>
    <x v="48"/>
    <s v="INCLUSAO  ANOT.INADIMPLENCIA"/>
    <d v="2024-12-20T00:00:00"/>
    <x v="16"/>
    <x v="7"/>
    <x v="16"/>
    <x v="48"/>
    <n v="0"/>
    <n v="1"/>
  </r>
  <r>
    <s v="016.772.642/0001-49"/>
    <x v="70"/>
    <s v="INCL/EXCL ANOT.INADIMPLENCIA"/>
    <d v="2024-12-21T00:00:00"/>
    <x v="0"/>
    <x v="7"/>
    <x v="0"/>
    <x v="70"/>
    <n v="0"/>
    <n v="0"/>
  </r>
  <r>
    <s v="023.911.356/0001-82"/>
    <x v="55"/>
    <s v="INCLUSAO  ANOT.INADIMPLENCIA"/>
    <d v="2024-12-21T00:00:00"/>
    <x v="0"/>
    <x v="7"/>
    <x v="0"/>
    <x v="55"/>
    <n v="0"/>
    <n v="1"/>
  </r>
  <r>
    <s v="028.556.973/0001-20"/>
    <x v="119"/>
    <s v="INCLUSAO  ANOT.INADIMPLENCIA"/>
    <d v="2024-12-21T00:00:00"/>
    <x v="1"/>
    <x v="7"/>
    <x v="1"/>
    <x v="119"/>
    <n v="0"/>
    <n v="1"/>
  </r>
  <r>
    <s v="012.520.791/0001-60"/>
    <x v="4"/>
    <s v="INCLUSAO  ANOT.INADIMPLENCIA"/>
    <d v="2024-12-21T00:00:00"/>
    <x v="1"/>
    <x v="7"/>
    <x v="1"/>
    <x v="4"/>
    <n v="0"/>
    <n v="1"/>
  </r>
  <r>
    <s v="016.757.535/0001-41"/>
    <x v="29"/>
    <s v="EXCLUSAO  ANOT.INADIMPLENCIA"/>
    <d v="2024-12-21T00:00:00"/>
    <x v="14"/>
    <x v="7"/>
    <x v="14"/>
    <x v="29"/>
    <n v="1"/>
    <n v="0"/>
  </r>
  <r>
    <s v="035.649.603/0001-01"/>
    <x v="120"/>
    <s v="INCLUSAO  ANOT.INADIMPLENCIA"/>
    <d v="2024-12-21T00:00:00"/>
    <x v="15"/>
    <x v="7"/>
    <x v="15"/>
    <x v="120"/>
    <n v="0"/>
    <n v="1"/>
  </r>
  <r>
    <s v="035.165.246/0001-06"/>
    <x v="105"/>
    <s v="INCLUSAO  ANOT.INADIMPLENCIA"/>
    <d v="2024-12-21T00:00:00"/>
    <x v="4"/>
    <x v="7"/>
    <x v="4"/>
    <x v="105"/>
    <n v="0"/>
    <n v="1"/>
  </r>
  <r>
    <s v="000.987.236/0001-63"/>
    <x v="99"/>
    <s v="INCLUSAO  ANOT.INADIMPLENCIA"/>
    <d v="2024-12-21T00:00:00"/>
    <x v="6"/>
    <x v="7"/>
    <x v="6"/>
    <x v="99"/>
    <n v="0"/>
    <n v="1"/>
  </r>
  <r>
    <s v="046.140.062/0001-08"/>
    <x v="69"/>
    <s v="INCLUSAO  ANOT.INADIMPLENCIA"/>
    <d v="2024-12-21T00:00:00"/>
    <x v="6"/>
    <x v="7"/>
    <x v="6"/>
    <x v="69"/>
    <n v="0"/>
    <n v="1"/>
  </r>
  <r>
    <s v="036.906.058/0001-46"/>
    <x v="76"/>
    <s v="INCLUSAO  ANOT.INADIMPLENCIA"/>
    <d v="2024-12-21T00:00:00"/>
    <x v="6"/>
    <x v="7"/>
    <x v="6"/>
    <x v="76"/>
    <n v="0"/>
    <n v="1"/>
  </r>
  <r>
    <s v="006.236.494/0001-94"/>
    <x v="62"/>
    <s v="EXCLUSAO  ANOT.INADIMPLENCIA"/>
    <d v="2024-12-21T00:00:00"/>
    <x v="7"/>
    <x v="7"/>
    <x v="7"/>
    <x v="62"/>
    <n v="1"/>
    <n v="0"/>
  </r>
  <r>
    <s v="013.746.252/0001-06"/>
    <x v="15"/>
    <s v="INCLUSAO  ANOT.INADIMPLENCIA"/>
    <d v="2024-12-21T00:00:00"/>
    <x v="7"/>
    <x v="7"/>
    <x v="7"/>
    <x v="15"/>
    <n v="0"/>
    <n v="1"/>
  </r>
  <r>
    <s v="016.772.642/0001-49"/>
    <x v="70"/>
    <s v="INCLUSAO  ANOT.INADIMPLENCIA"/>
    <d v="2024-12-24T00:00:00"/>
    <x v="0"/>
    <x v="7"/>
    <x v="0"/>
    <x v="70"/>
    <n v="0"/>
    <n v="1"/>
  </r>
  <r>
    <s v="023.911.356/0001-82"/>
    <x v="55"/>
    <s v="INCLUSAO  ANOT.INADIMPLENCIA"/>
    <d v="2024-12-24T00:00:00"/>
    <x v="0"/>
    <x v="7"/>
    <x v="0"/>
    <x v="55"/>
    <n v="0"/>
    <n v="1"/>
  </r>
  <r>
    <s v="020.066.300/0001-80"/>
    <x v="2"/>
    <s v="EXCLUSAO  ANOT.INADIMPLENCIA"/>
    <d v="2024-12-24T00:00:00"/>
    <x v="1"/>
    <x v="7"/>
    <x v="1"/>
    <x v="2"/>
    <n v="1"/>
    <n v="0"/>
  </r>
  <r>
    <s v="003.590.360/0001-89"/>
    <x v="3"/>
    <s v="INCL/EXCL ANOT.INADIMPLENCIA"/>
    <d v="2024-12-24T00:00:00"/>
    <x v="1"/>
    <x v="7"/>
    <x v="1"/>
    <x v="3"/>
    <n v="0"/>
    <n v="0"/>
  </r>
  <r>
    <s v="016.757.535/0001-41"/>
    <x v="29"/>
    <s v="EXCLUSAO  ANOT.INADIMPLENCIA"/>
    <d v="2024-12-24T00:00:00"/>
    <x v="14"/>
    <x v="7"/>
    <x v="14"/>
    <x v="29"/>
    <n v="1"/>
    <n v="0"/>
  </r>
  <r>
    <s v="007.102.721/0001-51"/>
    <x v="44"/>
    <s v="INCLUSAO  ANOT.INADIMPLENCIA"/>
    <d v="2024-12-24T00:00:00"/>
    <x v="15"/>
    <x v="7"/>
    <x v="15"/>
    <x v="44"/>
    <n v="0"/>
    <n v="1"/>
  </r>
  <r>
    <s v="007.561.436/0001-07"/>
    <x v="34"/>
    <s v="INCLUSAO  ANOT.INADIMPLENCIA"/>
    <d v="2024-12-24T00:00:00"/>
    <x v="15"/>
    <x v="7"/>
    <x v="15"/>
    <x v="34"/>
    <n v="0"/>
    <n v="1"/>
  </r>
  <r>
    <s v="019.450.138/0001-10"/>
    <x v="71"/>
    <s v="INCLUSAO  ANOT.INADIMPLENCIA"/>
    <d v="2024-12-24T00:00:00"/>
    <x v="22"/>
    <x v="7"/>
    <x v="22"/>
    <x v="71"/>
    <n v="0"/>
    <n v="1"/>
  </r>
  <r>
    <s v="035.165.246/0001-06"/>
    <x v="105"/>
    <s v="INCLUSAO  ANOT.INADIMPLENCIA"/>
    <d v="2024-12-24T00:00:00"/>
    <x v="4"/>
    <x v="7"/>
    <x v="4"/>
    <x v="105"/>
    <n v="0"/>
    <n v="1"/>
  </r>
  <r>
    <s v="046.140.062/0001-08"/>
    <x v="69"/>
    <s v="INCLUSAO  ANOT.INADIMPLENCIA"/>
    <d v="2024-12-24T00:00:00"/>
    <x v="6"/>
    <x v="7"/>
    <x v="6"/>
    <x v="69"/>
    <n v="0"/>
    <n v="1"/>
  </r>
  <r>
    <s v="006.236.494/0001-94"/>
    <x v="62"/>
    <s v="EXCLUSAO  ANOT.INADIMPLENCIA"/>
    <d v="2024-12-24T00:00:00"/>
    <x v="7"/>
    <x v="7"/>
    <x v="7"/>
    <x v="62"/>
    <n v="1"/>
    <n v="0"/>
  </r>
  <r>
    <s v="037.828.375/0001-54"/>
    <x v="39"/>
    <s v="ALTERAÇÃO RAMO DE ATIVIDADE"/>
    <d v="2024-12-24T00:00:00"/>
    <x v="7"/>
    <x v="7"/>
    <x v="7"/>
    <x v="39"/>
    <n v="0"/>
    <n v="0"/>
  </r>
  <r>
    <s v="028.477.685/0001-80"/>
    <x v="96"/>
    <s v="EXCLUSAO  ANOT.INADIMPLENCIA"/>
    <d v="2024-12-24T00:00:00"/>
    <x v="7"/>
    <x v="7"/>
    <x v="7"/>
    <x v="96"/>
    <n v="1"/>
    <n v="0"/>
  </r>
  <r>
    <s v="013.746.252/0001-06"/>
    <x v="15"/>
    <s v="INCLUSAO  ANOT.INADIMPLENCIA"/>
    <d v="2024-12-24T00:00:00"/>
    <x v="7"/>
    <x v="7"/>
    <x v="7"/>
    <x v="15"/>
    <n v="0"/>
    <n v="1"/>
  </r>
  <r>
    <s v="023.605.544/0001-82"/>
    <x v="21"/>
    <s v="INCLUSAO  ANOT.INADIMPLENCIA"/>
    <d v="2024-12-24T00:00:00"/>
    <x v="11"/>
    <x v="7"/>
    <x v="11"/>
    <x v="21"/>
    <n v="0"/>
    <n v="1"/>
  </r>
  <r>
    <s v="046.700.220/0001-29"/>
    <x v="46"/>
    <s v="EXCLUSAO  ANOT.INADIMPLENCIA"/>
    <d v="2024-12-24T00:00:00"/>
    <x v="11"/>
    <x v="7"/>
    <x v="11"/>
    <x v="46"/>
    <n v="1"/>
    <n v="0"/>
  </r>
  <r>
    <s v="039.535.425/0001-30"/>
    <x v="121"/>
    <s v="EXCLUSAO  ANOT.INADIMPLENCIA"/>
    <d v="2024-12-24T00:00:00"/>
    <x v="8"/>
    <x v="7"/>
    <x v="8"/>
    <x v="121"/>
    <n v="1"/>
    <n v="0"/>
  </r>
  <r>
    <s v="014.385.825/0001-86"/>
    <x v="111"/>
    <s v="EXCLUSAO  ANOT.INADIMPLENCIA"/>
    <d v="2024-12-24T00:00:00"/>
    <x v="8"/>
    <x v="7"/>
    <x v="8"/>
    <x v="111"/>
    <n v="1"/>
    <n v="0"/>
  </r>
  <r>
    <s v="008.250.872/0001-10"/>
    <x v="122"/>
    <s v="INCLUSAO  ANOT.INADIMPLENCIA"/>
    <d v="2024-12-24T00:00:00"/>
    <x v="8"/>
    <x v="7"/>
    <x v="8"/>
    <x v="122"/>
    <n v="0"/>
    <n v="1"/>
  </r>
  <r>
    <s v="042.276.517/0001-58"/>
    <x v="123"/>
    <s v="INCLUSAO  ANOT.INADIMPLENCIA"/>
    <d v="2024-12-24T00:00:00"/>
    <x v="16"/>
    <x v="7"/>
    <x v="16"/>
    <x v="123"/>
    <n v="0"/>
    <n v="1"/>
  </r>
  <r>
    <s v="045.123.456/0001-87"/>
    <x v="124"/>
    <s v="ALTERACAO QUADRO SOCIAL"/>
    <d v="2024-12-25T00:00:00"/>
    <x v="0"/>
    <x v="7"/>
    <x v="0"/>
    <x v="124"/>
    <n v="0"/>
    <n v="0"/>
  </r>
  <r>
    <s v="045.123.456/0001-87"/>
    <x v="124"/>
    <s v="ALTERACAO ADMINISTRADORES"/>
    <d v="2024-12-25T00:00:00"/>
    <x v="0"/>
    <x v="7"/>
    <x v="0"/>
    <x v="124"/>
    <n v="0"/>
    <n v="0"/>
  </r>
  <r>
    <s v="023.083.383/0001-04"/>
    <x v="125"/>
    <s v="ALTERACAO ADMINISTRADORES"/>
    <d v="2024-12-25T00:00:00"/>
    <x v="0"/>
    <x v="7"/>
    <x v="0"/>
    <x v="125"/>
    <n v="0"/>
    <n v="0"/>
  </r>
  <r>
    <s v="023.911.356/0001-82"/>
    <x v="55"/>
    <s v="INCLUSAO  ANOT.INADIMPLENCIA"/>
    <d v="2024-12-25T00:00:00"/>
    <x v="0"/>
    <x v="7"/>
    <x v="0"/>
    <x v="55"/>
    <n v="0"/>
    <n v="1"/>
  </r>
  <r>
    <s v="021.734.108/0001-88"/>
    <x v="41"/>
    <s v="EXCLUSAO  ANOT.INADIMPLENCIA"/>
    <d v="2024-12-25T00:00:00"/>
    <x v="13"/>
    <x v="7"/>
    <x v="13"/>
    <x v="41"/>
    <n v="1"/>
    <n v="0"/>
  </r>
  <r>
    <s v="020.066.300/0001-80"/>
    <x v="2"/>
    <s v="INCL/EXCL ANOT.INADIMPLENCIA"/>
    <d v="2024-12-25T00:00:00"/>
    <x v="1"/>
    <x v="7"/>
    <x v="1"/>
    <x v="2"/>
    <n v="0"/>
    <n v="0"/>
  </r>
  <r>
    <s v="012.520.791/0001-60"/>
    <x v="4"/>
    <s v="INCLUSAO  ANOT.INADIMPLENCIA"/>
    <d v="2024-12-25T00:00:00"/>
    <x v="1"/>
    <x v="7"/>
    <x v="1"/>
    <x v="4"/>
    <n v="0"/>
    <n v="1"/>
  </r>
  <r>
    <s v="007.561.436/0001-07"/>
    <x v="34"/>
    <s v="INCLUSAO  ANOT.INADIMPLENCIA"/>
    <d v="2024-12-25T00:00:00"/>
    <x v="15"/>
    <x v="7"/>
    <x v="15"/>
    <x v="34"/>
    <n v="0"/>
    <n v="1"/>
  </r>
  <r>
    <s v="035.165.246/0001-06"/>
    <x v="105"/>
    <s v="INCLUSAO  ANOT.INADIMPLENCIA"/>
    <d v="2024-12-25T00:00:00"/>
    <x v="4"/>
    <x v="7"/>
    <x v="4"/>
    <x v="105"/>
    <n v="0"/>
    <n v="1"/>
  </r>
  <r>
    <s v="000.987.236/0001-63"/>
    <x v="99"/>
    <s v="INCLUSAO  ANOT.INADIMPLENCIA"/>
    <d v="2024-12-25T00:00:00"/>
    <x v="6"/>
    <x v="7"/>
    <x v="6"/>
    <x v="99"/>
    <n v="0"/>
    <n v="1"/>
  </r>
  <r>
    <s v="088.978.606/0001-47"/>
    <x v="115"/>
    <s v="EXCLUSAO  ANOT.INADIMPLENCIA"/>
    <d v="2024-12-25T00:00:00"/>
    <x v="6"/>
    <x v="7"/>
    <x v="6"/>
    <x v="115"/>
    <n v="1"/>
    <n v="0"/>
  </r>
  <r>
    <s v="006.236.494/0001-94"/>
    <x v="62"/>
    <s v="EXCLUSAO  ANOT.INADIMPLENCIA"/>
    <d v="2024-12-25T00:00:00"/>
    <x v="7"/>
    <x v="7"/>
    <x v="7"/>
    <x v="62"/>
    <n v="1"/>
    <n v="0"/>
  </r>
  <r>
    <s v="016.956.677/0001-38"/>
    <x v="93"/>
    <s v="INCLUSAO  ANOT.INADIMPLENCIA"/>
    <d v="2024-12-25T00:00:00"/>
    <x v="7"/>
    <x v="7"/>
    <x v="7"/>
    <x v="93"/>
    <n v="0"/>
    <n v="1"/>
  </r>
  <r>
    <s v="013.746.252/0001-06"/>
    <x v="15"/>
    <s v="INCLUSAO  ANOT.INADIMPLENCIA"/>
    <d v="2024-12-25T00:00:00"/>
    <x v="7"/>
    <x v="7"/>
    <x v="7"/>
    <x v="15"/>
    <n v="0"/>
    <n v="1"/>
  </r>
  <r>
    <s v="014.385.825/0001-86"/>
    <x v="111"/>
    <s v="INCLUSAO  ANOT.INADIMPLENCIA"/>
    <d v="2024-12-25T00:00:00"/>
    <x v="8"/>
    <x v="7"/>
    <x v="8"/>
    <x v="111"/>
    <n v="0"/>
    <n v="1"/>
  </r>
  <r>
    <s v="042.276.517/0001-58"/>
    <x v="123"/>
    <s v="ALTERACAO QUADRO SOCIAL"/>
    <d v="2024-12-25T00:00:00"/>
    <x v="16"/>
    <x v="7"/>
    <x v="16"/>
    <x v="123"/>
    <n v="0"/>
    <n v="0"/>
  </r>
  <r>
    <s v="042.276.517/0001-58"/>
    <x v="123"/>
    <s v="ALTERACAO ADMINISTRADORES"/>
    <d v="2024-12-25T00:00:00"/>
    <x v="16"/>
    <x v="7"/>
    <x v="16"/>
    <x v="123"/>
    <n v="0"/>
    <n v="0"/>
  </r>
  <r>
    <s v="008.785.522/0001-58"/>
    <x v="17"/>
    <s v="INCLUSAO  ANOT.INADIMPLENCIA"/>
    <d v="2024-12-25T00:00:00"/>
    <x v="9"/>
    <x v="7"/>
    <x v="9"/>
    <x v="17"/>
    <n v="0"/>
    <n v="1"/>
  </r>
  <r>
    <s v="016.772.642/0001-49"/>
    <x v="70"/>
    <s v="INCLUSAO  ANOT.INADIMPLENCIA"/>
    <d v="2024-12-27T00:00:00"/>
    <x v="0"/>
    <x v="7"/>
    <x v="0"/>
    <x v="70"/>
    <n v="0"/>
    <n v="1"/>
  </r>
  <r>
    <s v="023.911.356/0001-82"/>
    <x v="55"/>
    <s v="INCLUSAO  ANOT.INADIMPLENCIA"/>
    <d v="2024-12-27T00:00:00"/>
    <x v="0"/>
    <x v="7"/>
    <x v="0"/>
    <x v="55"/>
    <n v="0"/>
    <n v="1"/>
  </r>
  <r>
    <s v="004.126.524/0001-84"/>
    <x v="49"/>
    <s v="EXCLUSAO  ANOT.INADIMPLENCIA"/>
    <d v="2024-12-27T00:00:00"/>
    <x v="13"/>
    <x v="7"/>
    <x v="13"/>
    <x v="49"/>
    <n v="1"/>
    <n v="0"/>
  </r>
  <r>
    <s v="020.066.300/0001-80"/>
    <x v="2"/>
    <s v="INCLUSAO  ANOT.INADIMPLENCIA"/>
    <d v="2024-12-27T00:00:00"/>
    <x v="1"/>
    <x v="7"/>
    <x v="1"/>
    <x v="2"/>
    <n v="0"/>
    <n v="1"/>
  </r>
  <r>
    <s v="007.102.721/0001-51"/>
    <x v="44"/>
    <s v="EXCLUSAO  ANOT.INADIMPLENCIA"/>
    <d v="2024-12-27T00:00:00"/>
    <x v="15"/>
    <x v="7"/>
    <x v="15"/>
    <x v="44"/>
    <n v="1"/>
    <n v="0"/>
  </r>
  <r>
    <s v="007.561.436/0001-07"/>
    <x v="34"/>
    <s v="EXCLUSAO  ANOT.INADIMPLENCIA"/>
    <d v="2024-12-27T00:00:00"/>
    <x v="15"/>
    <x v="7"/>
    <x v="15"/>
    <x v="34"/>
    <n v="1"/>
    <n v="0"/>
  </r>
  <r>
    <s v="034.821.586/0001-77"/>
    <x v="38"/>
    <s v="INCLUSAO  ANOT.INADIMPLENCIA"/>
    <d v="2024-12-27T00:00:00"/>
    <x v="4"/>
    <x v="7"/>
    <x v="4"/>
    <x v="38"/>
    <n v="0"/>
    <n v="1"/>
  </r>
  <r>
    <s v="035.165.246/0001-06"/>
    <x v="105"/>
    <s v="INCLUSAO  ANOT.INADIMPLENCIA"/>
    <d v="2024-12-27T00:00:00"/>
    <x v="4"/>
    <x v="7"/>
    <x v="4"/>
    <x v="105"/>
    <n v="0"/>
    <n v="1"/>
  </r>
  <r>
    <s v="000.987.236/0001-63"/>
    <x v="99"/>
    <s v="EXCLUSAO  ANOT.INADIMPLENCIA"/>
    <d v="2024-12-27T00:00:00"/>
    <x v="6"/>
    <x v="7"/>
    <x v="6"/>
    <x v="99"/>
    <n v="1"/>
    <n v="0"/>
  </r>
  <r>
    <s v="014.763.606/0001-93"/>
    <x v="10"/>
    <s v="INCLUSAO  ANOT.INADIMPLENCIA"/>
    <d v="2024-12-27T00:00:00"/>
    <x v="6"/>
    <x v="7"/>
    <x v="6"/>
    <x v="10"/>
    <n v="0"/>
    <n v="1"/>
  </r>
  <r>
    <s v="006.236.494/0001-94"/>
    <x v="62"/>
    <s v="EXCLUSAO  ANOT.INADIMPLENCIA"/>
    <d v="2024-12-27T00:00:00"/>
    <x v="7"/>
    <x v="7"/>
    <x v="7"/>
    <x v="62"/>
    <n v="1"/>
    <n v="0"/>
  </r>
  <r>
    <s v="028.477.685/0001-80"/>
    <x v="96"/>
    <s v="EXCLUSAO  ANOT.INADIMPLENCIA"/>
    <d v="2024-12-27T00:00:00"/>
    <x v="7"/>
    <x v="7"/>
    <x v="7"/>
    <x v="96"/>
    <n v="1"/>
    <n v="0"/>
  </r>
  <r>
    <s v="013.746.252/0001-06"/>
    <x v="15"/>
    <s v="INCL/EXCL ANOT.INADIMPLENCIA"/>
    <d v="2024-12-27T00:00:00"/>
    <x v="7"/>
    <x v="7"/>
    <x v="7"/>
    <x v="15"/>
    <n v="0"/>
    <n v="0"/>
  </r>
  <r>
    <s v="023.605.544/0001-82"/>
    <x v="21"/>
    <s v="INCLUSAO  ANOT.INADIMPLENCIA"/>
    <d v="2024-12-27T00:00:00"/>
    <x v="11"/>
    <x v="7"/>
    <x v="11"/>
    <x v="21"/>
    <n v="0"/>
    <n v="1"/>
  </r>
  <r>
    <s v="042.276.517/0001-58"/>
    <x v="123"/>
    <s v="INCLUSAO  ANOT.INADIMPLENCIA"/>
    <d v="2024-12-27T00:00:00"/>
    <x v="16"/>
    <x v="7"/>
    <x v="16"/>
    <x v="123"/>
    <n v="0"/>
    <n v="1"/>
  </r>
  <r>
    <s v="016.772.642/0001-49"/>
    <x v="70"/>
    <s v="INCLUSAO  ANOT.INADIMPLENCIA"/>
    <d v="2024-12-28T00:00:00"/>
    <x v="0"/>
    <x v="7"/>
    <x v="0"/>
    <x v="70"/>
    <n v="0"/>
    <n v="1"/>
  </r>
  <r>
    <s v="023.911.356/0001-82"/>
    <x v="55"/>
    <s v="INCLUSAO  ANOT.INADIMPLENCIA"/>
    <d v="2024-12-28T00:00:00"/>
    <x v="0"/>
    <x v="7"/>
    <x v="0"/>
    <x v="55"/>
    <n v="0"/>
    <n v="1"/>
  </r>
  <r>
    <s v="004.126.524/0001-84"/>
    <x v="49"/>
    <s v="EXCLUSAO  ANOT.INADIMPLENCIA"/>
    <d v="2024-12-28T00:00:00"/>
    <x v="13"/>
    <x v="7"/>
    <x v="13"/>
    <x v="49"/>
    <n v="1"/>
    <n v="0"/>
  </r>
  <r>
    <s v="020.066.300/0001-80"/>
    <x v="2"/>
    <s v="INCLUSAO  ANOT.INADIMPLENCIA"/>
    <d v="2024-12-28T00:00:00"/>
    <x v="1"/>
    <x v="7"/>
    <x v="1"/>
    <x v="2"/>
    <n v="0"/>
    <n v="1"/>
  </r>
  <r>
    <s v="007.102.721/0001-51"/>
    <x v="44"/>
    <s v="EXCLUSAO  ANOT.INADIMPLENCIA"/>
    <d v="2024-12-28T00:00:00"/>
    <x v="15"/>
    <x v="7"/>
    <x v="15"/>
    <x v="44"/>
    <n v="1"/>
    <n v="0"/>
  </r>
  <r>
    <s v="007.561.436/0001-07"/>
    <x v="34"/>
    <s v="EXCLUSAO  ANOT.INADIMPLENCIA"/>
    <d v="2024-12-28T00:00:00"/>
    <x v="15"/>
    <x v="7"/>
    <x v="15"/>
    <x v="34"/>
    <n v="1"/>
    <n v="0"/>
  </r>
  <r>
    <s v="034.821.586/0001-77"/>
    <x v="38"/>
    <s v="INCLUSAO  ANOT.INADIMPLENCIA"/>
    <d v="2024-12-28T00:00:00"/>
    <x v="4"/>
    <x v="7"/>
    <x v="4"/>
    <x v="38"/>
    <n v="0"/>
    <n v="1"/>
  </r>
  <r>
    <s v="035.165.246/0001-06"/>
    <x v="105"/>
    <s v="INCLUSAO  ANOT.INADIMPLENCIA"/>
    <d v="2024-12-28T00:00:00"/>
    <x v="4"/>
    <x v="7"/>
    <x v="4"/>
    <x v="105"/>
    <n v="0"/>
    <n v="1"/>
  </r>
  <r>
    <s v="000.987.236/0001-63"/>
    <x v="99"/>
    <s v="EXCLUSAO  ANOT.INADIMPLENCIA"/>
    <d v="2024-12-28T00:00:00"/>
    <x v="6"/>
    <x v="7"/>
    <x v="6"/>
    <x v="99"/>
    <n v="1"/>
    <n v="0"/>
  </r>
  <r>
    <s v="014.763.606/0001-93"/>
    <x v="10"/>
    <s v="INCLUSAO  ANOT.INADIMPLENCIA"/>
    <d v="2024-12-28T00:00:00"/>
    <x v="6"/>
    <x v="7"/>
    <x v="6"/>
    <x v="10"/>
    <n v="0"/>
    <n v="1"/>
  </r>
  <r>
    <s v="006.236.494/0001-94"/>
    <x v="62"/>
    <s v="EXCLUSAO  ANOT.INADIMPLENCIA"/>
    <d v="2024-12-28T00:00:00"/>
    <x v="7"/>
    <x v="7"/>
    <x v="7"/>
    <x v="62"/>
    <n v="1"/>
    <n v="0"/>
  </r>
  <r>
    <s v="028.477.685/0001-80"/>
    <x v="96"/>
    <s v="EXCLUSAO  ANOT.INADIMPLENCIA"/>
    <d v="2024-12-28T00:00:00"/>
    <x v="7"/>
    <x v="7"/>
    <x v="7"/>
    <x v="96"/>
    <n v="1"/>
    <n v="0"/>
  </r>
  <r>
    <s v="013.746.252/0001-06"/>
    <x v="15"/>
    <s v="INCL/EXCL ANOT.INADIMPLENCIA"/>
    <d v="2024-12-28T00:00:00"/>
    <x v="7"/>
    <x v="7"/>
    <x v="7"/>
    <x v="15"/>
    <n v="0"/>
    <n v="0"/>
  </r>
  <r>
    <s v="023.605.544/0001-82"/>
    <x v="21"/>
    <s v="INCLUSAO  ANOT.INADIMPLENCIA"/>
    <d v="2024-12-28T00:00:00"/>
    <x v="11"/>
    <x v="7"/>
    <x v="11"/>
    <x v="21"/>
    <n v="0"/>
    <n v="1"/>
  </r>
  <r>
    <s v="016.772.642/0001-49"/>
    <x v="70"/>
    <s v="INCLUSAO  ANOT.INADIMPLENCIA"/>
    <d v="2024-12-31T00:00:00"/>
    <x v="0"/>
    <x v="7"/>
    <x v="0"/>
    <x v="70"/>
    <n v="0"/>
    <n v="1"/>
  </r>
  <r>
    <s v="023.911.356/0001-82"/>
    <x v="55"/>
    <s v="INCLUSAO  ANOT.INADIMPLENCIA"/>
    <d v="2024-12-31T00:00:00"/>
    <x v="0"/>
    <x v="7"/>
    <x v="0"/>
    <x v="55"/>
    <n v="0"/>
    <n v="1"/>
  </r>
  <r>
    <s v="020.066.300/0001-80"/>
    <x v="2"/>
    <s v="INCLUSAO  ANOT.INADIMPLENCIA"/>
    <d v="2024-12-31T00:00:00"/>
    <x v="1"/>
    <x v="7"/>
    <x v="1"/>
    <x v="2"/>
    <n v="0"/>
    <n v="1"/>
  </r>
  <r>
    <s v="003.590.360/0001-89"/>
    <x v="3"/>
    <s v="EXCLUSAO  ANOT.INADIMPLENCIA"/>
    <d v="2024-12-31T00:00:00"/>
    <x v="1"/>
    <x v="7"/>
    <x v="1"/>
    <x v="3"/>
    <n v="1"/>
    <n v="0"/>
  </r>
  <r>
    <s v="012.520.791/0001-60"/>
    <x v="4"/>
    <s v="INCLUSAO  ANOT.INADIMPLENCIA"/>
    <d v="2024-12-31T00:00:00"/>
    <x v="1"/>
    <x v="7"/>
    <x v="1"/>
    <x v="4"/>
    <n v="0"/>
    <n v="1"/>
  </r>
  <r>
    <s v="007.561.436/0001-07"/>
    <x v="34"/>
    <s v="INCL/EXCL ANOT.INADIMPLENCIA"/>
    <d v="2024-12-31T00:00:00"/>
    <x v="15"/>
    <x v="7"/>
    <x v="15"/>
    <x v="34"/>
    <n v="0"/>
    <n v="0"/>
  </r>
  <r>
    <s v="025.825.654/0001-85"/>
    <x v="7"/>
    <s v="EXCLUSAO  ANOT.INADIMPLENCIA"/>
    <d v="2024-12-31T00:00:00"/>
    <x v="4"/>
    <x v="7"/>
    <x v="4"/>
    <x v="7"/>
    <n v="1"/>
    <n v="0"/>
  </r>
  <r>
    <s v="000.987.236/0001-63"/>
    <x v="99"/>
    <s v="INCLUSAO  ANOT.INADIMPLENCIA"/>
    <d v="2024-12-31T00:00:00"/>
    <x v="6"/>
    <x v="7"/>
    <x v="6"/>
    <x v="99"/>
    <n v="0"/>
    <n v="1"/>
  </r>
  <r>
    <s v="007.906.793/0001-51"/>
    <x v="126"/>
    <s v="INCLUSAO  ANOT.INADIMPLENCIA"/>
    <d v="2024-12-31T00:00:00"/>
    <x v="6"/>
    <x v="7"/>
    <x v="6"/>
    <x v="126"/>
    <n v="0"/>
    <n v="1"/>
  </r>
  <r>
    <s v="014.763.606/0001-93"/>
    <x v="10"/>
    <s v="INCLUSAO  ANOT.INADIMPLENCIA"/>
    <d v="2024-12-31T00:00:00"/>
    <x v="6"/>
    <x v="7"/>
    <x v="6"/>
    <x v="10"/>
    <n v="0"/>
    <n v="1"/>
  </r>
  <r>
    <s v="006.236.494/0001-94"/>
    <x v="62"/>
    <s v="EXCLUSAO  ANOT.INADIMPLENCIA"/>
    <d v="2024-12-31T00:00:00"/>
    <x v="7"/>
    <x v="7"/>
    <x v="7"/>
    <x v="62"/>
    <n v="1"/>
    <n v="0"/>
  </r>
  <r>
    <s v="013.746.252/0001-06"/>
    <x v="15"/>
    <s v="INCLUSAO  ANOT.INADIMPLENCIA"/>
    <d v="2024-12-31T00:00:00"/>
    <x v="7"/>
    <x v="7"/>
    <x v="7"/>
    <x v="15"/>
    <n v="0"/>
    <n v="1"/>
  </r>
  <r>
    <s v="042.276.517/0001-58"/>
    <x v="123"/>
    <s v="INCLUSAO  ANOT.INADIMPLENCIA"/>
    <d v="2024-12-31T00:00:00"/>
    <x v="16"/>
    <x v="7"/>
    <x v="16"/>
    <x v="123"/>
    <n v="0"/>
    <n v="1"/>
  </r>
  <r>
    <s v="055.979.736/0001-45"/>
    <x v="64"/>
    <s v="INCLUSAO  ANOT.INADIMPLENCIA"/>
    <d v="2024-12-31T00:00:00"/>
    <x v="20"/>
    <x v="7"/>
    <x v="20"/>
    <x v="64"/>
    <n v="0"/>
    <n v="1"/>
  </r>
  <r>
    <s v="006.107.454/0001-42"/>
    <x v="42"/>
    <s v="INCLUSAO  ANOT.INADIMPLENCIA"/>
    <d v="2025-01-01T00:00:00"/>
    <x v="13"/>
    <x v="8"/>
    <x v="13"/>
    <x v="42"/>
    <n v="0"/>
    <n v="1"/>
  </r>
  <r>
    <s v="020.066.300/0001-80"/>
    <x v="2"/>
    <s v="INCL/EXCL ANOT.INADIMPLENCIA"/>
    <d v="2025-01-01T00:00:00"/>
    <x v="1"/>
    <x v="8"/>
    <x v="1"/>
    <x v="2"/>
    <n v="0"/>
    <n v="0"/>
  </r>
  <r>
    <s v="003.590.360/0001-89"/>
    <x v="3"/>
    <s v="EXCLUSAO  ANOT.INADIMPLENCIA"/>
    <d v="2025-01-01T00:00:00"/>
    <x v="1"/>
    <x v="8"/>
    <x v="1"/>
    <x v="3"/>
    <n v="1"/>
    <n v="0"/>
  </r>
  <r>
    <s v="016.757.535/0001-41"/>
    <x v="29"/>
    <s v="EXCLUSAO  ANOT.INADIMPLENCIA"/>
    <d v="2025-01-01T00:00:00"/>
    <x v="14"/>
    <x v="8"/>
    <x v="14"/>
    <x v="29"/>
    <n v="1"/>
    <n v="0"/>
  </r>
  <r>
    <s v="028.842.753/0001-63"/>
    <x v="50"/>
    <s v="INCLUSAO  ANOT.INADIMPLENCIA"/>
    <d v="2025-01-01T00:00:00"/>
    <x v="19"/>
    <x v="8"/>
    <x v="19"/>
    <x v="50"/>
    <n v="0"/>
    <n v="1"/>
  </r>
  <r>
    <s v="007.102.721/0001-51"/>
    <x v="44"/>
    <s v="EXCLUSAO  ANOT.INADIMPLENCIA"/>
    <d v="2025-01-01T00:00:00"/>
    <x v="15"/>
    <x v="8"/>
    <x v="15"/>
    <x v="44"/>
    <n v="1"/>
    <n v="0"/>
  </r>
  <r>
    <s v="007.561.436/0001-07"/>
    <x v="34"/>
    <s v="EXCLUSAO  ANOT.INADIMPLENCIA"/>
    <d v="2025-01-01T00:00:00"/>
    <x v="15"/>
    <x v="8"/>
    <x v="15"/>
    <x v="34"/>
    <n v="1"/>
    <n v="0"/>
  </r>
  <r>
    <s v="035.165.246/0001-06"/>
    <x v="105"/>
    <s v="INCLUSAO  ANOT.INADIMPLENCIA"/>
    <d v="2025-01-01T00:00:00"/>
    <x v="4"/>
    <x v="8"/>
    <x v="4"/>
    <x v="105"/>
    <n v="0"/>
    <n v="1"/>
  </r>
  <r>
    <s v="000.987.236/0001-63"/>
    <x v="99"/>
    <s v="INCLUSAO  ANOT.INADIMPLENCIA"/>
    <d v="2025-01-01T00:00:00"/>
    <x v="6"/>
    <x v="8"/>
    <x v="6"/>
    <x v="99"/>
    <n v="0"/>
    <n v="1"/>
  </r>
  <r>
    <s v="006.236.494/0001-94"/>
    <x v="62"/>
    <s v="EXCLUSAO  ANOT.INADIMPLENCIA"/>
    <d v="2025-01-01T00:00:00"/>
    <x v="7"/>
    <x v="8"/>
    <x v="7"/>
    <x v="62"/>
    <n v="1"/>
    <n v="0"/>
  </r>
  <r>
    <s v="013.746.252/0001-06"/>
    <x v="15"/>
    <s v="INCLUSAO  ANOT.INADIMPLENCIA"/>
    <d v="2025-01-01T00:00:00"/>
    <x v="7"/>
    <x v="8"/>
    <x v="7"/>
    <x v="15"/>
    <n v="0"/>
    <n v="1"/>
  </r>
  <r>
    <s v="023.605.544/0001-82"/>
    <x v="21"/>
    <s v="INCLUSAO  ANOT.INADIMPLENCIA"/>
    <d v="2025-01-01T00:00:00"/>
    <x v="11"/>
    <x v="8"/>
    <x v="11"/>
    <x v="21"/>
    <n v="0"/>
    <n v="1"/>
  </r>
  <r>
    <s v="014.514.481/0001-68"/>
    <x v="74"/>
    <s v="INCLUSAO  ANOT.INADIMPLENCIA"/>
    <d v="2025-01-01T00:00:00"/>
    <x v="11"/>
    <x v="8"/>
    <x v="11"/>
    <x v="74"/>
    <n v="0"/>
    <n v="1"/>
  </r>
  <r>
    <s v="000.810.852/0001-44"/>
    <x v="85"/>
    <s v="INCLUSAO  ANOT.INADIMPLENCIA"/>
    <d v="2025-01-01T00:00:00"/>
    <x v="8"/>
    <x v="8"/>
    <x v="8"/>
    <x v="85"/>
    <n v="0"/>
    <n v="1"/>
  </r>
  <r>
    <s v="042.276.517/0001-58"/>
    <x v="123"/>
    <s v="INCLUSAO  ANOT.INADIMPLENCIA"/>
    <d v="2025-01-01T00:00:00"/>
    <x v="16"/>
    <x v="8"/>
    <x v="16"/>
    <x v="123"/>
    <n v="0"/>
    <n v="1"/>
  </r>
  <r>
    <s v="043.515.558/0001-12"/>
    <x v="22"/>
    <s v="EXCLUSAO  ANOT.INADIMPLENCIA"/>
    <d v="2025-01-01T00:00:00"/>
    <x v="12"/>
    <x v="8"/>
    <x v="12"/>
    <x v="22"/>
    <n v="1"/>
    <n v="0"/>
  </r>
  <r>
    <s v="008.785.522/0001-58"/>
    <x v="17"/>
    <s v="INCLUSAO  ANOT.INADIMPLENCIA"/>
    <d v="2025-01-01T00:00:00"/>
    <x v="9"/>
    <x v="8"/>
    <x v="9"/>
    <x v="17"/>
    <n v="0"/>
    <n v="1"/>
  </r>
  <r>
    <s v="016.772.642/0001-49"/>
    <x v="70"/>
    <s v="INCLUSAO  ANOT.INADIMPLENCIA"/>
    <d v="2025-01-03T00:00:00"/>
    <x v="0"/>
    <x v="8"/>
    <x v="0"/>
    <x v="70"/>
    <n v="0"/>
    <n v="1"/>
  </r>
  <r>
    <s v="023.911.356/0001-82"/>
    <x v="55"/>
    <s v="EXCLUSAO  ANOT.INADIMPLENCIA"/>
    <d v="2025-01-03T00:00:00"/>
    <x v="0"/>
    <x v="8"/>
    <x v="0"/>
    <x v="55"/>
    <n v="1"/>
    <n v="0"/>
  </r>
  <r>
    <s v="007.102.721/0001-51"/>
    <x v="44"/>
    <s v="EXCLUSAO  ANOT.INADIMPLENCIA"/>
    <d v="2025-01-03T00:00:00"/>
    <x v="15"/>
    <x v="8"/>
    <x v="15"/>
    <x v="44"/>
    <n v="1"/>
    <n v="0"/>
  </r>
  <r>
    <s v="007.561.436/0001-07"/>
    <x v="34"/>
    <s v="INCLUSAO  ANOT.INADIMPLENCIA"/>
    <d v="2025-01-03T00:00:00"/>
    <x v="15"/>
    <x v="8"/>
    <x v="15"/>
    <x v="34"/>
    <n v="0"/>
    <n v="1"/>
  </r>
  <r>
    <s v="035.165.246/0001-06"/>
    <x v="105"/>
    <s v="INCLUSAO  ANOT.INADIMPLENCIA"/>
    <d v="2025-01-03T00:00:00"/>
    <x v="4"/>
    <x v="8"/>
    <x v="4"/>
    <x v="105"/>
    <n v="0"/>
    <n v="1"/>
  </r>
  <r>
    <s v="005.350.235/0001-27"/>
    <x v="73"/>
    <s v="EXCLUSAO  ANOT.INADIMPLENCIA"/>
    <d v="2025-01-03T00:00:00"/>
    <x v="4"/>
    <x v="8"/>
    <x v="4"/>
    <x v="73"/>
    <n v="1"/>
    <n v="0"/>
  </r>
  <r>
    <s v="006.236.494/0001-94"/>
    <x v="62"/>
    <s v="EXCLUSAO  ANOT.INADIMPLENCIA"/>
    <d v="2025-01-03T00:00:00"/>
    <x v="7"/>
    <x v="8"/>
    <x v="7"/>
    <x v="62"/>
    <n v="1"/>
    <n v="0"/>
  </r>
  <r>
    <s v="013.746.252/0001-06"/>
    <x v="15"/>
    <s v="EXCLUSAO  ANOT.INADIMPLENCIA"/>
    <d v="2025-01-03T00:00:00"/>
    <x v="7"/>
    <x v="8"/>
    <x v="7"/>
    <x v="15"/>
    <n v="1"/>
    <n v="0"/>
  </r>
  <r>
    <s v="000.810.852/0001-44"/>
    <x v="85"/>
    <s v="EXCLUSAO  ANOT.INADIMPLENCIA"/>
    <d v="2025-01-03T00:00:00"/>
    <x v="8"/>
    <x v="8"/>
    <x v="8"/>
    <x v="85"/>
    <n v="1"/>
    <n v="0"/>
  </r>
  <r>
    <s v="002.534.653/0001-86"/>
    <x v="106"/>
    <s v="INCLUSAO  ANOT.INADIMPLENCIA"/>
    <d v="2025-01-03T00:00:00"/>
    <x v="16"/>
    <x v="8"/>
    <x v="16"/>
    <x v="106"/>
    <n v="0"/>
    <n v="1"/>
  </r>
  <r>
    <s v="042.276.517/0001-58"/>
    <x v="123"/>
    <s v="INCLUSAO  ANOT.INADIMPLENCIA"/>
    <d v="2025-01-03T00:00:00"/>
    <x v="16"/>
    <x v="8"/>
    <x v="16"/>
    <x v="123"/>
    <n v="0"/>
    <n v="1"/>
  </r>
  <r>
    <s v="043.515.558/0001-12"/>
    <x v="22"/>
    <s v="INCLUSAO  ANOT.INADIMPLENCIA"/>
    <d v="2025-01-03T00:00:00"/>
    <x v="12"/>
    <x v="8"/>
    <x v="12"/>
    <x v="22"/>
    <n v="0"/>
    <n v="1"/>
  </r>
  <r>
    <s v="020.066.300/0001-80"/>
    <x v="2"/>
    <s v="INCLUSAO  ANOT.INADIMPLENCIA"/>
    <d v="2025-01-04T00:00:00"/>
    <x v="1"/>
    <x v="8"/>
    <x v="1"/>
    <x v="2"/>
    <n v="0"/>
    <n v="1"/>
  </r>
  <r>
    <s v="006.236.494/0001-94"/>
    <x v="62"/>
    <s v="EXCLUSAO  ANOT.INADIMPLENCIA"/>
    <d v="2025-01-04T00:00:00"/>
    <x v="7"/>
    <x v="8"/>
    <x v="7"/>
    <x v="62"/>
    <n v="1"/>
    <n v="0"/>
  </r>
  <r>
    <s v="013.746.252/0001-06"/>
    <x v="15"/>
    <s v="INCLUSAO  ANOT.INADIMPLENCIA"/>
    <d v="2025-01-04T00:00:00"/>
    <x v="7"/>
    <x v="8"/>
    <x v="7"/>
    <x v="15"/>
    <n v="0"/>
    <n v="1"/>
  </r>
  <r>
    <s v="033.803.691/0001-10"/>
    <x v="104"/>
    <s v="ALTERACAO ENDERECO"/>
    <d v="2025-01-05T00:00:00"/>
    <x v="0"/>
    <x v="8"/>
    <x v="0"/>
    <x v="104"/>
    <n v="0"/>
    <n v="0"/>
  </r>
  <r>
    <s v="020.066.300/0001-80"/>
    <x v="2"/>
    <s v="INCLUSAO  ANOT.INADIMPLENCIA"/>
    <d v="2025-01-07T00:00:00"/>
    <x v="1"/>
    <x v="8"/>
    <x v="1"/>
    <x v="2"/>
    <n v="0"/>
    <n v="1"/>
  </r>
  <r>
    <s v="028.842.753/0001-63"/>
    <x v="50"/>
    <s v="INCLUSAO  ANOT.INADIMPLENCIA"/>
    <d v="2025-01-07T00:00:00"/>
    <x v="19"/>
    <x v="8"/>
    <x v="19"/>
    <x v="50"/>
    <n v="0"/>
    <n v="1"/>
  </r>
  <r>
    <s v="001.636.335/0001-63"/>
    <x v="78"/>
    <s v="EXCLUSAO  ANOT.INADIMPLENCIA"/>
    <d v="2025-01-07T00:00:00"/>
    <x v="15"/>
    <x v="8"/>
    <x v="15"/>
    <x v="78"/>
    <n v="1"/>
    <n v="0"/>
  </r>
  <r>
    <s v="035.165.246/0001-06"/>
    <x v="105"/>
    <s v="INCLUSAO  ANOT.INADIMPLENCIA"/>
    <d v="2025-01-07T00:00:00"/>
    <x v="4"/>
    <x v="8"/>
    <x v="4"/>
    <x v="105"/>
    <n v="0"/>
    <n v="1"/>
  </r>
  <r>
    <s v="014.763.606/0001-93"/>
    <x v="10"/>
    <s v="EXCLUSAO  ANOT.INADIMPLENCIA"/>
    <d v="2025-01-07T00:00:00"/>
    <x v="6"/>
    <x v="8"/>
    <x v="6"/>
    <x v="10"/>
    <n v="1"/>
    <n v="0"/>
  </r>
  <r>
    <s v="046.140.062/0001-08"/>
    <x v="69"/>
    <s v="INCLUSAO  ANOT.INADIMPLENCIA"/>
    <d v="2025-01-07T00:00:00"/>
    <x v="6"/>
    <x v="8"/>
    <x v="6"/>
    <x v="69"/>
    <n v="0"/>
    <n v="1"/>
  </r>
  <r>
    <s v="006.236.494/0001-94"/>
    <x v="62"/>
    <s v="EXCLUSAO  ANOT.INADIMPLENCIA"/>
    <d v="2025-01-07T00:00:00"/>
    <x v="7"/>
    <x v="8"/>
    <x v="7"/>
    <x v="62"/>
    <n v="1"/>
    <n v="0"/>
  </r>
  <r>
    <s v="016.956.677/0001-38"/>
    <x v="93"/>
    <s v="INCLUSAO  ANOT.INADIMPLENCIA"/>
    <d v="2025-01-07T00:00:00"/>
    <x v="7"/>
    <x v="8"/>
    <x v="7"/>
    <x v="93"/>
    <n v="0"/>
    <n v="1"/>
  </r>
  <r>
    <s v="013.746.252/0001-06"/>
    <x v="15"/>
    <s v="INCL/EXCL ANOT.INADIMPLENCIA"/>
    <d v="2025-01-07T00:00:00"/>
    <x v="7"/>
    <x v="8"/>
    <x v="7"/>
    <x v="15"/>
    <n v="0"/>
    <n v="0"/>
  </r>
  <r>
    <s v="014.829.598/0001-30"/>
    <x v="31"/>
    <s v="INCLUSAO  ANOT.INADIMPLENCIA"/>
    <d v="2025-01-07T00:00:00"/>
    <x v="11"/>
    <x v="8"/>
    <x v="11"/>
    <x v="31"/>
    <n v="0"/>
    <n v="1"/>
  </r>
  <r>
    <s v="014.385.825/0001-86"/>
    <x v="111"/>
    <s v="INCLUSAO  ANOT.INADIMPLENCIA"/>
    <d v="2025-01-07T00:00:00"/>
    <x v="8"/>
    <x v="8"/>
    <x v="8"/>
    <x v="111"/>
    <n v="0"/>
    <n v="1"/>
  </r>
  <r>
    <s v="042.276.517/0001-58"/>
    <x v="123"/>
    <s v="INCLUSAO  ANOT.INADIMPLENCIA"/>
    <d v="2025-01-07T00:00:00"/>
    <x v="16"/>
    <x v="8"/>
    <x v="16"/>
    <x v="123"/>
    <n v="0"/>
    <n v="1"/>
  </r>
  <r>
    <s v="008.785.522/0001-58"/>
    <x v="17"/>
    <s v="INCLUSAO  ANOT.INADIMPLENCIA"/>
    <d v="2025-01-07T00:00:00"/>
    <x v="9"/>
    <x v="8"/>
    <x v="9"/>
    <x v="17"/>
    <n v="0"/>
    <n v="1"/>
  </r>
  <r>
    <s v="023.911.356/0001-82"/>
    <x v="55"/>
    <s v="EXCLUSAO  ANOT.INADIMPLENCIA"/>
    <d v="2025-01-08T00:00:00"/>
    <x v="0"/>
    <x v="8"/>
    <x v="0"/>
    <x v="55"/>
    <n v="1"/>
    <n v="0"/>
  </r>
  <r>
    <s v="020.066.300/0001-80"/>
    <x v="2"/>
    <s v="INCLUSAO  ANOT.INADIMPLENCIA"/>
    <d v="2025-01-08T00:00:00"/>
    <x v="1"/>
    <x v="8"/>
    <x v="1"/>
    <x v="2"/>
    <n v="0"/>
    <n v="1"/>
  </r>
  <r>
    <s v="007.561.436/0001-07"/>
    <x v="34"/>
    <s v="EXCLUSAO  ANOT.INADIMPLENCIA"/>
    <d v="2025-01-08T00:00:00"/>
    <x v="15"/>
    <x v="8"/>
    <x v="15"/>
    <x v="34"/>
    <n v="1"/>
    <n v="0"/>
  </r>
  <r>
    <s v="035.165.246/0001-06"/>
    <x v="105"/>
    <s v="INCL/EXCL ANOT.INADIMPLENCIA"/>
    <d v="2025-01-08T00:00:00"/>
    <x v="4"/>
    <x v="8"/>
    <x v="4"/>
    <x v="105"/>
    <n v="0"/>
    <n v="0"/>
  </r>
  <r>
    <s v="000.987.236/0001-63"/>
    <x v="99"/>
    <s v="INCLUSAO  ANOT.INADIMPLENCIA"/>
    <d v="2025-01-08T00:00:00"/>
    <x v="6"/>
    <x v="8"/>
    <x v="6"/>
    <x v="99"/>
    <n v="0"/>
    <n v="1"/>
  </r>
  <r>
    <s v="036.906.058/0001-46"/>
    <x v="76"/>
    <s v="EXCLUSAO  ANOT.INADIMPLENCIA"/>
    <d v="2025-01-08T00:00:00"/>
    <x v="6"/>
    <x v="8"/>
    <x v="6"/>
    <x v="76"/>
    <n v="1"/>
    <n v="0"/>
  </r>
  <r>
    <s v="006.236.494/0001-94"/>
    <x v="62"/>
    <s v="EXCLUSAO  ANOT.INADIMPLENCIA"/>
    <d v="2025-01-08T00:00:00"/>
    <x v="7"/>
    <x v="8"/>
    <x v="7"/>
    <x v="62"/>
    <n v="1"/>
    <n v="0"/>
  </r>
  <r>
    <s v="013.746.252/0001-06"/>
    <x v="15"/>
    <s v="INCLUSAO  ANOT.INADIMPLENCIA"/>
    <d v="2025-01-08T00:00:00"/>
    <x v="7"/>
    <x v="8"/>
    <x v="7"/>
    <x v="15"/>
    <n v="0"/>
    <n v="1"/>
  </r>
  <r>
    <s v="023.605.544/0001-82"/>
    <x v="21"/>
    <s v="EXCLUSAO  ANOT.INADIMPLENCIA"/>
    <d v="2025-01-08T00:00:00"/>
    <x v="11"/>
    <x v="8"/>
    <x v="11"/>
    <x v="21"/>
    <n v="1"/>
    <n v="0"/>
  </r>
  <r>
    <s v="008.250.872/0001-10"/>
    <x v="122"/>
    <s v="EXCLUSAO  ANOT.INADIMPLENCIA"/>
    <d v="2025-01-08T00:00:00"/>
    <x v="8"/>
    <x v="8"/>
    <x v="8"/>
    <x v="122"/>
    <n v="1"/>
    <n v="0"/>
  </r>
  <r>
    <s v="071.350.797/0001-03"/>
    <x v="48"/>
    <s v="EXCLUSAO  ANOT.INADIMPLENCIA"/>
    <d v="2025-01-08T00:00:00"/>
    <x v="16"/>
    <x v="8"/>
    <x v="16"/>
    <x v="48"/>
    <n v="1"/>
    <n v="0"/>
  </r>
  <r>
    <s v="008.785.522/0001-58"/>
    <x v="17"/>
    <s v="INCLUSAO  ANOT.INADIMPLENCIA"/>
    <d v="2025-01-08T00:00:00"/>
    <x v="9"/>
    <x v="8"/>
    <x v="9"/>
    <x v="17"/>
    <n v="0"/>
    <n v="1"/>
  </r>
  <r>
    <s v="023.911.356/0001-82"/>
    <x v="55"/>
    <s v="EXCLUSAO  ANOT.INADIMPLENCIA"/>
    <d v="2025-01-09T00:00:00"/>
    <x v="0"/>
    <x v="8"/>
    <x v="0"/>
    <x v="55"/>
    <n v="1"/>
    <n v="0"/>
  </r>
  <r>
    <s v="020.066.300/0001-80"/>
    <x v="2"/>
    <s v="INCLUSAO  ANOT.INADIMPLENCIA"/>
    <d v="2025-01-09T00:00:00"/>
    <x v="1"/>
    <x v="8"/>
    <x v="1"/>
    <x v="2"/>
    <n v="0"/>
    <n v="1"/>
  </r>
  <r>
    <s v="007.561.436/0001-07"/>
    <x v="34"/>
    <s v="EXCLUSAO  ANOT.INADIMPLENCIA"/>
    <d v="2025-01-09T00:00:00"/>
    <x v="15"/>
    <x v="8"/>
    <x v="15"/>
    <x v="34"/>
    <n v="1"/>
    <n v="0"/>
  </r>
  <r>
    <s v="035.165.246/0001-06"/>
    <x v="105"/>
    <s v="INCL/EXCL ANOT.INADIMPLENCIA"/>
    <d v="2025-01-09T00:00:00"/>
    <x v="4"/>
    <x v="8"/>
    <x v="4"/>
    <x v="105"/>
    <n v="0"/>
    <n v="0"/>
  </r>
  <r>
    <s v="000.987.236/0001-63"/>
    <x v="99"/>
    <s v="INCLUSAO  ANOT.INADIMPLENCIA"/>
    <d v="2025-01-09T00:00:00"/>
    <x v="6"/>
    <x v="8"/>
    <x v="6"/>
    <x v="99"/>
    <n v="0"/>
    <n v="1"/>
  </r>
  <r>
    <s v="036.906.058/0001-46"/>
    <x v="76"/>
    <s v="EXCLUSAO  ANOT.INADIMPLENCIA"/>
    <d v="2025-01-09T00:00:00"/>
    <x v="6"/>
    <x v="8"/>
    <x v="6"/>
    <x v="76"/>
    <n v="1"/>
    <n v="0"/>
  </r>
  <r>
    <s v="006.236.494/0001-94"/>
    <x v="62"/>
    <s v="EXCLUSAO  ANOT.INADIMPLENCIA"/>
    <d v="2025-01-09T00:00:00"/>
    <x v="7"/>
    <x v="8"/>
    <x v="7"/>
    <x v="62"/>
    <n v="1"/>
    <n v="0"/>
  </r>
  <r>
    <s v="013.746.252/0001-06"/>
    <x v="15"/>
    <s v="INCLUSAO  ANOT.INADIMPLENCIA"/>
    <d v="2025-01-09T00:00:00"/>
    <x v="7"/>
    <x v="8"/>
    <x v="7"/>
    <x v="15"/>
    <n v="0"/>
    <n v="1"/>
  </r>
  <r>
    <s v="023.605.544/0001-82"/>
    <x v="21"/>
    <s v="EXCLUSAO  ANOT.INADIMPLENCIA"/>
    <d v="2025-01-09T00:00:00"/>
    <x v="11"/>
    <x v="8"/>
    <x v="11"/>
    <x v="21"/>
    <n v="1"/>
    <n v="0"/>
  </r>
  <r>
    <s v="008.250.872/0001-10"/>
    <x v="122"/>
    <s v="EXCLUSAO  ANOT.INADIMPLENCIA"/>
    <d v="2025-01-09T00:00:00"/>
    <x v="8"/>
    <x v="8"/>
    <x v="8"/>
    <x v="122"/>
    <n v="1"/>
    <n v="0"/>
  </r>
  <r>
    <s v="071.350.797/0001-03"/>
    <x v="48"/>
    <s v="EXCLUSAO  ANOT.INADIMPLENCIA"/>
    <d v="2025-01-09T00:00:00"/>
    <x v="16"/>
    <x v="8"/>
    <x v="16"/>
    <x v="48"/>
    <n v="1"/>
    <n v="0"/>
  </r>
  <r>
    <s v="008.785.522/0001-58"/>
    <x v="17"/>
    <s v="INCLUSAO  ANOT.INADIMPLENCIA"/>
    <d v="2025-01-09T00:00:00"/>
    <x v="9"/>
    <x v="8"/>
    <x v="9"/>
    <x v="17"/>
    <n v="0"/>
    <n v="1"/>
  </r>
  <r>
    <s v="020.066.300/0001-80"/>
    <x v="2"/>
    <s v="INCLUSAO  ANOT.INADIMPLENCIA"/>
    <d v="2025-01-10T00:00:00"/>
    <x v="1"/>
    <x v="8"/>
    <x v="1"/>
    <x v="2"/>
    <n v="0"/>
    <n v="1"/>
  </r>
  <r>
    <s v="044.888.871/0001-69"/>
    <x v="107"/>
    <s v="EXCLUSAO  ANOT.INADIMPLENCIA"/>
    <d v="2025-01-10T00:00:00"/>
    <x v="15"/>
    <x v="8"/>
    <x v="15"/>
    <x v="107"/>
    <n v="1"/>
    <n v="0"/>
  </r>
  <r>
    <s v="000.987.236/0001-63"/>
    <x v="99"/>
    <s v="INCL/EXCL ANOT.INADIMPLENCIA"/>
    <d v="2025-01-10T00:00:00"/>
    <x v="6"/>
    <x v="8"/>
    <x v="6"/>
    <x v="99"/>
    <n v="0"/>
    <n v="0"/>
  </r>
  <r>
    <s v="036.906.058/0001-46"/>
    <x v="76"/>
    <s v="EXCLUSAO  ANOT.INADIMPLENCIA"/>
    <d v="2025-01-10T00:00:00"/>
    <x v="6"/>
    <x v="8"/>
    <x v="6"/>
    <x v="76"/>
    <n v="1"/>
    <n v="0"/>
  </r>
  <r>
    <s v="006.236.494/0001-94"/>
    <x v="62"/>
    <s v="EXCLUSAO  ANOT.INADIMPLENCIA"/>
    <d v="2025-01-10T00:00:00"/>
    <x v="7"/>
    <x v="8"/>
    <x v="7"/>
    <x v="62"/>
    <n v="1"/>
    <n v="0"/>
  </r>
  <r>
    <s v="013.746.252/0001-06"/>
    <x v="15"/>
    <s v="EXCLUSAO  ANOT.INADIMPLENCIA"/>
    <d v="2025-01-10T00:00:00"/>
    <x v="7"/>
    <x v="8"/>
    <x v="7"/>
    <x v="15"/>
    <n v="1"/>
    <n v="0"/>
  </r>
  <r>
    <s v="035.475.312/0001-36"/>
    <x v="116"/>
    <s v="EXCLUSAO  ANOT.INADIMPLENCIA"/>
    <d v="2025-01-11T00:00:00"/>
    <x v="0"/>
    <x v="8"/>
    <x v="0"/>
    <x v="116"/>
    <n v="1"/>
    <n v="0"/>
  </r>
  <r>
    <s v="023.911.356/0001-82"/>
    <x v="55"/>
    <s v="EXCLUSAO  ANOT.INADIMPLENCIA"/>
    <d v="2025-01-11T00:00:00"/>
    <x v="0"/>
    <x v="8"/>
    <x v="0"/>
    <x v="55"/>
    <n v="1"/>
    <n v="0"/>
  </r>
  <r>
    <s v="004.126.524/0001-84"/>
    <x v="49"/>
    <s v="INCLUSAO  ANOT.INADIMPLENCIA"/>
    <d v="2025-01-11T00:00:00"/>
    <x v="13"/>
    <x v="8"/>
    <x v="13"/>
    <x v="49"/>
    <n v="0"/>
    <n v="1"/>
  </r>
  <r>
    <s v="020.066.300/0001-80"/>
    <x v="2"/>
    <s v="INCLUSAO  ANOT.INADIMPLENCIA"/>
    <d v="2025-01-11T00:00:00"/>
    <x v="1"/>
    <x v="8"/>
    <x v="1"/>
    <x v="2"/>
    <n v="0"/>
    <n v="1"/>
  </r>
  <r>
    <s v="007.102.721/0001-51"/>
    <x v="44"/>
    <s v="INCLUSAO  ANOT.INADIMPLENCIA"/>
    <d v="2025-01-11T00:00:00"/>
    <x v="15"/>
    <x v="8"/>
    <x v="15"/>
    <x v="44"/>
    <n v="0"/>
    <n v="1"/>
  </r>
  <r>
    <s v="035.165.246/0001-06"/>
    <x v="105"/>
    <s v="INCL/EXCL ANOT.INADIMPLENCIA"/>
    <d v="2025-01-11T00:00:00"/>
    <x v="4"/>
    <x v="8"/>
    <x v="4"/>
    <x v="105"/>
    <n v="0"/>
    <n v="0"/>
  </r>
  <r>
    <s v="000.987.236/0001-63"/>
    <x v="99"/>
    <s v="INCLUSAO  ANOT.INADIMPLENCIA"/>
    <d v="2025-01-11T00:00:00"/>
    <x v="6"/>
    <x v="8"/>
    <x v="6"/>
    <x v="99"/>
    <n v="0"/>
    <n v="1"/>
  </r>
  <r>
    <s v="007.906.793/0001-51"/>
    <x v="126"/>
    <s v="INCLUSAO  ANOT.INADIMPLENCIA"/>
    <d v="2025-01-11T00:00:00"/>
    <x v="6"/>
    <x v="8"/>
    <x v="6"/>
    <x v="126"/>
    <n v="0"/>
    <n v="1"/>
  </r>
  <r>
    <s v="014.763.606/0001-93"/>
    <x v="10"/>
    <s v="INCLUSAO  ANOT.INADIMPLENCIA"/>
    <d v="2025-01-11T00:00:00"/>
    <x v="6"/>
    <x v="8"/>
    <x v="6"/>
    <x v="10"/>
    <n v="0"/>
    <n v="1"/>
  </r>
  <r>
    <s v="046.140.062/0001-08"/>
    <x v="69"/>
    <s v="INCLUSAO  ANOT.INADIMPLENCIA"/>
    <d v="2025-01-11T00:00:00"/>
    <x v="6"/>
    <x v="8"/>
    <x v="6"/>
    <x v="69"/>
    <n v="0"/>
    <n v="1"/>
  </r>
  <r>
    <s v="006.236.494/0001-94"/>
    <x v="62"/>
    <s v="EXCLUSAO  ANOT.INADIMPLENCIA"/>
    <d v="2025-01-11T00:00:00"/>
    <x v="7"/>
    <x v="8"/>
    <x v="7"/>
    <x v="62"/>
    <n v="1"/>
    <n v="0"/>
  </r>
  <r>
    <s v="045.694.996/0001-10"/>
    <x v="118"/>
    <s v="EXCLUSAO  ANOT.INADIMPLENCIA"/>
    <d v="2025-01-11T00:00:00"/>
    <x v="16"/>
    <x v="8"/>
    <x v="16"/>
    <x v="118"/>
    <n v="1"/>
    <n v="0"/>
  </r>
  <r>
    <s v="055.979.736/0001-45"/>
    <x v="64"/>
    <s v="EXCLUSAO  ANOT.INADIMPLENCIA"/>
    <d v="2025-01-11T00:00:00"/>
    <x v="20"/>
    <x v="8"/>
    <x v="20"/>
    <x v="64"/>
    <n v="1"/>
    <n v="0"/>
  </r>
  <r>
    <s v="016.772.642/0001-49"/>
    <x v="70"/>
    <s v="INCLUSAO  ANOT.INADIMPLENCIA"/>
    <d v="2025-01-12T00:00:00"/>
    <x v="0"/>
    <x v="8"/>
    <x v="0"/>
    <x v="70"/>
    <n v="0"/>
    <n v="1"/>
  </r>
  <r>
    <s v="023.911.356/0001-82"/>
    <x v="55"/>
    <s v="EXCLUSAO  ANOT.INADIMPLENCIA"/>
    <d v="2025-01-12T00:00:00"/>
    <x v="0"/>
    <x v="8"/>
    <x v="0"/>
    <x v="55"/>
    <n v="1"/>
    <n v="0"/>
  </r>
  <r>
    <s v="021.734.108/0001-88"/>
    <x v="41"/>
    <s v="INCLUSAO  ANOT.INADIMPLENCIA"/>
    <d v="2025-01-12T00:00:00"/>
    <x v="13"/>
    <x v="8"/>
    <x v="13"/>
    <x v="41"/>
    <n v="0"/>
    <n v="1"/>
  </r>
  <r>
    <s v="006.107.454/0001-42"/>
    <x v="42"/>
    <s v="INCLUSAO  ANOT.INADIMPLENCIA"/>
    <d v="2025-01-12T00:00:00"/>
    <x v="13"/>
    <x v="8"/>
    <x v="13"/>
    <x v="42"/>
    <n v="0"/>
    <n v="1"/>
  </r>
  <r>
    <s v="028.556.973/0001-20"/>
    <x v="119"/>
    <s v="EXCLUSAO  ANOT.INADIMPLENCIA"/>
    <d v="2025-01-12T00:00:00"/>
    <x v="1"/>
    <x v="8"/>
    <x v="1"/>
    <x v="119"/>
    <n v="1"/>
    <n v="0"/>
  </r>
  <r>
    <s v="007.102.721/0001-51"/>
    <x v="44"/>
    <s v="INCLUSAO  ANOT.INADIMPLENCIA"/>
    <d v="2025-01-12T00:00:00"/>
    <x v="15"/>
    <x v="8"/>
    <x v="15"/>
    <x v="44"/>
    <n v="0"/>
    <n v="1"/>
  </r>
  <r>
    <s v="007.561.436/0001-07"/>
    <x v="34"/>
    <s v="INCLUSAO  ANOT.INADIMPLENCIA"/>
    <d v="2025-01-12T00:00:00"/>
    <x v="15"/>
    <x v="8"/>
    <x v="15"/>
    <x v="34"/>
    <n v="0"/>
    <n v="1"/>
  </r>
  <r>
    <s v="019.450.138/0001-10"/>
    <x v="71"/>
    <s v="INCLUSAO  ANOT.INADIMPLENCIA"/>
    <d v="2025-01-12T00:00:00"/>
    <x v="22"/>
    <x v="8"/>
    <x v="22"/>
    <x v="71"/>
    <n v="0"/>
    <n v="1"/>
  </r>
  <r>
    <s v="035.165.246/0001-06"/>
    <x v="105"/>
    <s v="INCLUSAO  ANOT.INADIMPLENCIA"/>
    <d v="2025-01-12T00:00:00"/>
    <x v="4"/>
    <x v="8"/>
    <x v="4"/>
    <x v="105"/>
    <n v="0"/>
    <n v="1"/>
  </r>
  <r>
    <s v="007.906.793/0001-51"/>
    <x v="126"/>
    <s v="INCLUSAO  ANOT.INADIMPLENCIA"/>
    <d v="2025-01-12T00:00:00"/>
    <x v="6"/>
    <x v="8"/>
    <x v="6"/>
    <x v="126"/>
    <n v="0"/>
    <n v="1"/>
  </r>
  <r>
    <s v="014.763.606/0001-93"/>
    <x v="10"/>
    <s v="INCLUSAO  ANOT.INADIMPLENCIA"/>
    <d v="2025-01-12T00:00:00"/>
    <x v="6"/>
    <x v="8"/>
    <x v="6"/>
    <x v="10"/>
    <n v="0"/>
    <n v="1"/>
  </r>
  <r>
    <s v="088.978.606/0001-47"/>
    <x v="115"/>
    <s v="INCLUSAO  ANOT.INADIMPLENCIA"/>
    <d v="2025-01-12T00:00:00"/>
    <x v="6"/>
    <x v="8"/>
    <x v="6"/>
    <x v="115"/>
    <n v="0"/>
    <n v="1"/>
  </r>
  <r>
    <s v="006.236.494/0001-94"/>
    <x v="62"/>
    <s v="EXCLUSAO  ANOT.INADIMPLENCIA"/>
    <d v="2025-01-12T00:00:00"/>
    <x v="7"/>
    <x v="8"/>
    <x v="7"/>
    <x v="62"/>
    <n v="1"/>
    <n v="0"/>
  </r>
  <r>
    <s v="028.477.685/0001-80"/>
    <x v="96"/>
    <s v="INCLUSAO  ANOT.INADIMPLENCIA"/>
    <d v="2025-01-12T00:00:00"/>
    <x v="7"/>
    <x v="8"/>
    <x v="7"/>
    <x v="96"/>
    <n v="0"/>
    <n v="1"/>
  </r>
  <r>
    <s v="013.746.252/0001-06"/>
    <x v="15"/>
    <s v="INCLUSAO  ANOT.INADIMPLENCIA"/>
    <d v="2025-01-12T00:00:00"/>
    <x v="7"/>
    <x v="8"/>
    <x v="7"/>
    <x v="15"/>
    <n v="0"/>
    <n v="1"/>
  </r>
  <r>
    <s v="000.810.852/0001-44"/>
    <x v="85"/>
    <s v="INCLUSAO  ANOT.INADIMPLENCIA"/>
    <d v="2025-01-12T00:00:00"/>
    <x v="8"/>
    <x v="8"/>
    <x v="8"/>
    <x v="85"/>
    <n v="0"/>
    <n v="1"/>
  </r>
  <r>
    <s v="008.250.872/0001-10"/>
    <x v="122"/>
    <s v="INCLUSAO  ANOT.INADIMPLENCIA"/>
    <d v="2025-01-12T00:00:00"/>
    <x v="8"/>
    <x v="8"/>
    <x v="8"/>
    <x v="122"/>
    <n v="0"/>
    <n v="1"/>
  </r>
  <r>
    <s v="038.110.780/0001-03"/>
    <x v="47"/>
    <s v="INCLUSAO  ANOT.INADIMPLENCIA"/>
    <d v="2025-01-12T00:00:00"/>
    <x v="8"/>
    <x v="8"/>
    <x v="8"/>
    <x v="47"/>
    <n v="0"/>
    <n v="1"/>
  </r>
  <r>
    <s v="002.534.653/0001-86"/>
    <x v="106"/>
    <s v="EXCLUSAO  ANOT.INADIMPLENCIA"/>
    <d v="2025-01-12T00:00:00"/>
    <x v="16"/>
    <x v="8"/>
    <x v="16"/>
    <x v="106"/>
    <n v="1"/>
    <n v="0"/>
  </r>
  <r>
    <s v="050.901.671/0001-00"/>
    <x v="127"/>
    <s v="INCLUSAO  ANOT.INADIMPLENCIA"/>
    <d v="2025-01-12T00:00:00"/>
    <x v="16"/>
    <x v="8"/>
    <x v="16"/>
    <x v="127"/>
    <n v="0"/>
    <n v="1"/>
  </r>
  <r>
    <s v="050.164.951/0001-74"/>
    <x v="52"/>
    <s v="INCLUSAO  ANOT.INADIMPLENCIA"/>
    <d v="2025-01-15T00:00:00"/>
    <x v="0"/>
    <x v="8"/>
    <x v="0"/>
    <x v="52"/>
    <n v="0"/>
    <n v="1"/>
  </r>
  <r>
    <s v="045.123.456/0001-87"/>
    <x v="124"/>
    <s v="ALTERACAO RAZAO SOCIAL"/>
    <d v="2025-01-15T00:00:00"/>
    <x v="0"/>
    <x v="8"/>
    <x v="0"/>
    <x v="124"/>
    <n v="0"/>
    <n v="0"/>
  </r>
  <r>
    <s v="020.066.300/0001-80"/>
    <x v="2"/>
    <s v="INCL/EXCL ANOT.INADIMPLENCIA"/>
    <d v="2025-01-15T00:00:00"/>
    <x v="1"/>
    <x v="8"/>
    <x v="1"/>
    <x v="2"/>
    <n v="0"/>
    <n v="0"/>
  </r>
  <r>
    <s v="007.102.721/0001-51"/>
    <x v="44"/>
    <s v="INCLUSAO  ANOT.INADIMPLENCIA"/>
    <d v="2025-01-15T00:00:00"/>
    <x v="15"/>
    <x v="8"/>
    <x v="15"/>
    <x v="44"/>
    <n v="0"/>
    <n v="1"/>
  </r>
  <r>
    <s v="019.450.138/0001-10"/>
    <x v="71"/>
    <s v="EXCLUSAO  ANOT.INADIMPLENCIA"/>
    <d v="2025-01-15T00:00:00"/>
    <x v="22"/>
    <x v="8"/>
    <x v="22"/>
    <x v="71"/>
    <n v="1"/>
    <n v="0"/>
  </r>
  <r>
    <s v="035.165.246/0001-06"/>
    <x v="105"/>
    <s v="INCL/EXCL ANOT.INADIMPLENCIA"/>
    <d v="2025-01-15T00:00:00"/>
    <x v="4"/>
    <x v="8"/>
    <x v="4"/>
    <x v="105"/>
    <n v="0"/>
    <n v="0"/>
  </r>
  <r>
    <s v="014.763.606/0001-93"/>
    <x v="10"/>
    <s v="INCLUSAO  ANOT.INADIMPLENCIA"/>
    <d v="2025-01-15T00:00:00"/>
    <x v="6"/>
    <x v="8"/>
    <x v="6"/>
    <x v="10"/>
    <n v="0"/>
    <n v="1"/>
  </r>
  <r>
    <s v="046.140.062/0001-08"/>
    <x v="69"/>
    <s v="INCLUSAO  ANOT.INADIMPLENCIA"/>
    <d v="2025-01-15T00:00:00"/>
    <x v="6"/>
    <x v="8"/>
    <x v="6"/>
    <x v="69"/>
    <n v="0"/>
    <n v="1"/>
  </r>
  <r>
    <s v="013.746.252/0001-06"/>
    <x v="15"/>
    <s v="EXCLUSAO  ANOT.INADIMPLENCIA"/>
    <d v="2025-01-15T00:00:00"/>
    <x v="7"/>
    <x v="8"/>
    <x v="7"/>
    <x v="15"/>
    <n v="1"/>
    <n v="0"/>
  </r>
  <r>
    <s v="029.246.128/0001-11"/>
    <x v="128"/>
    <s v="INCLUSAO  ANOT.INADIMPLENCIA"/>
    <d v="2025-01-15T00:00:00"/>
    <x v="11"/>
    <x v="8"/>
    <x v="11"/>
    <x v="128"/>
    <n v="0"/>
    <n v="1"/>
  </r>
  <r>
    <s v="026.438.913/0001-88"/>
    <x v="129"/>
    <s v="ALTERACAO RAZAO SOCIAL"/>
    <d v="2025-01-15T00:00:00"/>
    <x v="8"/>
    <x v="8"/>
    <x v="8"/>
    <x v="129"/>
    <n v="0"/>
    <n v="0"/>
  </r>
  <r>
    <s v="008.250.872/0001-10"/>
    <x v="122"/>
    <s v="EXCLUSAO  ANOT.INADIMPLENCIA"/>
    <d v="2025-01-15T00:00:00"/>
    <x v="8"/>
    <x v="8"/>
    <x v="8"/>
    <x v="122"/>
    <n v="1"/>
    <n v="0"/>
  </r>
  <r>
    <s v="038.110.780/0001-03"/>
    <x v="47"/>
    <s v="EXCLUSAO  ANOT.INADIMPLENCIA"/>
    <d v="2025-01-15T00:00:00"/>
    <x v="8"/>
    <x v="8"/>
    <x v="8"/>
    <x v="47"/>
    <n v="1"/>
    <n v="0"/>
  </r>
  <r>
    <s v="042.276.517/0001-58"/>
    <x v="123"/>
    <s v="EXCLUSAO  ANOT.INADIMPLENCIA"/>
    <d v="2025-01-15T00:00:00"/>
    <x v="16"/>
    <x v="8"/>
    <x v="16"/>
    <x v="123"/>
    <n v="1"/>
    <n v="0"/>
  </r>
  <r>
    <s v="055.979.736/0001-45"/>
    <x v="64"/>
    <s v="INCLUSAO  ANOT.INADIMPLENCIA"/>
    <d v="2025-01-15T00:00:00"/>
    <x v="20"/>
    <x v="8"/>
    <x v="20"/>
    <x v="64"/>
    <n v="0"/>
    <n v="1"/>
  </r>
  <r>
    <s v="007.102.721/0001-51"/>
    <x v="44"/>
    <s v="EXCLUSAO  ANOT.INADIMPLENCIA"/>
    <d v="2025-01-16T00:00:00"/>
    <x v="15"/>
    <x v="9"/>
    <x v="15"/>
    <x v="44"/>
    <n v="1"/>
    <n v="0"/>
  </r>
  <r>
    <s v="000.987.236/0001-63"/>
    <x v="99"/>
    <s v="EXCLUSAO  ANOT.INADIMPLENCIA"/>
    <d v="2025-01-16T00:00:00"/>
    <x v="6"/>
    <x v="9"/>
    <x v="6"/>
    <x v="99"/>
    <n v="1"/>
    <n v="0"/>
  </r>
  <r>
    <s v="007.906.793/0001-51"/>
    <x v="126"/>
    <s v="EXCLUSAO  ANOT.INADIMPLENCIA"/>
    <d v="2025-01-16T00:00:00"/>
    <x v="6"/>
    <x v="9"/>
    <x v="6"/>
    <x v="126"/>
    <n v="1"/>
    <n v="0"/>
  </r>
  <r>
    <s v="006.236.494/0001-94"/>
    <x v="62"/>
    <s v="EXCLUSAO  ANOT.INADIMPLENCIA"/>
    <d v="2025-01-16T00:00:00"/>
    <x v="7"/>
    <x v="9"/>
    <x v="7"/>
    <x v="62"/>
    <n v="1"/>
    <n v="0"/>
  </r>
  <r>
    <s v="013.746.252/0001-06"/>
    <x v="15"/>
    <s v="INCL/EXCL ANOT.INADIMPLENCIA"/>
    <d v="2025-01-16T00:00:00"/>
    <x v="7"/>
    <x v="9"/>
    <x v="7"/>
    <x v="15"/>
    <n v="0"/>
    <n v="0"/>
  </r>
  <r>
    <s v="071.350.797/0001-03"/>
    <x v="48"/>
    <s v="EXCLUSAO  ANOT.INADIMPLENCIA"/>
    <d v="2025-01-16T00:00:00"/>
    <x v="16"/>
    <x v="9"/>
    <x v="16"/>
    <x v="48"/>
    <n v="1"/>
    <n v="0"/>
  </r>
  <r>
    <s v="035.165.246/0001-06"/>
    <x v="105"/>
    <s v="INCLUSAO  ANOT.INADIMPLENCIA"/>
    <d v="2025-01-17T00:00:00"/>
    <x v="4"/>
    <x v="9"/>
    <x v="4"/>
    <x v="105"/>
    <n v="0"/>
    <n v="1"/>
  </r>
  <r>
    <s v="046.140.062/0001-08"/>
    <x v="69"/>
    <s v="INCLUSAO  ANOT.INADIMPLENCIA"/>
    <d v="2025-01-17T00:00:00"/>
    <x v="6"/>
    <x v="9"/>
    <x v="6"/>
    <x v="69"/>
    <n v="0"/>
    <n v="1"/>
  </r>
  <r>
    <s v="006.236.494/0001-94"/>
    <x v="62"/>
    <s v="EXCLUSAO  ANOT.INADIMPLENCIA"/>
    <d v="2025-01-17T00:00:00"/>
    <x v="7"/>
    <x v="9"/>
    <x v="7"/>
    <x v="62"/>
    <n v="1"/>
    <n v="0"/>
  </r>
  <r>
    <s v="004.041.192/0001-35"/>
    <x v="37"/>
    <s v="INCLUSAO  ANOT.INADIMPLENCIA"/>
    <d v="2025-01-18T00:00:00"/>
    <x v="0"/>
    <x v="9"/>
    <x v="0"/>
    <x v="37"/>
    <n v="0"/>
    <n v="1"/>
  </r>
  <r>
    <s v="007.102.721/0001-51"/>
    <x v="44"/>
    <s v="EXCLUSAO  ANOT.INADIMPLENCIA"/>
    <d v="2025-01-18T00:00:00"/>
    <x v="15"/>
    <x v="9"/>
    <x v="15"/>
    <x v="44"/>
    <n v="1"/>
    <n v="0"/>
  </r>
  <r>
    <s v="021.420.856/0001-96"/>
    <x v="130"/>
    <s v="INCL/EXCL ANOT.INADIMPLENCIA"/>
    <d v="2025-01-18T00:00:00"/>
    <x v="24"/>
    <x v="9"/>
    <x v="24"/>
    <x v="130"/>
    <n v="0"/>
    <n v="0"/>
  </r>
  <r>
    <s v="026.416.177/0001-67"/>
    <x v="131"/>
    <s v="INCLUSAO  ANOT.INADIMPLENCIA"/>
    <d v="2025-01-18T00:00:00"/>
    <x v="4"/>
    <x v="9"/>
    <x v="4"/>
    <x v="131"/>
    <n v="0"/>
    <n v="1"/>
  </r>
  <r>
    <s v="035.165.246/0001-06"/>
    <x v="105"/>
    <s v="INCLUSAO  ANOT.INADIMPLENCIA"/>
    <d v="2025-01-18T00:00:00"/>
    <x v="4"/>
    <x v="9"/>
    <x v="4"/>
    <x v="105"/>
    <n v="0"/>
    <n v="1"/>
  </r>
  <r>
    <s v="002.246.382/0001-63"/>
    <x v="57"/>
    <s v="EXCLUSAO  ANOT.INADIMPLENCIA"/>
    <d v="2025-01-18T00:00:00"/>
    <x v="4"/>
    <x v="9"/>
    <x v="4"/>
    <x v="57"/>
    <n v="1"/>
    <n v="0"/>
  </r>
  <r>
    <s v="008.991.603/0001-04"/>
    <x v="58"/>
    <s v="INCLUSAO  ANOT.INADIMPLENCIA"/>
    <d v="2025-01-18T00:00:00"/>
    <x v="4"/>
    <x v="9"/>
    <x v="4"/>
    <x v="58"/>
    <n v="0"/>
    <n v="1"/>
  </r>
  <r>
    <s v="000.803.044/0001-50"/>
    <x v="45"/>
    <s v="EXCLUSAO  ANOT.INADIMPLENCIA"/>
    <d v="2025-01-18T00:00:00"/>
    <x v="5"/>
    <x v="9"/>
    <x v="5"/>
    <x v="45"/>
    <n v="1"/>
    <n v="0"/>
  </r>
  <r>
    <s v="007.906.793/0001-51"/>
    <x v="126"/>
    <s v="INCLUSAO  ANOT.INADIMPLENCIA"/>
    <d v="2025-01-18T00:00:00"/>
    <x v="6"/>
    <x v="9"/>
    <x v="6"/>
    <x v="126"/>
    <n v="0"/>
    <n v="1"/>
  </r>
  <r>
    <s v="006.236.494/0001-94"/>
    <x v="62"/>
    <s v="EXCLUSAO  ANOT.INADIMPLENCIA"/>
    <d v="2025-01-18T00:00:00"/>
    <x v="7"/>
    <x v="9"/>
    <x v="7"/>
    <x v="62"/>
    <n v="1"/>
    <n v="0"/>
  </r>
  <r>
    <s v="013.746.252/0001-06"/>
    <x v="15"/>
    <s v="INCL/EXCL ANOT.INADIMPLENCIA"/>
    <d v="2025-01-18T00:00:00"/>
    <x v="7"/>
    <x v="9"/>
    <x v="7"/>
    <x v="15"/>
    <n v="0"/>
    <n v="0"/>
  </r>
  <r>
    <s v="029.246.128/0001-11"/>
    <x v="128"/>
    <s v="EXCLUSAO  ANOT.INADIMPLENCIA"/>
    <d v="2025-01-18T00:00:00"/>
    <x v="11"/>
    <x v="9"/>
    <x v="11"/>
    <x v="128"/>
    <n v="1"/>
    <n v="0"/>
  </r>
  <r>
    <s v="014.385.825/0001-86"/>
    <x v="111"/>
    <s v="INCLUSAO  ANOT.INADIMPLENCIA"/>
    <d v="2025-01-18T00:00:00"/>
    <x v="8"/>
    <x v="9"/>
    <x v="8"/>
    <x v="111"/>
    <n v="0"/>
    <n v="1"/>
  </r>
  <r>
    <s v="071.350.797/0001-03"/>
    <x v="48"/>
    <s v="INCLUSAO  ANOT.INADIMPLENCIA"/>
    <d v="2025-01-18T00:00:00"/>
    <x v="16"/>
    <x v="9"/>
    <x v="16"/>
    <x v="48"/>
    <n v="0"/>
    <n v="1"/>
  </r>
  <r>
    <s v="008.785.522/0001-58"/>
    <x v="17"/>
    <s v="EXCLUSAO  ANOT.INADIMPLENCIA"/>
    <d v="2025-01-18T00:00:00"/>
    <x v="9"/>
    <x v="9"/>
    <x v="9"/>
    <x v="17"/>
    <n v="1"/>
    <n v="0"/>
  </r>
  <r>
    <s v="007.561.436/0001-07"/>
    <x v="34"/>
    <s v="EXCLUSAO  ANOT.INADIMPLENCIA"/>
    <d v="2025-01-19T00:00:00"/>
    <x v="15"/>
    <x v="9"/>
    <x v="15"/>
    <x v="34"/>
    <n v="1"/>
    <n v="0"/>
  </r>
  <r>
    <s v="007.906.793/0001-51"/>
    <x v="126"/>
    <s v="INCL/EXCL ANOT.INADIMPLENCIA"/>
    <d v="2025-01-20T00:00:00"/>
    <x v="6"/>
    <x v="9"/>
    <x v="6"/>
    <x v="126"/>
    <n v="0"/>
    <n v="0"/>
  </r>
  <r>
    <s v="016.772.642/0001-49"/>
    <x v="70"/>
    <s v="INCLUSAO  ANOT.INADIMPLENCIA"/>
    <d v="2025-01-21T00:00:00"/>
    <x v="0"/>
    <x v="9"/>
    <x v="0"/>
    <x v="70"/>
    <n v="0"/>
    <n v="1"/>
  </r>
  <r>
    <s v="004.126.524/0001-84"/>
    <x v="49"/>
    <s v="EXCLUSAO  ANOT.INADIMPLENCIA"/>
    <d v="2025-01-21T00:00:00"/>
    <x v="13"/>
    <x v="9"/>
    <x v="13"/>
    <x v="49"/>
    <n v="1"/>
    <n v="0"/>
  </r>
  <r>
    <s v="028.556.973/0001-20"/>
    <x v="119"/>
    <s v="INCLUSAO  ANOT.INADIMPLENCIA"/>
    <d v="2025-01-21T00:00:00"/>
    <x v="1"/>
    <x v="9"/>
    <x v="1"/>
    <x v="119"/>
    <n v="0"/>
    <n v="1"/>
  </r>
  <r>
    <s v="020.066.300/0001-80"/>
    <x v="2"/>
    <s v="INCLUSAO  ANOT.INADIMPLENCIA"/>
    <d v="2025-01-21T00:00:00"/>
    <x v="1"/>
    <x v="9"/>
    <x v="1"/>
    <x v="2"/>
    <n v="0"/>
    <n v="1"/>
  </r>
  <r>
    <s v="012.520.791/0001-60"/>
    <x v="4"/>
    <s v="INCLUSAO  ANOT.INADIMPLENCIA"/>
    <d v="2025-01-21T00:00:00"/>
    <x v="1"/>
    <x v="9"/>
    <x v="1"/>
    <x v="4"/>
    <n v="0"/>
    <n v="1"/>
  </r>
  <r>
    <s v="016.757.535/0001-41"/>
    <x v="29"/>
    <s v="INCLUSAO  ANOT.INADIMPLENCIA"/>
    <d v="2025-01-21T00:00:00"/>
    <x v="14"/>
    <x v="9"/>
    <x v="14"/>
    <x v="29"/>
    <n v="0"/>
    <n v="1"/>
  </r>
  <r>
    <s v="028.842.753/0001-63"/>
    <x v="50"/>
    <s v="INCLUSAO  ANOT.INADIMPLENCIA"/>
    <d v="2025-01-21T00:00:00"/>
    <x v="19"/>
    <x v="9"/>
    <x v="19"/>
    <x v="50"/>
    <n v="0"/>
    <n v="1"/>
  </r>
  <r>
    <s v="035.649.603/0001-01"/>
    <x v="120"/>
    <s v="INCLUSAO  ANOT.INADIMPLENCIA"/>
    <d v="2025-01-21T00:00:00"/>
    <x v="15"/>
    <x v="9"/>
    <x v="15"/>
    <x v="120"/>
    <n v="0"/>
    <n v="1"/>
  </r>
  <r>
    <s v="007.102.721/0001-51"/>
    <x v="44"/>
    <s v="EXCLUSAO  ANOT.INADIMPLENCIA"/>
    <d v="2025-01-21T00:00:00"/>
    <x v="15"/>
    <x v="9"/>
    <x v="15"/>
    <x v="44"/>
    <n v="1"/>
    <n v="0"/>
  </r>
  <r>
    <s v="019.450.138/0001-10"/>
    <x v="71"/>
    <s v="INCLUSAO  ANOT.INADIMPLENCIA"/>
    <d v="2025-01-21T00:00:00"/>
    <x v="22"/>
    <x v="9"/>
    <x v="22"/>
    <x v="71"/>
    <n v="0"/>
    <n v="1"/>
  </r>
  <r>
    <s v="018.608.055/0001-44"/>
    <x v="132"/>
    <s v="EXCLUSAO  ANOT.INADIMPLENCIA"/>
    <d v="2025-01-21T00:00:00"/>
    <x v="4"/>
    <x v="9"/>
    <x v="4"/>
    <x v="132"/>
    <n v="1"/>
    <n v="0"/>
  </r>
  <r>
    <s v="034.821.586/0001-77"/>
    <x v="38"/>
    <s v="INCLUSAO  ANOT.INADIMPLENCIA"/>
    <d v="2025-01-21T00:00:00"/>
    <x v="4"/>
    <x v="9"/>
    <x v="4"/>
    <x v="38"/>
    <n v="0"/>
    <n v="1"/>
  </r>
  <r>
    <s v="035.165.246/0001-06"/>
    <x v="105"/>
    <s v="INCLUSAO  ANOT.INADIMPLENCIA"/>
    <d v="2025-01-21T00:00:00"/>
    <x v="4"/>
    <x v="9"/>
    <x v="4"/>
    <x v="105"/>
    <n v="0"/>
    <n v="1"/>
  </r>
  <r>
    <s v="002.246.382/0001-63"/>
    <x v="57"/>
    <s v="EXCLUSAO  ANOT.INADIMPLENCIA"/>
    <d v="2025-01-21T00:00:00"/>
    <x v="4"/>
    <x v="9"/>
    <x v="4"/>
    <x v="57"/>
    <n v="1"/>
    <n v="0"/>
  </r>
  <r>
    <s v="008.991.603/0001-04"/>
    <x v="58"/>
    <s v="INCLUSAO  ANOT.INADIMPLENCIA"/>
    <d v="2025-01-21T00:00:00"/>
    <x v="4"/>
    <x v="9"/>
    <x v="4"/>
    <x v="58"/>
    <n v="0"/>
    <n v="1"/>
  </r>
  <r>
    <s v="000.987.236/0001-63"/>
    <x v="99"/>
    <s v="EXCLUSAO  ANOT.INADIMPLENCIA"/>
    <d v="2025-01-21T00:00:00"/>
    <x v="6"/>
    <x v="9"/>
    <x v="6"/>
    <x v="99"/>
    <n v="1"/>
    <n v="0"/>
  </r>
  <r>
    <s v="014.763.606/0001-93"/>
    <x v="10"/>
    <s v="INCLUSAO  ANOT.INADIMPLENCIA"/>
    <d v="2025-01-21T00:00:00"/>
    <x v="6"/>
    <x v="9"/>
    <x v="6"/>
    <x v="10"/>
    <n v="0"/>
    <n v="1"/>
  </r>
  <r>
    <s v="014.763.606/0001-93"/>
    <x v="10"/>
    <s v="INCLUSAO  ANOT.INADIMPLENCIA"/>
    <d v="2025-01-21T00:00:00"/>
    <x v="6"/>
    <x v="9"/>
    <x v="6"/>
    <x v="10"/>
    <n v="0"/>
    <n v="1"/>
  </r>
  <r>
    <s v="088.978.606/0001-47"/>
    <x v="115"/>
    <s v="INCLUSAO  ANOT.INADIMPLENCIA"/>
    <d v="2025-01-21T00:00:00"/>
    <x v="6"/>
    <x v="9"/>
    <x v="6"/>
    <x v="115"/>
    <n v="0"/>
    <n v="1"/>
  </r>
  <r>
    <s v="006.236.494/0001-94"/>
    <x v="62"/>
    <s v="EXCLUSAO  ANOT.INADIMPLENCIA"/>
    <d v="2025-01-21T00:00:00"/>
    <x v="7"/>
    <x v="9"/>
    <x v="7"/>
    <x v="62"/>
    <n v="1"/>
    <n v="0"/>
  </r>
  <r>
    <s v="016.956.677/0001-38"/>
    <x v="93"/>
    <s v="INCLUSAO  ANOT.INADIMPLENCIA"/>
    <d v="2025-01-21T00:00:00"/>
    <x v="7"/>
    <x v="9"/>
    <x v="7"/>
    <x v="93"/>
    <n v="0"/>
    <n v="1"/>
  </r>
  <r>
    <s v="013.746.252/0001-06"/>
    <x v="15"/>
    <s v="INCLUSAO  ANOT.INADIMPLENCIA"/>
    <d v="2025-01-21T00:00:00"/>
    <x v="7"/>
    <x v="9"/>
    <x v="7"/>
    <x v="15"/>
    <n v="0"/>
    <n v="1"/>
  </r>
  <r>
    <s v="021.473.575/0001-00"/>
    <x v="63"/>
    <s v="INCLUSAO  ANOT.INADIMPLENCIA"/>
    <d v="2025-01-21T00:00:00"/>
    <x v="11"/>
    <x v="9"/>
    <x v="11"/>
    <x v="63"/>
    <n v="0"/>
    <n v="1"/>
  </r>
  <r>
    <s v="014.385.825/0001-86"/>
    <x v="111"/>
    <s v="INCLUSAO  ANOT.INADIMPLENCIA"/>
    <d v="2025-01-21T00:00:00"/>
    <x v="8"/>
    <x v="9"/>
    <x v="8"/>
    <x v="111"/>
    <n v="0"/>
    <n v="1"/>
  </r>
  <r>
    <s v="002.534.653/0001-86"/>
    <x v="106"/>
    <s v="EXCLUSAO  ANOT.INADIMPLENCIA"/>
    <d v="2025-01-21T00:00:00"/>
    <x v="16"/>
    <x v="9"/>
    <x v="16"/>
    <x v="106"/>
    <n v="1"/>
    <n v="0"/>
  </r>
  <r>
    <s v="005.355.135/0001-93"/>
    <x v="114"/>
    <s v="INCLUSAO  ANOT.INADIMPLENCIA"/>
    <d v="2025-01-21T00:00:00"/>
    <x v="16"/>
    <x v="9"/>
    <x v="16"/>
    <x v="114"/>
    <n v="0"/>
    <n v="1"/>
  </r>
  <r>
    <s v="043.515.558/0001-12"/>
    <x v="22"/>
    <s v="INCLUSAO  ANOT.INADIMPLENCIA"/>
    <d v="2025-01-21T00:00:00"/>
    <x v="12"/>
    <x v="9"/>
    <x v="12"/>
    <x v="22"/>
    <n v="0"/>
    <n v="1"/>
  </r>
  <r>
    <s v="016.772.642/0001-49"/>
    <x v="70"/>
    <s v="INCLUSAO  ANOT.INADIMPLENCIA"/>
    <d v="2025-01-22T00:00:00"/>
    <x v="0"/>
    <x v="9"/>
    <x v="0"/>
    <x v="70"/>
    <n v="0"/>
    <n v="1"/>
  </r>
  <r>
    <s v="033.803.691/0001-10"/>
    <x v="104"/>
    <s v="ALTERACAO QUADRO SOCIAL"/>
    <d v="2025-01-22T00:00:00"/>
    <x v="0"/>
    <x v="9"/>
    <x v="0"/>
    <x v="104"/>
    <n v="0"/>
    <n v="0"/>
  </r>
  <r>
    <s v="033.803.691/0001-10"/>
    <x v="104"/>
    <s v="ALTERACAO ADMINISTRADORES"/>
    <d v="2025-01-22T00:00:00"/>
    <x v="0"/>
    <x v="9"/>
    <x v="0"/>
    <x v="104"/>
    <n v="0"/>
    <n v="0"/>
  </r>
  <r>
    <s v="001.831.532/0001-33"/>
    <x v="133"/>
    <s v="ALTERACAO QUADRO SOCIAL"/>
    <d v="2025-01-22T00:00:00"/>
    <x v="13"/>
    <x v="9"/>
    <x v="13"/>
    <x v="133"/>
    <n v="0"/>
    <n v="0"/>
  </r>
  <r>
    <s v="004.126.524/0001-84"/>
    <x v="49"/>
    <s v="EXCLUSAO  ANOT.INADIMPLENCIA"/>
    <d v="2025-01-22T00:00:00"/>
    <x v="13"/>
    <x v="9"/>
    <x v="13"/>
    <x v="49"/>
    <n v="1"/>
    <n v="0"/>
  </r>
  <r>
    <s v="036.726.274/0001-00"/>
    <x v="134"/>
    <s v="INCLUSAO  ANOT.INADIMPLENCIA"/>
    <d v="2025-01-22T00:00:00"/>
    <x v="1"/>
    <x v="9"/>
    <x v="1"/>
    <x v="134"/>
    <n v="0"/>
    <n v="1"/>
  </r>
  <r>
    <s v="029.030.307/0001-17"/>
    <x v="43"/>
    <s v="INCLUSAO  ANOT.INADIMPLENCIA"/>
    <d v="2025-01-22T00:00:00"/>
    <x v="1"/>
    <x v="9"/>
    <x v="1"/>
    <x v="43"/>
    <n v="0"/>
    <n v="1"/>
  </r>
  <r>
    <s v="025.236.865/0001-82"/>
    <x v="51"/>
    <s v="EXCLUSAO  ANOT.INADIMPLENCIA"/>
    <d v="2025-01-22T00:00:00"/>
    <x v="1"/>
    <x v="9"/>
    <x v="1"/>
    <x v="51"/>
    <n v="1"/>
    <n v="0"/>
  </r>
  <r>
    <s v="028.842.753/0001-63"/>
    <x v="50"/>
    <s v="INCLUSAO  ANOT.INADIMPLENCIA"/>
    <d v="2025-01-22T00:00:00"/>
    <x v="19"/>
    <x v="9"/>
    <x v="19"/>
    <x v="50"/>
    <n v="0"/>
    <n v="1"/>
  </r>
  <r>
    <s v="007.102.721/0001-51"/>
    <x v="44"/>
    <s v="INCLUSAO  ANOT.INADIMPLENCIA"/>
    <d v="2025-01-22T00:00:00"/>
    <x v="15"/>
    <x v="9"/>
    <x v="15"/>
    <x v="44"/>
    <n v="0"/>
    <n v="1"/>
  </r>
  <r>
    <s v="021.420.856/0001-96"/>
    <x v="130"/>
    <s v="INCLUSAO  ANOT.INADIMPLENCIA"/>
    <d v="2025-01-22T00:00:00"/>
    <x v="24"/>
    <x v="9"/>
    <x v="24"/>
    <x v="130"/>
    <n v="0"/>
    <n v="1"/>
  </r>
  <r>
    <s v="019.450.138/0001-10"/>
    <x v="71"/>
    <s v="INCLUSAO  ANOT.INADIMPLENCIA"/>
    <d v="2025-01-22T00:00:00"/>
    <x v="22"/>
    <x v="9"/>
    <x v="22"/>
    <x v="71"/>
    <n v="0"/>
    <n v="1"/>
  </r>
  <r>
    <s v="026.416.177/0001-67"/>
    <x v="131"/>
    <s v="INCLUSAO  ANOT.INADIMPLENCIA"/>
    <d v="2025-01-22T00:00:00"/>
    <x v="4"/>
    <x v="9"/>
    <x v="4"/>
    <x v="131"/>
    <n v="0"/>
    <n v="1"/>
  </r>
  <r>
    <s v="000.803.044/0001-50"/>
    <x v="45"/>
    <s v="EXCLUSAO  ANOT.INADIMPLENCIA"/>
    <d v="2025-01-22T00:00:00"/>
    <x v="5"/>
    <x v="9"/>
    <x v="5"/>
    <x v="45"/>
    <n v="1"/>
    <n v="0"/>
  </r>
  <r>
    <s v="014.763.606/0001-93"/>
    <x v="10"/>
    <s v="INCLUSAO  ANOT.INADIMPLENCIA"/>
    <d v="2025-01-22T00:00:00"/>
    <x v="6"/>
    <x v="9"/>
    <x v="6"/>
    <x v="10"/>
    <n v="0"/>
    <n v="1"/>
  </r>
  <r>
    <s v="088.978.606/0001-47"/>
    <x v="115"/>
    <s v="INCLUSAO  ANOT.INADIMPLENCIA"/>
    <d v="2025-01-22T00:00:00"/>
    <x v="6"/>
    <x v="9"/>
    <x v="6"/>
    <x v="115"/>
    <n v="0"/>
    <n v="1"/>
  </r>
  <r>
    <s v="037.143.334/0001-24"/>
    <x v="135"/>
    <s v="INCLUSAO  ANOT.INADIMPLENCIA"/>
    <d v="2025-01-22T00:00:00"/>
    <x v="6"/>
    <x v="9"/>
    <x v="6"/>
    <x v="135"/>
    <n v="0"/>
    <n v="1"/>
  </r>
  <r>
    <s v="006.236.494/0001-94"/>
    <x v="62"/>
    <s v="EXCLUSAO  ANOT.INADIMPLENCIA"/>
    <d v="2025-01-22T00:00:00"/>
    <x v="7"/>
    <x v="9"/>
    <x v="7"/>
    <x v="62"/>
    <n v="1"/>
    <n v="0"/>
  </r>
  <r>
    <s v="013.746.252/0001-06"/>
    <x v="15"/>
    <s v="INCLUSAO  ANOT.INADIMPLENCIA"/>
    <d v="2025-01-22T00:00:00"/>
    <x v="7"/>
    <x v="9"/>
    <x v="7"/>
    <x v="15"/>
    <n v="0"/>
    <n v="1"/>
  </r>
  <r>
    <s v="049.847.331/0001-50"/>
    <x v="136"/>
    <s v="INCLUSAO  ANOT.INADIMPLENCIA"/>
    <d v="2025-01-22T00:00:00"/>
    <x v="11"/>
    <x v="9"/>
    <x v="11"/>
    <x v="136"/>
    <n v="0"/>
    <n v="1"/>
  </r>
  <r>
    <s v="014.829.598/0001-30"/>
    <x v="31"/>
    <s v="EXCLUSAO  ANOT.INADIMPLENCIA"/>
    <d v="2025-01-22T00:00:00"/>
    <x v="11"/>
    <x v="9"/>
    <x v="11"/>
    <x v="31"/>
    <n v="1"/>
    <n v="0"/>
  </r>
  <r>
    <s v="066.209.362/0001-03"/>
    <x v="137"/>
    <s v="INCLUSAO  ANOT.INADIMPLENCIA"/>
    <d v="2025-01-22T00:00:00"/>
    <x v="8"/>
    <x v="9"/>
    <x v="8"/>
    <x v="137"/>
    <n v="0"/>
    <n v="1"/>
  </r>
  <r>
    <s v="041.421.379/0001-90"/>
    <x v="138"/>
    <s v="INCLUSAO  ANOT.INADIMPLENCIA"/>
    <d v="2025-01-22T00:00:00"/>
    <x v="8"/>
    <x v="9"/>
    <x v="8"/>
    <x v="138"/>
    <n v="0"/>
    <n v="1"/>
  </r>
  <r>
    <s v="051.107.672/0001-31"/>
    <x v="32"/>
    <s v="INCLUSAO  ANOT.INADIMPLENCIA"/>
    <d v="2025-01-22T00:00:00"/>
    <x v="16"/>
    <x v="9"/>
    <x v="16"/>
    <x v="32"/>
    <n v="0"/>
    <n v="1"/>
  </r>
  <r>
    <s v="043.515.558/0001-12"/>
    <x v="22"/>
    <s v="ALTERACAO QUADRO SOCIAL"/>
    <d v="2025-01-22T00:00:00"/>
    <x v="12"/>
    <x v="9"/>
    <x v="12"/>
    <x v="22"/>
    <n v="0"/>
    <n v="0"/>
  </r>
  <r>
    <s v="043.515.558/0001-12"/>
    <x v="22"/>
    <s v="INCLUSAO  ANOT.INADIMPLENCIA"/>
    <d v="2025-01-22T00:00:00"/>
    <x v="12"/>
    <x v="9"/>
    <x v="12"/>
    <x v="22"/>
    <n v="0"/>
    <n v="1"/>
  </r>
  <r>
    <s v="029.795.190/0001-62"/>
    <x v="139"/>
    <s v="EXCLUSAO  ANOT.INADIMPLENCIA"/>
    <d v="2025-01-23T00:00:00"/>
    <x v="0"/>
    <x v="9"/>
    <x v="0"/>
    <x v="139"/>
    <n v="1"/>
    <n v="0"/>
  </r>
  <r>
    <s v="004.126.524/0001-84"/>
    <x v="49"/>
    <s v="EXCLUSAO  ANOT.INADIMPLENCIA"/>
    <d v="2025-01-23T00:00:00"/>
    <x v="13"/>
    <x v="9"/>
    <x v="13"/>
    <x v="49"/>
    <n v="1"/>
    <n v="0"/>
  </r>
  <r>
    <s v="028.556.973/0001-20"/>
    <x v="119"/>
    <s v="EXCLUSAO  ANOT.INADIMPLENCIA"/>
    <d v="2025-01-23T00:00:00"/>
    <x v="1"/>
    <x v="9"/>
    <x v="1"/>
    <x v="119"/>
    <n v="1"/>
    <n v="0"/>
  </r>
  <r>
    <s v="020.066.300/0001-80"/>
    <x v="2"/>
    <s v="INCL/EXCL ANOT.INADIMPLENCIA"/>
    <d v="2025-01-23T00:00:00"/>
    <x v="1"/>
    <x v="9"/>
    <x v="1"/>
    <x v="2"/>
    <n v="0"/>
    <n v="0"/>
  </r>
  <r>
    <s v="007.102.721/0001-51"/>
    <x v="44"/>
    <s v="EXCLUSAO  ANOT.INADIMPLENCIA"/>
    <d v="2025-01-23T00:00:00"/>
    <x v="15"/>
    <x v="9"/>
    <x v="15"/>
    <x v="44"/>
    <n v="1"/>
    <n v="0"/>
  </r>
  <r>
    <s v="021.420.856/0001-96"/>
    <x v="130"/>
    <s v="EXCLUSAO  ANOT.INADIMPLENCIA"/>
    <d v="2025-01-23T00:00:00"/>
    <x v="24"/>
    <x v="9"/>
    <x v="24"/>
    <x v="130"/>
    <n v="1"/>
    <n v="0"/>
  </r>
  <r>
    <s v="019.450.138/0001-10"/>
    <x v="71"/>
    <s v="INCLUSAO  ANOT.INADIMPLENCIA"/>
    <d v="2025-01-23T00:00:00"/>
    <x v="22"/>
    <x v="9"/>
    <x v="22"/>
    <x v="71"/>
    <n v="0"/>
    <n v="1"/>
  </r>
  <r>
    <s v="025.825.654/0001-85"/>
    <x v="7"/>
    <s v="INCLUSAO  ANOT.INADIMPLENCIA"/>
    <d v="2025-01-23T00:00:00"/>
    <x v="4"/>
    <x v="9"/>
    <x v="4"/>
    <x v="7"/>
    <n v="0"/>
    <n v="1"/>
  </r>
  <r>
    <s v="034.821.586/0001-77"/>
    <x v="38"/>
    <s v="INCLUSAO  ANOT.INADIMPLENCIA"/>
    <d v="2025-01-23T00:00:00"/>
    <x v="4"/>
    <x v="9"/>
    <x v="4"/>
    <x v="38"/>
    <n v="0"/>
    <n v="1"/>
  </r>
  <r>
    <s v="035.165.246/0001-06"/>
    <x v="105"/>
    <s v="INCLUSAO  ANOT.INADIMPLENCIA"/>
    <d v="2025-01-23T00:00:00"/>
    <x v="4"/>
    <x v="9"/>
    <x v="4"/>
    <x v="105"/>
    <n v="0"/>
    <n v="1"/>
  </r>
  <r>
    <s v="002.246.382/0001-63"/>
    <x v="57"/>
    <s v="INCLUSAO  ANOT.INADIMPLENCIA"/>
    <d v="2025-01-23T00:00:00"/>
    <x v="4"/>
    <x v="9"/>
    <x v="4"/>
    <x v="57"/>
    <n v="0"/>
    <n v="1"/>
  </r>
  <r>
    <s v="008.991.603/0001-04"/>
    <x v="58"/>
    <s v="INCL/EXCL ANOT.INADIMPLENCIA"/>
    <d v="2025-01-23T00:00:00"/>
    <x v="4"/>
    <x v="9"/>
    <x v="4"/>
    <x v="58"/>
    <n v="0"/>
    <n v="0"/>
  </r>
  <r>
    <s v="035.665.211/0001-28"/>
    <x v="94"/>
    <s v="INCLUSAO  ANOT.INADIMPLENCIA"/>
    <d v="2025-01-23T00:00:00"/>
    <x v="5"/>
    <x v="9"/>
    <x v="5"/>
    <x v="94"/>
    <n v="0"/>
    <n v="1"/>
  </r>
  <r>
    <s v="088.978.606/0001-47"/>
    <x v="115"/>
    <s v="INCL/EXCL ANOT.INADIMPLENCIA"/>
    <d v="2025-01-23T00:00:00"/>
    <x v="6"/>
    <x v="9"/>
    <x v="6"/>
    <x v="115"/>
    <n v="0"/>
    <n v="0"/>
  </r>
  <r>
    <s v="036.906.058/0001-46"/>
    <x v="76"/>
    <s v="EXCLUSAO  ANOT.INADIMPLENCIA"/>
    <d v="2025-01-23T00:00:00"/>
    <x v="6"/>
    <x v="9"/>
    <x v="6"/>
    <x v="76"/>
    <n v="1"/>
    <n v="0"/>
  </r>
  <r>
    <s v="006.236.494/0001-94"/>
    <x v="62"/>
    <s v="EXCLUSAO  ANOT.INADIMPLENCIA"/>
    <d v="2025-01-23T00:00:00"/>
    <x v="7"/>
    <x v="9"/>
    <x v="7"/>
    <x v="62"/>
    <n v="1"/>
    <n v="0"/>
  </r>
  <r>
    <s v="023.637.987/0001-55"/>
    <x v="20"/>
    <s v="ALTERACAO QUADRO SOCIAL"/>
    <d v="2025-01-23T00:00:00"/>
    <x v="7"/>
    <x v="9"/>
    <x v="7"/>
    <x v="20"/>
    <n v="0"/>
    <n v="0"/>
  </r>
  <r>
    <s v="023.637.987/0001-55"/>
    <x v="20"/>
    <s v="ALTERACAO ADMINISTRADORES"/>
    <d v="2025-01-23T00:00:00"/>
    <x v="7"/>
    <x v="9"/>
    <x v="7"/>
    <x v="20"/>
    <n v="0"/>
    <n v="0"/>
  </r>
  <r>
    <s v="013.746.252/0001-06"/>
    <x v="15"/>
    <s v="EXCLUSAO  ANOT.INADIMPLENCIA"/>
    <d v="2025-01-23T00:00:00"/>
    <x v="7"/>
    <x v="9"/>
    <x v="7"/>
    <x v="15"/>
    <n v="1"/>
    <n v="0"/>
  </r>
  <r>
    <s v="037.054.821/0001-10"/>
    <x v="84"/>
    <s v="EXCLUSAO  ANOT.INADIMPLENCIA"/>
    <d v="2025-01-23T00:00:00"/>
    <x v="11"/>
    <x v="9"/>
    <x v="11"/>
    <x v="84"/>
    <n v="1"/>
    <n v="0"/>
  </r>
  <r>
    <s v="049.847.331/0001-50"/>
    <x v="136"/>
    <s v="INCLUSAO  ANOT.INADIMPLENCIA"/>
    <d v="2025-01-23T00:00:00"/>
    <x v="11"/>
    <x v="9"/>
    <x v="11"/>
    <x v="136"/>
    <n v="0"/>
    <n v="1"/>
  </r>
  <r>
    <s v="050.721.360/0001-50"/>
    <x v="110"/>
    <s v="ALTERACAO ENDERECO"/>
    <d v="2025-01-23T00:00:00"/>
    <x v="11"/>
    <x v="9"/>
    <x v="11"/>
    <x v="110"/>
    <n v="0"/>
    <n v="0"/>
  </r>
  <r>
    <s v="021.473.575/0001-00"/>
    <x v="63"/>
    <s v="INCLUSAO  ANOT.INADIMPLENCIA"/>
    <d v="2025-01-23T00:00:00"/>
    <x v="11"/>
    <x v="9"/>
    <x v="11"/>
    <x v="63"/>
    <n v="0"/>
    <n v="1"/>
  </r>
  <r>
    <s v="050.850.666/0001-07"/>
    <x v="140"/>
    <s v="EXCLUSAO  ANOT.INADIMPLENCIA"/>
    <d v="2025-01-23T00:00:00"/>
    <x v="8"/>
    <x v="9"/>
    <x v="8"/>
    <x v="140"/>
    <n v="1"/>
    <n v="0"/>
  </r>
  <r>
    <s v="000.810.852/0001-44"/>
    <x v="85"/>
    <s v="INCLUSAO  ANOT.INADIMPLENCIA"/>
    <d v="2025-01-23T00:00:00"/>
    <x v="8"/>
    <x v="9"/>
    <x v="8"/>
    <x v="85"/>
    <n v="0"/>
    <n v="1"/>
  </r>
  <r>
    <s v="038.110.780/0001-03"/>
    <x v="47"/>
    <s v="INCLUSAO  ANOT.INADIMPLENCIA"/>
    <d v="2025-01-23T00:00:00"/>
    <x v="8"/>
    <x v="9"/>
    <x v="8"/>
    <x v="47"/>
    <n v="0"/>
    <n v="1"/>
  </r>
  <r>
    <s v="071.350.797/0001-03"/>
    <x v="48"/>
    <s v="EXCLUSAO  ANOT.INADIMPLENCIA"/>
    <d v="2025-01-23T00:00:00"/>
    <x v="16"/>
    <x v="9"/>
    <x v="16"/>
    <x v="48"/>
    <n v="1"/>
    <n v="0"/>
  </r>
  <r>
    <s v="046.674.060/0001-90"/>
    <x v="141"/>
    <s v="EXCLUSAO  ANOT.INADIMPLENCIA"/>
    <d v="2025-01-23T00:00:00"/>
    <x v="16"/>
    <x v="9"/>
    <x v="16"/>
    <x v="141"/>
    <n v="1"/>
    <n v="0"/>
  </r>
  <r>
    <s v="051.362.368/0001-30"/>
    <x v="142"/>
    <s v="EXCLUSAO  ANOT.INADIMPLENCIA"/>
    <d v="2025-01-23T00:00:00"/>
    <x v="16"/>
    <x v="9"/>
    <x v="16"/>
    <x v="142"/>
    <n v="1"/>
    <n v="0"/>
  </r>
  <r>
    <s v="016.772.642/0001-49"/>
    <x v="70"/>
    <s v="INCLUSAO  ANOT.INADIMPLENCIA"/>
    <d v="2025-01-24T00:00:00"/>
    <x v="0"/>
    <x v="9"/>
    <x v="0"/>
    <x v="70"/>
    <n v="0"/>
    <n v="1"/>
  </r>
  <r>
    <s v="023.911.356/0001-82"/>
    <x v="55"/>
    <s v="EXCLUSAO  ANOT.INADIMPLENCIA"/>
    <d v="2025-01-24T00:00:00"/>
    <x v="0"/>
    <x v="9"/>
    <x v="0"/>
    <x v="55"/>
    <n v="1"/>
    <n v="0"/>
  </r>
  <r>
    <s v="020.066.300/0001-80"/>
    <x v="2"/>
    <s v="INCLUSAO  ANOT.INADIMPLENCIA"/>
    <d v="2025-01-24T00:00:00"/>
    <x v="1"/>
    <x v="9"/>
    <x v="1"/>
    <x v="2"/>
    <n v="0"/>
    <n v="1"/>
  </r>
  <r>
    <s v="012.520.791/0001-60"/>
    <x v="4"/>
    <s v="EXCLUSAO  ANOT.INADIMPLENCIA"/>
    <d v="2025-01-24T00:00:00"/>
    <x v="1"/>
    <x v="9"/>
    <x v="1"/>
    <x v="4"/>
    <n v="1"/>
    <n v="0"/>
  </r>
  <r>
    <s v="016.757.535/0001-41"/>
    <x v="29"/>
    <s v="INCLUSAO  ANOT.INADIMPLENCIA"/>
    <d v="2025-01-24T00:00:00"/>
    <x v="14"/>
    <x v="9"/>
    <x v="14"/>
    <x v="29"/>
    <n v="0"/>
    <n v="1"/>
  </r>
  <r>
    <s v="028.842.753/0001-63"/>
    <x v="50"/>
    <s v="INCL/EXCL ANOT.INADIMPLENCIA"/>
    <d v="2025-01-24T00:00:00"/>
    <x v="19"/>
    <x v="9"/>
    <x v="19"/>
    <x v="50"/>
    <n v="0"/>
    <n v="0"/>
  </r>
  <r>
    <s v="026.416.177/0001-67"/>
    <x v="131"/>
    <s v="INCLUSAO  ANOT.INADIMPLENCIA"/>
    <d v="2025-01-24T00:00:00"/>
    <x v="4"/>
    <x v="9"/>
    <x v="4"/>
    <x v="131"/>
    <n v="0"/>
    <n v="1"/>
  </r>
  <r>
    <s v="005.350.235/0001-27"/>
    <x v="73"/>
    <s v="EXCLUSAO  ANOT.INADIMPLENCIA"/>
    <d v="2025-01-24T00:00:00"/>
    <x v="4"/>
    <x v="9"/>
    <x v="4"/>
    <x v="73"/>
    <n v="1"/>
    <n v="0"/>
  </r>
  <r>
    <s v="000.803.044/0001-50"/>
    <x v="45"/>
    <s v="INCLUSAO  ANOT.INADIMPLENCIA"/>
    <d v="2025-01-24T00:00:00"/>
    <x v="5"/>
    <x v="9"/>
    <x v="5"/>
    <x v="45"/>
    <n v="0"/>
    <n v="1"/>
  </r>
  <r>
    <s v="036.906.058/0001-46"/>
    <x v="76"/>
    <s v="EXCLUSAO  ANOT.INADIMPLENCIA"/>
    <d v="2025-01-24T00:00:00"/>
    <x v="6"/>
    <x v="9"/>
    <x v="6"/>
    <x v="76"/>
    <n v="1"/>
    <n v="0"/>
  </r>
  <r>
    <s v="037.143.334/0001-24"/>
    <x v="135"/>
    <s v="INCLUSAO  ANOT.INADIMPLENCIA"/>
    <d v="2025-01-24T00:00:00"/>
    <x v="6"/>
    <x v="9"/>
    <x v="6"/>
    <x v="135"/>
    <n v="0"/>
    <n v="1"/>
  </r>
  <r>
    <s v="006.236.494/0001-94"/>
    <x v="62"/>
    <s v="EXCLUSAO  ANOT.INADIMPLENCIA"/>
    <d v="2025-01-24T00:00:00"/>
    <x v="7"/>
    <x v="9"/>
    <x v="7"/>
    <x v="62"/>
    <n v="1"/>
    <n v="0"/>
  </r>
  <r>
    <s v="049.847.331/0001-50"/>
    <x v="136"/>
    <s v="INCLUSAO  ANOT.INADIMPLENCIA"/>
    <d v="2025-01-24T00:00:00"/>
    <x v="11"/>
    <x v="9"/>
    <x v="11"/>
    <x v="136"/>
    <n v="0"/>
    <n v="1"/>
  </r>
  <r>
    <s v="066.209.362/0001-03"/>
    <x v="137"/>
    <s v="INCLUSAO  ANOT.INADIMPLENCIA"/>
    <d v="2025-01-24T00:00:00"/>
    <x v="8"/>
    <x v="9"/>
    <x v="8"/>
    <x v="137"/>
    <n v="0"/>
    <n v="1"/>
  </r>
  <r>
    <s v="038.110.780/0001-03"/>
    <x v="47"/>
    <s v="EXCLUSAO  ANOT.INADIMPLENCIA"/>
    <d v="2025-01-24T00:00:00"/>
    <x v="8"/>
    <x v="9"/>
    <x v="8"/>
    <x v="47"/>
    <n v="1"/>
    <n v="0"/>
  </r>
  <r>
    <s v="035.475.312/0001-36"/>
    <x v="116"/>
    <s v="INCLUSAO  ANOT.INADIMPLENCIA"/>
    <d v="2025-01-25T00:00:00"/>
    <x v="0"/>
    <x v="9"/>
    <x v="0"/>
    <x v="116"/>
    <n v="0"/>
    <n v="1"/>
  </r>
  <r>
    <s v="024.271.279/0001-06"/>
    <x v="143"/>
    <s v="INCLUSAO  ANOT.INADIMPLENCIA"/>
    <d v="2025-01-25T00:00:00"/>
    <x v="0"/>
    <x v="9"/>
    <x v="0"/>
    <x v="143"/>
    <n v="0"/>
    <n v="1"/>
  </r>
  <r>
    <s v="029.795.190/0001-62"/>
    <x v="139"/>
    <s v="INCLUSAO  ANOT.INADIMPLENCIA"/>
    <d v="2025-01-25T00:00:00"/>
    <x v="0"/>
    <x v="9"/>
    <x v="0"/>
    <x v="139"/>
    <n v="0"/>
    <n v="1"/>
  </r>
  <r>
    <s v="020.066.300/0001-80"/>
    <x v="2"/>
    <s v="INCLUSAO  ANOT.INADIMPLENCIA"/>
    <d v="2025-01-25T00:00:00"/>
    <x v="1"/>
    <x v="9"/>
    <x v="1"/>
    <x v="2"/>
    <n v="0"/>
    <n v="1"/>
  </r>
  <r>
    <s v="036.726.274/0001-00"/>
    <x v="134"/>
    <s v="INCL/EXCL ANOT.INADIMPLENCIA"/>
    <d v="2025-01-25T00:00:00"/>
    <x v="1"/>
    <x v="9"/>
    <x v="1"/>
    <x v="134"/>
    <n v="0"/>
    <n v="0"/>
  </r>
  <r>
    <s v="047.635.671/0001-92"/>
    <x v="144"/>
    <s v="INCLUSAO  ANOT.INADIMPLENCIA"/>
    <d v="2025-01-25T00:00:00"/>
    <x v="1"/>
    <x v="9"/>
    <x v="1"/>
    <x v="144"/>
    <n v="0"/>
    <n v="1"/>
  </r>
  <r>
    <s v="012.520.791/0001-60"/>
    <x v="4"/>
    <s v="INCLUSAO  ANOT.INADIMPLENCIA"/>
    <d v="2025-01-25T00:00:00"/>
    <x v="1"/>
    <x v="9"/>
    <x v="1"/>
    <x v="4"/>
    <n v="0"/>
    <n v="1"/>
  </r>
  <r>
    <s v="028.842.753/0001-63"/>
    <x v="50"/>
    <s v="INCLUSAO  ANOT.INADIMPLENCIA"/>
    <d v="2025-01-25T00:00:00"/>
    <x v="19"/>
    <x v="9"/>
    <x v="19"/>
    <x v="50"/>
    <n v="0"/>
    <n v="1"/>
  </r>
  <r>
    <s v="007.102.721/0001-51"/>
    <x v="44"/>
    <s v="INCLUSAO  ANOT.INADIMPLENCIA"/>
    <d v="2025-01-25T00:00:00"/>
    <x v="15"/>
    <x v="9"/>
    <x v="15"/>
    <x v="44"/>
    <n v="0"/>
    <n v="1"/>
  </r>
  <r>
    <s v="007.561.436/0001-07"/>
    <x v="34"/>
    <s v="EXCLUSAO  ANOT.INADIMPLENCIA"/>
    <d v="2025-01-25T00:00:00"/>
    <x v="15"/>
    <x v="9"/>
    <x v="15"/>
    <x v="34"/>
    <n v="1"/>
    <n v="0"/>
  </r>
  <r>
    <s v="015.414.962/0001-64"/>
    <x v="19"/>
    <s v="INCLUSAO  ANOT.INADIMPLENCIA"/>
    <d v="2025-01-25T00:00:00"/>
    <x v="10"/>
    <x v="9"/>
    <x v="10"/>
    <x v="19"/>
    <n v="0"/>
    <n v="1"/>
  </r>
  <r>
    <s v="021.420.856/0001-96"/>
    <x v="130"/>
    <s v="EXCLUSAO  ANOT.INADIMPLENCIA"/>
    <d v="2025-01-25T00:00:00"/>
    <x v="24"/>
    <x v="9"/>
    <x v="24"/>
    <x v="130"/>
    <n v="1"/>
    <n v="0"/>
  </r>
  <r>
    <s v="019.450.138/0001-10"/>
    <x v="71"/>
    <s v="EXCLUSAO  ANOT.INADIMPLENCIA"/>
    <d v="2025-01-25T00:00:00"/>
    <x v="22"/>
    <x v="9"/>
    <x v="22"/>
    <x v="71"/>
    <n v="1"/>
    <n v="0"/>
  </r>
  <r>
    <s v="008.991.603/0001-04"/>
    <x v="58"/>
    <s v="INCLUSAO  ANOT.INADIMPLENCIA"/>
    <d v="2025-01-25T00:00:00"/>
    <x v="4"/>
    <x v="9"/>
    <x v="4"/>
    <x v="58"/>
    <n v="0"/>
    <n v="1"/>
  </r>
  <r>
    <s v="007.906.793/0001-51"/>
    <x v="126"/>
    <s v="INCLUSAO  ANOT.INADIMPLENCIA"/>
    <d v="2025-01-25T00:00:00"/>
    <x v="6"/>
    <x v="9"/>
    <x v="6"/>
    <x v="126"/>
    <n v="0"/>
    <n v="1"/>
  </r>
  <r>
    <s v="046.140.062/0001-08"/>
    <x v="69"/>
    <s v="INCLUSAO  ANOT.INADIMPLENCIA"/>
    <d v="2025-01-25T00:00:00"/>
    <x v="6"/>
    <x v="9"/>
    <x v="6"/>
    <x v="69"/>
    <n v="0"/>
    <n v="1"/>
  </r>
  <r>
    <s v="013.746.252/0001-06"/>
    <x v="15"/>
    <s v="EXCLUSAO  ANOT.INADIMPLENCIA"/>
    <d v="2025-01-25T00:00:00"/>
    <x v="7"/>
    <x v="9"/>
    <x v="7"/>
    <x v="15"/>
    <n v="1"/>
    <n v="0"/>
  </r>
  <r>
    <s v="049.847.331/0001-50"/>
    <x v="136"/>
    <s v="INCLUSAO  ANOT.INADIMPLENCIA"/>
    <d v="2025-01-25T00:00:00"/>
    <x v="11"/>
    <x v="9"/>
    <x v="11"/>
    <x v="136"/>
    <n v="0"/>
    <n v="1"/>
  </r>
  <r>
    <s v="000.810.852/0001-44"/>
    <x v="85"/>
    <s v="INCLUSAO  ANOT.INADIMPLENCIA"/>
    <d v="2025-01-25T00:00:00"/>
    <x v="8"/>
    <x v="9"/>
    <x v="8"/>
    <x v="85"/>
    <n v="0"/>
    <n v="1"/>
  </r>
  <r>
    <s v="071.350.797/0001-03"/>
    <x v="48"/>
    <s v="INCLUSAO  ANOT.INADIMPLENCIA"/>
    <d v="2025-01-25T00:00:00"/>
    <x v="16"/>
    <x v="9"/>
    <x v="16"/>
    <x v="48"/>
    <n v="0"/>
    <n v="1"/>
  </r>
  <r>
    <s v="055.979.736/0001-45"/>
    <x v="64"/>
    <s v="EXCLUSAO  ANOT.INADIMPLENCIA"/>
    <d v="2025-01-25T00:00:00"/>
    <x v="20"/>
    <x v="9"/>
    <x v="20"/>
    <x v="64"/>
    <n v="1"/>
    <n v="0"/>
  </r>
  <r>
    <s v="040.582.798/0001-41"/>
    <x v="145"/>
    <s v="INCLUSAO  ANOT.INADIMPLENCIA"/>
    <d v="2025-01-25T00:00:00"/>
    <x v="20"/>
    <x v="9"/>
    <x v="20"/>
    <x v="145"/>
    <n v="0"/>
    <n v="1"/>
  </r>
  <r>
    <s v="012.804.762/0001-20"/>
    <x v="68"/>
    <s v="EXCLUSAO  ANOT.INADIMPLENCIA"/>
    <d v="2025-01-25T00:00:00"/>
    <x v="21"/>
    <x v="9"/>
    <x v="21"/>
    <x v="68"/>
    <n v="1"/>
    <n v="0"/>
  </r>
  <r>
    <s v="016.772.642/0001-49"/>
    <x v="70"/>
    <s v="INCLUSAO  ANOT.INADIMPLENCIA"/>
    <d v="2025-01-28T00:00:00"/>
    <x v="0"/>
    <x v="9"/>
    <x v="0"/>
    <x v="70"/>
    <n v="0"/>
    <n v="1"/>
  </r>
  <r>
    <s v="035.475.312/0001-36"/>
    <x v="116"/>
    <s v="EXCLUSAO  ANOT.INADIMPLENCIA"/>
    <d v="2025-01-28T00:00:00"/>
    <x v="0"/>
    <x v="9"/>
    <x v="0"/>
    <x v="116"/>
    <n v="1"/>
    <n v="0"/>
  </r>
  <r>
    <s v="029.795.190/0001-62"/>
    <x v="139"/>
    <s v="EXCLUSAO  ANOT.INADIMPLENCIA"/>
    <d v="2025-01-28T00:00:00"/>
    <x v="0"/>
    <x v="9"/>
    <x v="0"/>
    <x v="139"/>
    <n v="1"/>
    <n v="0"/>
  </r>
  <r>
    <s v="023.911.356/0001-82"/>
    <x v="55"/>
    <s v="EXCLUSAO  ANOT.INADIMPLENCIA"/>
    <d v="2025-01-28T00:00:00"/>
    <x v="0"/>
    <x v="9"/>
    <x v="0"/>
    <x v="55"/>
    <n v="1"/>
    <n v="0"/>
  </r>
  <r>
    <s v="021.734.108/0001-88"/>
    <x v="41"/>
    <s v="INCLUSAO  ANOT.INADIMPLENCIA"/>
    <d v="2025-01-28T00:00:00"/>
    <x v="13"/>
    <x v="9"/>
    <x v="13"/>
    <x v="41"/>
    <n v="0"/>
    <n v="1"/>
  </r>
  <r>
    <s v="020.066.300/0001-80"/>
    <x v="2"/>
    <s v="INCLUSAO  ANOT.INADIMPLENCIA"/>
    <d v="2025-01-28T00:00:00"/>
    <x v="1"/>
    <x v="9"/>
    <x v="1"/>
    <x v="2"/>
    <n v="0"/>
    <n v="1"/>
  </r>
  <r>
    <s v="036.726.274/0001-00"/>
    <x v="134"/>
    <s v="INCLUSAO  ANOT.INADIMPLENCIA"/>
    <d v="2025-01-28T00:00:00"/>
    <x v="1"/>
    <x v="9"/>
    <x v="1"/>
    <x v="134"/>
    <n v="0"/>
    <n v="1"/>
  </r>
  <r>
    <s v="003.590.360/0001-89"/>
    <x v="3"/>
    <s v="INCLUSAO  ANOT.INADIMPLENCIA"/>
    <d v="2025-01-28T00:00:00"/>
    <x v="1"/>
    <x v="9"/>
    <x v="1"/>
    <x v="3"/>
    <n v="0"/>
    <n v="1"/>
  </r>
  <r>
    <s v="012.520.791/0001-60"/>
    <x v="4"/>
    <s v="INCLUSAO  ANOT.INADIMPLENCIA"/>
    <d v="2025-01-28T00:00:00"/>
    <x v="1"/>
    <x v="9"/>
    <x v="1"/>
    <x v="4"/>
    <n v="0"/>
    <n v="1"/>
  </r>
  <r>
    <s v="016.757.535/0001-41"/>
    <x v="29"/>
    <s v="INCLUSAO  ANOT.INADIMPLENCIA"/>
    <d v="2025-01-28T00:00:00"/>
    <x v="14"/>
    <x v="9"/>
    <x v="14"/>
    <x v="29"/>
    <n v="0"/>
    <n v="1"/>
  </r>
  <r>
    <s v="028.842.753/0001-63"/>
    <x v="50"/>
    <s v="INCLUSAO  ANOT.INADIMPLENCIA"/>
    <d v="2025-01-28T00:00:00"/>
    <x v="19"/>
    <x v="9"/>
    <x v="19"/>
    <x v="50"/>
    <n v="0"/>
    <n v="1"/>
  </r>
  <r>
    <s v="035.649.603/0001-01"/>
    <x v="120"/>
    <s v="INCLUSAO  ANOT.INADIMPLENCIA"/>
    <d v="2025-01-28T00:00:00"/>
    <x v="15"/>
    <x v="9"/>
    <x v="15"/>
    <x v="120"/>
    <n v="0"/>
    <n v="1"/>
  </r>
  <r>
    <s v="007.102.721/0001-51"/>
    <x v="44"/>
    <s v="INCLUSAO  ANOT.INADIMPLENCIA"/>
    <d v="2025-01-28T00:00:00"/>
    <x v="15"/>
    <x v="9"/>
    <x v="15"/>
    <x v="44"/>
    <n v="0"/>
    <n v="1"/>
  </r>
  <r>
    <s v="007.561.436/0001-07"/>
    <x v="34"/>
    <s v="INCLUSAO  ANOT.INADIMPLENCIA"/>
    <d v="2025-01-28T00:00:00"/>
    <x v="15"/>
    <x v="9"/>
    <x v="15"/>
    <x v="34"/>
    <n v="0"/>
    <n v="1"/>
  </r>
  <r>
    <s v="030.272.056/0001-66"/>
    <x v="146"/>
    <s v="EXCLUSAO  ANOT.INADIMPLENCIA"/>
    <d v="2025-01-28T00:00:00"/>
    <x v="25"/>
    <x v="9"/>
    <x v="25"/>
    <x v="146"/>
    <n v="1"/>
    <n v="0"/>
  </r>
  <r>
    <s v="019.450.138/0001-10"/>
    <x v="71"/>
    <s v="INCLUSAO  ANOT.INADIMPLENCIA"/>
    <d v="2025-01-28T00:00:00"/>
    <x v="22"/>
    <x v="9"/>
    <x v="22"/>
    <x v="71"/>
    <n v="0"/>
    <n v="1"/>
  </r>
  <r>
    <s v="035.165.246/0001-06"/>
    <x v="105"/>
    <s v="INCLUSAO  ANOT.INADIMPLENCIA"/>
    <d v="2025-01-28T00:00:00"/>
    <x v="4"/>
    <x v="9"/>
    <x v="4"/>
    <x v="105"/>
    <n v="0"/>
    <n v="1"/>
  </r>
  <r>
    <s v="008.991.603/0001-04"/>
    <x v="58"/>
    <s v="INCLUSAO  ANOT.INADIMPLENCIA"/>
    <d v="2025-01-28T00:00:00"/>
    <x v="4"/>
    <x v="9"/>
    <x v="4"/>
    <x v="58"/>
    <n v="0"/>
    <n v="1"/>
  </r>
  <r>
    <s v="000.803.044/0001-50"/>
    <x v="45"/>
    <s v="INCLUSAO  ANOT.INADIMPLENCIA"/>
    <d v="2025-01-28T00:00:00"/>
    <x v="5"/>
    <x v="9"/>
    <x v="5"/>
    <x v="45"/>
    <n v="0"/>
    <n v="1"/>
  </r>
  <r>
    <s v="035.665.211/0001-28"/>
    <x v="94"/>
    <s v="INCLUSAO  ANOT.INADIMPLENCIA"/>
    <d v="2025-01-28T00:00:00"/>
    <x v="5"/>
    <x v="9"/>
    <x v="5"/>
    <x v="94"/>
    <n v="0"/>
    <n v="1"/>
  </r>
  <r>
    <s v="000.987.236/0001-63"/>
    <x v="99"/>
    <s v="INCL/EXCL ANOT.INADIMPLENCIA"/>
    <d v="2025-01-28T00:00:00"/>
    <x v="6"/>
    <x v="9"/>
    <x v="6"/>
    <x v="99"/>
    <n v="0"/>
    <n v="0"/>
  </r>
  <r>
    <s v="014.763.606/0001-93"/>
    <x v="10"/>
    <s v="INCLUSAO  ANOT.INADIMPLENCIA"/>
    <d v="2025-01-28T00:00:00"/>
    <x v="6"/>
    <x v="9"/>
    <x v="6"/>
    <x v="10"/>
    <n v="0"/>
    <n v="1"/>
  </r>
  <r>
    <s v="046.140.062/0001-08"/>
    <x v="69"/>
    <s v="INCLUSAO  ANOT.INADIMPLENCIA"/>
    <d v="2025-01-28T00:00:00"/>
    <x v="6"/>
    <x v="9"/>
    <x v="6"/>
    <x v="69"/>
    <n v="0"/>
    <n v="1"/>
  </r>
  <r>
    <s v="036.906.058/0001-46"/>
    <x v="76"/>
    <s v="EXCLUSAO  ANOT.INADIMPLENCIA"/>
    <d v="2025-01-28T00:00:00"/>
    <x v="6"/>
    <x v="9"/>
    <x v="6"/>
    <x v="76"/>
    <n v="1"/>
    <n v="0"/>
  </r>
  <r>
    <s v="006.236.494/0001-94"/>
    <x v="62"/>
    <s v="EXCLUSAO  ANOT.INADIMPLENCIA"/>
    <d v="2025-01-28T00:00:00"/>
    <x v="7"/>
    <x v="9"/>
    <x v="7"/>
    <x v="62"/>
    <n v="1"/>
    <n v="0"/>
  </r>
  <r>
    <s v="037.828.375/0001-54"/>
    <x v="39"/>
    <s v="INCLUSAO  ANOT.INADIMPLENCIA"/>
    <d v="2025-01-28T00:00:00"/>
    <x v="7"/>
    <x v="9"/>
    <x v="7"/>
    <x v="39"/>
    <n v="0"/>
    <n v="1"/>
  </r>
  <r>
    <s v="013.746.252/0001-06"/>
    <x v="15"/>
    <s v="INCL/EXCL ANOT.INADIMPLENCIA"/>
    <d v="2025-01-28T00:00:00"/>
    <x v="7"/>
    <x v="9"/>
    <x v="7"/>
    <x v="15"/>
    <n v="0"/>
    <n v="0"/>
  </r>
  <r>
    <s v="049.847.331/0001-50"/>
    <x v="136"/>
    <s v="INCLUSAO  ANOT.INADIMPLENCIA"/>
    <d v="2025-01-28T00:00:00"/>
    <x v="11"/>
    <x v="9"/>
    <x v="11"/>
    <x v="136"/>
    <n v="0"/>
    <n v="1"/>
  </r>
  <r>
    <s v="021.473.575/0001-00"/>
    <x v="63"/>
    <s v="INCLUSAO  ANOT.INADIMPLENCIA"/>
    <d v="2025-01-28T00:00:00"/>
    <x v="11"/>
    <x v="9"/>
    <x v="11"/>
    <x v="63"/>
    <n v="0"/>
    <n v="1"/>
  </r>
  <r>
    <s v="014.385.825/0001-86"/>
    <x v="111"/>
    <s v="INCLUSAO  ANOT.INADIMPLENCIA"/>
    <d v="2025-01-28T00:00:00"/>
    <x v="8"/>
    <x v="9"/>
    <x v="8"/>
    <x v="111"/>
    <n v="0"/>
    <n v="1"/>
  </r>
  <r>
    <s v="041.421.379/0001-90"/>
    <x v="138"/>
    <s v="INCLUSAO  ANOT.INADIMPLENCIA"/>
    <d v="2025-01-28T00:00:00"/>
    <x v="8"/>
    <x v="9"/>
    <x v="8"/>
    <x v="138"/>
    <n v="0"/>
    <n v="1"/>
  </r>
  <r>
    <s v="038.110.780/0001-03"/>
    <x v="47"/>
    <s v="INCLUSAO  ANOT.INADIMPLENCIA"/>
    <d v="2025-01-28T00:00:00"/>
    <x v="8"/>
    <x v="9"/>
    <x v="8"/>
    <x v="47"/>
    <n v="0"/>
    <n v="1"/>
  </r>
  <r>
    <s v="043.515.558/0001-12"/>
    <x v="22"/>
    <s v="EXCLUSAO  ANOT.INADIMPLENCIA"/>
    <d v="2025-01-28T00:00:00"/>
    <x v="12"/>
    <x v="9"/>
    <x v="12"/>
    <x v="22"/>
    <n v="1"/>
    <n v="0"/>
  </r>
  <r>
    <s v="044.637.793/0001-20"/>
    <x v="147"/>
    <s v="INCLUSAO  ANOT.INADIMPLENCIA"/>
    <d v="2025-01-29T00:00:00"/>
    <x v="0"/>
    <x v="9"/>
    <x v="0"/>
    <x v="147"/>
    <n v="0"/>
    <n v="1"/>
  </r>
  <r>
    <s v="013.616.154/0001-54"/>
    <x v="148"/>
    <s v="EXCLUSAO  ANOT.INADIMPLENCIA"/>
    <d v="2025-01-29T00:00:00"/>
    <x v="0"/>
    <x v="9"/>
    <x v="0"/>
    <x v="148"/>
    <n v="1"/>
    <n v="0"/>
  </r>
  <r>
    <s v="038.185.478/0001-06"/>
    <x v="149"/>
    <s v="INCLUSAO  ANOT.INADIMPLENCIA"/>
    <d v="2025-01-29T00:00:00"/>
    <x v="0"/>
    <x v="9"/>
    <x v="0"/>
    <x v="149"/>
    <n v="0"/>
    <n v="1"/>
  </r>
  <r>
    <s v="024.271.279/0001-06"/>
    <x v="143"/>
    <s v="INCLUSAO  ANOT.INADIMPLENCIA"/>
    <d v="2025-01-29T00:00:00"/>
    <x v="0"/>
    <x v="9"/>
    <x v="0"/>
    <x v="143"/>
    <n v="0"/>
    <n v="1"/>
  </r>
  <r>
    <s v="021.734.108/0001-88"/>
    <x v="41"/>
    <s v="INCLUSAO  ANOT.INADIMPLENCIA"/>
    <d v="2025-01-29T00:00:00"/>
    <x v="13"/>
    <x v="9"/>
    <x v="13"/>
    <x v="41"/>
    <n v="0"/>
    <n v="1"/>
  </r>
  <r>
    <s v="000.688.793/0001-83"/>
    <x v="150"/>
    <s v="EXCLUSAO  ANOT.INADIMPLENCIA"/>
    <d v="2025-01-29T00:00:00"/>
    <x v="1"/>
    <x v="9"/>
    <x v="1"/>
    <x v="150"/>
    <n v="1"/>
    <n v="0"/>
  </r>
  <r>
    <s v="020.066.300/0001-80"/>
    <x v="2"/>
    <s v="INCLUSAO  ANOT.INADIMPLENCIA"/>
    <d v="2025-01-29T00:00:00"/>
    <x v="1"/>
    <x v="9"/>
    <x v="1"/>
    <x v="2"/>
    <n v="0"/>
    <n v="1"/>
  </r>
  <r>
    <s v="012.520.791/0001-60"/>
    <x v="4"/>
    <s v="INCLUSAO  ANOT.INADIMPLENCIA"/>
    <d v="2025-01-29T00:00:00"/>
    <x v="1"/>
    <x v="9"/>
    <x v="1"/>
    <x v="4"/>
    <n v="0"/>
    <n v="1"/>
  </r>
  <r>
    <s v="049.218.819/0001-19"/>
    <x v="151"/>
    <s v="EXCLUSAO  ANOT.INADIMPLENCIA"/>
    <d v="2025-01-29T00:00:00"/>
    <x v="14"/>
    <x v="9"/>
    <x v="14"/>
    <x v="151"/>
    <n v="1"/>
    <n v="0"/>
  </r>
  <r>
    <s v="035.649.603/0001-01"/>
    <x v="120"/>
    <s v="EXCLUSAO  ANOT.INADIMPLENCIA"/>
    <d v="2025-01-29T00:00:00"/>
    <x v="15"/>
    <x v="9"/>
    <x v="15"/>
    <x v="120"/>
    <n v="1"/>
    <n v="0"/>
  </r>
  <r>
    <s v="019.450.138/0001-10"/>
    <x v="71"/>
    <s v="INCLUSAO  ANOT.INADIMPLENCIA"/>
    <d v="2025-01-29T00:00:00"/>
    <x v="22"/>
    <x v="9"/>
    <x v="22"/>
    <x v="71"/>
    <n v="0"/>
    <n v="1"/>
  </r>
  <r>
    <s v="035.165.246/0001-06"/>
    <x v="105"/>
    <s v="INCLUSAO  ANOT.INADIMPLENCIA"/>
    <d v="2025-01-29T00:00:00"/>
    <x v="4"/>
    <x v="9"/>
    <x v="4"/>
    <x v="105"/>
    <n v="0"/>
    <n v="1"/>
  </r>
  <r>
    <s v="035.665.211/0001-28"/>
    <x v="94"/>
    <s v="INCLUSAO  ANOT.INADIMPLENCIA"/>
    <d v="2025-01-29T00:00:00"/>
    <x v="5"/>
    <x v="9"/>
    <x v="5"/>
    <x v="94"/>
    <n v="0"/>
    <n v="1"/>
  </r>
  <r>
    <s v="046.140.062/0001-08"/>
    <x v="69"/>
    <s v="INCLUSAO  ANOT.INADIMPLENCIA"/>
    <d v="2025-01-29T00:00:00"/>
    <x v="6"/>
    <x v="9"/>
    <x v="6"/>
    <x v="69"/>
    <n v="0"/>
    <n v="1"/>
  </r>
  <r>
    <s v="006.236.494/0001-94"/>
    <x v="62"/>
    <s v="EXCLUSAO  ANOT.INADIMPLENCIA"/>
    <d v="2025-01-29T00:00:00"/>
    <x v="7"/>
    <x v="9"/>
    <x v="7"/>
    <x v="62"/>
    <n v="1"/>
    <n v="0"/>
  </r>
  <r>
    <s v="028.477.685/0001-80"/>
    <x v="96"/>
    <s v="INCLUSAO  ANOT.INADIMPLENCIA"/>
    <d v="2025-01-29T00:00:00"/>
    <x v="7"/>
    <x v="9"/>
    <x v="7"/>
    <x v="96"/>
    <n v="0"/>
    <n v="1"/>
  </r>
  <r>
    <s v="013.746.252/0001-06"/>
    <x v="15"/>
    <s v="INCLUSAO  ANOT.INADIMPLENCIA"/>
    <d v="2025-01-29T00:00:00"/>
    <x v="7"/>
    <x v="9"/>
    <x v="7"/>
    <x v="15"/>
    <n v="0"/>
    <n v="1"/>
  </r>
  <r>
    <s v="049.847.331/0001-50"/>
    <x v="136"/>
    <s v="INCLUSAO  ANOT.INADIMPLENCIA"/>
    <d v="2025-01-29T00:00:00"/>
    <x v="11"/>
    <x v="9"/>
    <x v="11"/>
    <x v="136"/>
    <n v="0"/>
    <n v="1"/>
  </r>
  <r>
    <s v="066.209.362/0001-03"/>
    <x v="137"/>
    <s v="EXCLUSAO  ANOT.INADIMPLENCIA"/>
    <d v="2025-01-29T00:00:00"/>
    <x v="8"/>
    <x v="9"/>
    <x v="8"/>
    <x v="137"/>
    <n v="1"/>
    <n v="0"/>
  </r>
  <r>
    <s v="055.979.736/0001-45"/>
    <x v="64"/>
    <s v="INCLUSAO  ANOT.INADIMPLENCIA"/>
    <d v="2025-01-29T00:00:00"/>
    <x v="20"/>
    <x v="9"/>
    <x v="20"/>
    <x v="64"/>
    <n v="0"/>
    <n v="1"/>
  </r>
  <r>
    <s v="043.515.558/0001-12"/>
    <x v="22"/>
    <s v="INCLUSAO  ANOT.INADIMPLENCIA"/>
    <d v="2025-01-29T00:00:00"/>
    <x v="12"/>
    <x v="9"/>
    <x v="12"/>
    <x v="22"/>
    <n v="0"/>
    <n v="1"/>
  </r>
  <r>
    <s v="036.726.274/0001-00"/>
    <x v="134"/>
    <s v="INCLUSAO  ANOT.INADIMPLENCIA"/>
    <d v="2025-01-30T00:00:00"/>
    <x v="1"/>
    <x v="9"/>
    <x v="1"/>
    <x v="134"/>
    <n v="0"/>
    <n v="1"/>
  </r>
  <r>
    <s v="035.649.603/0001-01"/>
    <x v="120"/>
    <s v="INCLUSAO  ANOT.INADIMPLENCIA"/>
    <d v="2025-01-30T00:00:00"/>
    <x v="15"/>
    <x v="9"/>
    <x v="15"/>
    <x v="120"/>
    <n v="0"/>
    <n v="1"/>
  </r>
  <r>
    <s v="026.416.177/0001-67"/>
    <x v="131"/>
    <s v="EXCLUSAO  ANOT.INADIMPLENCIA"/>
    <d v="2025-01-30T00:00:00"/>
    <x v="4"/>
    <x v="9"/>
    <x v="4"/>
    <x v="131"/>
    <n v="1"/>
    <n v="0"/>
  </r>
  <r>
    <s v="035.165.246/0001-06"/>
    <x v="105"/>
    <s v="INCLUSAO  ANOT.INADIMPLENCIA"/>
    <d v="2025-01-30T00:00:00"/>
    <x v="4"/>
    <x v="9"/>
    <x v="4"/>
    <x v="105"/>
    <n v="0"/>
    <n v="1"/>
  </r>
  <r>
    <s v="007.906.793/0001-51"/>
    <x v="126"/>
    <s v="INCLUSAO  ANOT.INADIMPLENCIA"/>
    <d v="2025-01-30T00:00:00"/>
    <x v="6"/>
    <x v="9"/>
    <x v="6"/>
    <x v="126"/>
    <n v="0"/>
    <n v="1"/>
  </r>
  <r>
    <s v="006.236.494/0001-94"/>
    <x v="62"/>
    <s v="EXCLUSAO  ANOT.INADIMPLENCIA"/>
    <d v="2025-01-30T00:00:00"/>
    <x v="7"/>
    <x v="9"/>
    <x v="7"/>
    <x v="62"/>
    <n v="1"/>
    <n v="0"/>
  </r>
  <r>
    <s v="049.847.331/0001-50"/>
    <x v="136"/>
    <s v="INCLUSAO  ANOT.INADIMPLENCIA"/>
    <d v="2025-01-30T00:00:00"/>
    <x v="11"/>
    <x v="9"/>
    <x v="11"/>
    <x v="136"/>
    <n v="0"/>
    <n v="1"/>
  </r>
  <r>
    <s v="021.473.575/0001-00"/>
    <x v="63"/>
    <s v="EXCLUSAO  ANOT.INADIMPLENCIA"/>
    <d v="2025-01-30T00:00:00"/>
    <x v="11"/>
    <x v="9"/>
    <x v="11"/>
    <x v="63"/>
    <n v="1"/>
    <n v="0"/>
  </r>
  <r>
    <s v="041.421.379/0001-90"/>
    <x v="138"/>
    <s v="INCLUSAO  ANOT.INADIMPLENCIA"/>
    <d v="2025-01-30T00:00:00"/>
    <x v="8"/>
    <x v="9"/>
    <x v="8"/>
    <x v="138"/>
    <n v="0"/>
    <n v="1"/>
  </r>
  <r>
    <s v="038.110.780/0001-03"/>
    <x v="47"/>
    <s v="EXCLUSAO  ANOT.INADIMPLENCIA"/>
    <d v="2025-01-30T00:00:00"/>
    <x v="8"/>
    <x v="9"/>
    <x v="8"/>
    <x v="47"/>
    <n v="1"/>
    <n v="0"/>
  </r>
  <r>
    <s v="046.674.060/0001-90"/>
    <x v="141"/>
    <s v="EXCLUSAO  ANOT.INADIMPLENCIA"/>
    <d v="2025-01-30T00:00:00"/>
    <x v="16"/>
    <x v="9"/>
    <x v="16"/>
    <x v="141"/>
    <n v="1"/>
    <n v="0"/>
  </r>
  <r>
    <s v="020.066.300/0001-80"/>
    <x v="2"/>
    <s v="INCLUSAO  ANOT.INADIMPLENCIA"/>
    <d v="2025-01-31T00:00:00"/>
    <x v="1"/>
    <x v="9"/>
    <x v="1"/>
    <x v="2"/>
    <n v="0"/>
    <n v="1"/>
  </r>
  <r>
    <s v="029.030.307/0001-17"/>
    <x v="43"/>
    <s v="EXCLUSAO  ANOT.INADIMPLENCIA"/>
    <d v="2025-01-31T00:00:00"/>
    <x v="1"/>
    <x v="9"/>
    <x v="1"/>
    <x v="43"/>
    <n v="1"/>
    <n v="0"/>
  </r>
  <r>
    <s v="035.649.603/0001-01"/>
    <x v="120"/>
    <s v="EXCLUSAO  ANOT.INADIMPLENCIA"/>
    <d v="2025-01-31T00:00:00"/>
    <x v="15"/>
    <x v="9"/>
    <x v="15"/>
    <x v="120"/>
    <n v="1"/>
    <n v="0"/>
  </r>
  <r>
    <s v="007.102.721/0001-51"/>
    <x v="44"/>
    <s v="EXCLUSAO  ANOT.INADIMPLENCIA"/>
    <d v="2025-01-31T00:00:00"/>
    <x v="15"/>
    <x v="9"/>
    <x v="15"/>
    <x v="44"/>
    <n v="1"/>
    <n v="0"/>
  </r>
  <r>
    <s v="021.420.856/0001-96"/>
    <x v="130"/>
    <s v="EXCLUSAO  ANOT.INADIMPLENCIA"/>
    <d v="2025-01-31T00:00:00"/>
    <x v="24"/>
    <x v="9"/>
    <x v="24"/>
    <x v="130"/>
    <n v="1"/>
    <n v="0"/>
  </r>
  <r>
    <s v="035.165.246/0001-06"/>
    <x v="105"/>
    <s v="EXCLUSAO  ANOT.INADIMPLENCIA"/>
    <d v="2025-01-31T00:00:00"/>
    <x v="4"/>
    <x v="9"/>
    <x v="4"/>
    <x v="105"/>
    <n v="1"/>
    <n v="0"/>
  </r>
  <r>
    <s v="035.665.211/0001-28"/>
    <x v="94"/>
    <s v="INCLUSAO  ANOT.INADIMPLENCIA"/>
    <d v="2025-01-31T00:00:00"/>
    <x v="5"/>
    <x v="9"/>
    <x v="5"/>
    <x v="94"/>
    <n v="0"/>
    <n v="1"/>
  </r>
  <r>
    <s v="036.906.058/0001-46"/>
    <x v="76"/>
    <s v="EXCLUSAO  ANOT.INADIMPLENCIA"/>
    <d v="2025-01-31T00:00:00"/>
    <x v="6"/>
    <x v="9"/>
    <x v="6"/>
    <x v="76"/>
    <n v="1"/>
    <n v="0"/>
  </r>
  <r>
    <s v="013.746.252/0001-06"/>
    <x v="15"/>
    <s v="INCL/EXCL ANOT.INADIMPLENCIA"/>
    <d v="2025-01-31T00:00:00"/>
    <x v="7"/>
    <x v="9"/>
    <x v="7"/>
    <x v="15"/>
    <n v="0"/>
    <n v="0"/>
  </r>
  <r>
    <s v="049.847.331/0001-50"/>
    <x v="136"/>
    <s v="INCLUSAO  ANOT.INADIMPLENCIA"/>
    <d v="2025-01-31T00:00:00"/>
    <x v="11"/>
    <x v="9"/>
    <x v="11"/>
    <x v="136"/>
    <n v="0"/>
    <n v="1"/>
  </r>
  <r>
    <s v="038.407.341/0001-59"/>
    <x v="152"/>
    <s v="EXCLUSAO  ANOT.INADIMPLENCIA"/>
    <d v="2025-01-31T00:00:00"/>
    <x v="16"/>
    <x v="9"/>
    <x v="16"/>
    <x v="152"/>
    <n v="1"/>
    <n v="0"/>
  </r>
  <r>
    <s v="040.582.798/0001-41"/>
    <x v="145"/>
    <s v="INCLUSAO  ANOT.INADIMPLENCIA"/>
    <d v="2025-01-31T00:00:00"/>
    <x v="20"/>
    <x v="9"/>
    <x v="20"/>
    <x v="145"/>
    <n v="0"/>
    <n v="1"/>
  </r>
  <r>
    <s v="020.066.300/0001-80"/>
    <x v="2"/>
    <s v="INCL/EXCL ANOT.INADIMPLENCIA"/>
    <d v="2025-02-01T00:00:00"/>
    <x v="1"/>
    <x v="10"/>
    <x v="1"/>
    <x v="2"/>
    <n v="0"/>
    <n v="0"/>
  </r>
  <r>
    <s v="036.726.274/0001-00"/>
    <x v="134"/>
    <s v="EXCLUSAO  ANOT.INADIMPLENCIA"/>
    <d v="2025-02-01T00:00:00"/>
    <x v="1"/>
    <x v="10"/>
    <x v="1"/>
    <x v="134"/>
    <n v="1"/>
    <n v="0"/>
  </r>
  <r>
    <s v="029.030.307/0001-17"/>
    <x v="43"/>
    <s v="INCLUSAO  ANOT.INADIMPLENCIA"/>
    <d v="2025-02-01T00:00:00"/>
    <x v="1"/>
    <x v="10"/>
    <x v="1"/>
    <x v="43"/>
    <n v="0"/>
    <n v="1"/>
  </r>
  <r>
    <s v="001.113.219/0001-60"/>
    <x v="89"/>
    <s v="INCLUSAO  ANOT.INADIMPLENCIA"/>
    <d v="2025-02-01T00:00:00"/>
    <x v="1"/>
    <x v="10"/>
    <x v="1"/>
    <x v="89"/>
    <n v="0"/>
    <n v="1"/>
  </r>
  <r>
    <s v="016.757.535/0001-41"/>
    <x v="29"/>
    <s v="EXCLUSAO  ANOT.INADIMPLENCIA"/>
    <d v="2025-02-01T00:00:00"/>
    <x v="14"/>
    <x v="10"/>
    <x v="14"/>
    <x v="29"/>
    <n v="1"/>
    <n v="0"/>
  </r>
  <r>
    <s v="035.649.603/0001-01"/>
    <x v="120"/>
    <s v="INCLUSAO  ANOT.INADIMPLENCIA"/>
    <d v="2025-02-01T00:00:00"/>
    <x v="15"/>
    <x v="10"/>
    <x v="15"/>
    <x v="120"/>
    <n v="0"/>
    <n v="1"/>
  </r>
  <r>
    <s v="021.420.856/0001-96"/>
    <x v="130"/>
    <s v="EXCLUSAO  ANOT.INADIMPLENCIA"/>
    <d v="2025-02-01T00:00:00"/>
    <x v="24"/>
    <x v="10"/>
    <x v="24"/>
    <x v="130"/>
    <n v="1"/>
    <n v="0"/>
  </r>
  <r>
    <s v="019.450.138/0001-10"/>
    <x v="71"/>
    <s v="EXCLUSAO  ANOT.INADIMPLENCIA"/>
    <d v="2025-02-01T00:00:00"/>
    <x v="22"/>
    <x v="10"/>
    <x v="22"/>
    <x v="71"/>
    <n v="1"/>
    <n v="0"/>
  </r>
  <r>
    <s v="000.803.044/0001-50"/>
    <x v="45"/>
    <s v="INCL/EXCL ANOT.INADIMPLENCIA"/>
    <d v="2025-02-01T00:00:00"/>
    <x v="5"/>
    <x v="10"/>
    <x v="5"/>
    <x v="45"/>
    <n v="0"/>
    <n v="0"/>
  </r>
  <r>
    <s v="006.236.494/0001-94"/>
    <x v="62"/>
    <s v="EXCLUSAO  ANOT.INADIMPLENCIA"/>
    <d v="2025-02-01T00:00:00"/>
    <x v="7"/>
    <x v="10"/>
    <x v="7"/>
    <x v="62"/>
    <n v="1"/>
    <n v="0"/>
  </r>
  <r>
    <s v="037.828.375/0001-54"/>
    <x v="39"/>
    <s v="EXCLUSAO  ANOT.INADIMPLENCIA"/>
    <d v="2025-02-01T00:00:00"/>
    <x v="7"/>
    <x v="10"/>
    <x v="7"/>
    <x v="39"/>
    <n v="1"/>
    <n v="0"/>
  </r>
  <r>
    <s v="013.746.252/0001-06"/>
    <x v="15"/>
    <s v="EXCLUSAO  ANOT.INADIMPLENCIA"/>
    <d v="2025-02-01T00:00:00"/>
    <x v="7"/>
    <x v="10"/>
    <x v="7"/>
    <x v="15"/>
    <n v="1"/>
    <n v="0"/>
  </r>
  <r>
    <s v="049.847.331/0001-50"/>
    <x v="136"/>
    <s v="INCLUSAO  ANOT.INADIMPLENCIA"/>
    <d v="2025-02-01T00:00:00"/>
    <x v="11"/>
    <x v="10"/>
    <x v="11"/>
    <x v="136"/>
    <n v="0"/>
    <n v="1"/>
  </r>
  <r>
    <s v="014.385.825/0001-86"/>
    <x v="111"/>
    <s v="INCLUSAO  ANOT.INADIMPLENCIA"/>
    <d v="2025-02-01T00:00:00"/>
    <x v="8"/>
    <x v="10"/>
    <x v="8"/>
    <x v="111"/>
    <n v="0"/>
    <n v="1"/>
  </r>
  <r>
    <s v="000.810.852/0001-44"/>
    <x v="85"/>
    <s v="EXCLUSAO  ANOT.INADIMPLENCIA"/>
    <d v="2025-02-01T00:00:00"/>
    <x v="8"/>
    <x v="10"/>
    <x v="8"/>
    <x v="85"/>
    <n v="1"/>
    <n v="0"/>
  </r>
  <r>
    <s v="040.582.798/0001-41"/>
    <x v="145"/>
    <s v="INCLUSAO  ANOT.INADIMPLENCIA"/>
    <d v="2025-02-01T00:00:00"/>
    <x v="20"/>
    <x v="10"/>
    <x v="20"/>
    <x v="145"/>
    <n v="0"/>
    <n v="1"/>
  </r>
  <r>
    <s v="031.509.494/0001-68"/>
    <x v="14"/>
    <s v="ALTERACAO ENDERECO"/>
    <d v="2025-02-02T00:00:00"/>
    <x v="7"/>
    <x v="10"/>
    <x v="7"/>
    <x v="14"/>
    <n v="0"/>
    <n v="0"/>
  </r>
  <r>
    <s v="023.637.987/0001-55"/>
    <x v="20"/>
    <s v="ALTERACAO RAZAO SOCIAL"/>
    <d v="2025-02-02T00:00:00"/>
    <x v="7"/>
    <x v="10"/>
    <x v="7"/>
    <x v="20"/>
    <n v="0"/>
    <n v="0"/>
  </r>
  <r>
    <s v="043.564.107/0001-75"/>
    <x v="153"/>
    <s v="ALTERACAO ENDERECO"/>
    <d v="2025-02-02T00:00:00"/>
    <x v="20"/>
    <x v="10"/>
    <x v="20"/>
    <x v="153"/>
    <n v="0"/>
    <n v="0"/>
  </r>
  <r>
    <s v="038.185.478/0001-06"/>
    <x v="149"/>
    <s v="INCLUSAO  ANOT.INADIMPLENCIA"/>
    <d v="2025-02-03T00:00:00"/>
    <x v="0"/>
    <x v="10"/>
    <x v="0"/>
    <x v="149"/>
    <n v="0"/>
    <n v="1"/>
  </r>
  <r>
    <s v="021.734.108/0001-88"/>
    <x v="41"/>
    <s v="INCLUSAO  ANOT.INADIMPLENCIA"/>
    <d v="2025-02-03T00:00:00"/>
    <x v="13"/>
    <x v="10"/>
    <x v="13"/>
    <x v="41"/>
    <n v="0"/>
    <n v="1"/>
  </r>
  <r>
    <s v="020.066.300/0001-80"/>
    <x v="2"/>
    <s v="INCLUSAO  ANOT.INADIMPLENCIA"/>
    <d v="2025-02-03T00:00:00"/>
    <x v="1"/>
    <x v="10"/>
    <x v="1"/>
    <x v="2"/>
    <n v="0"/>
    <n v="1"/>
  </r>
  <r>
    <s v="003.590.360/0001-89"/>
    <x v="3"/>
    <s v="EXCLUSAO  ANOT.INADIMPLENCIA"/>
    <d v="2025-02-03T00:00:00"/>
    <x v="1"/>
    <x v="10"/>
    <x v="1"/>
    <x v="3"/>
    <n v="1"/>
    <n v="0"/>
  </r>
  <r>
    <s v="012.520.791/0001-60"/>
    <x v="4"/>
    <s v="INCLUSAO  ANOT.INADIMPLENCIA"/>
    <d v="2025-02-03T00:00:00"/>
    <x v="1"/>
    <x v="10"/>
    <x v="1"/>
    <x v="4"/>
    <n v="0"/>
    <n v="1"/>
  </r>
  <r>
    <s v="035.649.603/0001-01"/>
    <x v="120"/>
    <s v="INCLUSAO  ANOT.INADIMPLENCIA"/>
    <d v="2025-02-03T00:00:00"/>
    <x v="15"/>
    <x v="10"/>
    <x v="15"/>
    <x v="120"/>
    <n v="0"/>
    <n v="1"/>
  </r>
  <r>
    <s v="007.102.721/0001-51"/>
    <x v="44"/>
    <s v="INCL/EXCL ANOT.INADIMPLENCIA"/>
    <d v="2025-02-03T00:00:00"/>
    <x v="15"/>
    <x v="10"/>
    <x v="15"/>
    <x v="44"/>
    <n v="0"/>
    <n v="0"/>
  </r>
  <r>
    <s v="026.416.177/0001-67"/>
    <x v="131"/>
    <s v="INCLUSAO  ANOT.INADIMPLENCIA"/>
    <d v="2025-02-03T00:00:00"/>
    <x v="4"/>
    <x v="10"/>
    <x v="4"/>
    <x v="131"/>
    <n v="0"/>
    <n v="1"/>
  </r>
  <r>
    <s v="035.165.246/0001-06"/>
    <x v="105"/>
    <s v="INCLUSAO  ANOT.INADIMPLENCIA"/>
    <d v="2025-02-03T00:00:00"/>
    <x v="4"/>
    <x v="10"/>
    <x v="4"/>
    <x v="105"/>
    <n v="0"/>
    <n v="1"/>
  </r>
  <r>
    <s v="002.246.382/0001-63"/>
    <x v="57"/>
    <s v="INCLUSAO  ANOT.INADIMPLENCIA"/>
    <d v="2025-02-03T00:00:00"/>
    <x v="4"/>
    <x v="10"/>
    <x v="4"/>
    <x v="57"/>
    <n v="0"/>
    <n v="1"/>
  </r>
  <r>
    <s v="046.140.062/0001-08"/>
    <x v="69"/>
    <s v="INCLUSAO  ANOT.INADIMPLENCIA"/>
    <d v="2025-02-03T00:00:00"/>
    <x v="6"/>
    <x v="10"/>
    <x v="6"/>
    <x v="69"/>
    <n v="0"/>
    <n v="1"/>
  </r>
  <r>
    <s v="037.143.334/0001-24"/>
    <x v="135"/>
    <s v="INCLUSAO  ANOT.INADIMPLENCIA"/>
    <d v="2025-02-03T00:00:00"/>
    <x v="6"/>
    <x v="10"/>
    <x v="6"/>
    <x v="135"/>
    <n v="0"/>
    <n v="1"/>
  </r>
  <r>
    <s v="006.236.494/0001-94"/>
    <x v="62"/>
    <s v="EXCLUSAO  ANOT.INADIMPLENCIA"/>
    <d v="2025-02-03T00:00:00"/>
    <x v="7"/>
    <x v="10"/>
    <x v="7"/>
    <x v="62"/>
    <n v="1"/>
    <n v="0"/>
  </r>
  <r>
    <s v="028.477.685/0001-80"/>
    <x v="96"/>
    <s v="INCL/EXCL ANOT.INADIMPLENCIA"/>
    <d v="2025-02-03T00:00:00"/>
    <x v="7"/>
    <x v="10"/>
    <x v="7"/>
    <x v="96"/>
    <n v="0"/>
    <n v="0"/>
  </r>
  <r>
    <s v="013.746.252/0001-06"/>
    <x v="15"/>
    <s v="INCLUSAO  ANOT.INADIMPLENCIA"/>
    <d v="2025-02-03T00:00:00"/>
    <x v="7"/>
    <x v="10"/>
    <x v="7"/>
    <x v="15"/>
    <n v="0"/>
    <n v="1"/>
  </r>
  <r>
    <s v="049.847.331/0001-50"/>
    <x v="136"/>
    <s v="INCLUSAO  ANOT.INADIMPLENCIA"/>
    <d v="2025-02-03T00:00:00"/>
    <x v="11"/>
    <x v="10"/>
    <x v="11"/>
    <x v="136"/>
    <n v="0"/>
    <n v="1"/>
  </r>
  <r>
    <s v="042.276.517/0001-58"/>
    <x v="123"/>
    <s v="INCLUSAO  ANOT.INADIMPLENCIA"/>
    <d v="2025-02-03T00:00:00"/>
    <x v="16"/>
    <x v="10"/>
    <x v="16"/>
    <x v="123"/>
    <n v="0"/>
    <n v="1"/>
  </r>
  <r>
    <s v="040.582.798/0001-41"/>
    <x v="145"/>
    <s v="INCLUSAO  ANOT.INADIMPLENCIA"/>
    <d v="2025-02-03T00:00:00"/>
    <x v="20"/>
    <x v="10"/>
    <x v="20"/>
    <x v="145"/>
    <n v="0"/>
    <n v="1"/>
  </r>
  <r>
    <s v="044.637.793/0001-20"/>
    <x v="147"/>
    <s v="EXCLUSAO  ANOT.INADIMPLENCIA"/>
    <d v="2025-02-05T00:00:00"/>
    <x v="0"/>
    <x v="10"/>
    <x v="0"/>
    <x v="147"/>
    <n v="1"/>
    <n v="0"/>
  </r>
  <r>
    <s v="016.772.642/0001-49"/>
    <x v="70"/>
    <s v="INCLUSAO  ANOT.INADIMPLENCIA"/>
    <d v="2025-02-05T00:00:00"/>
    <x v="0"/>
    <x v="10"/>
    <x v="0"/>
    <x v="70"/>
    <n v="0"/>
    <n v="1"/>
  </r>
  <r>
    <s v="038.185.478/0001-06"/>
    <x v="149"/>
    <s v="EXCLUSAO  ANOT.INADIMPLENCIA"/>
    <d v="2025-02-05T00:00:00"/>
    <x v="0"/>
    <x v="10"/>
    <x v="0"/>
    <x v="149"/>
    <n v="1"/>
    <n v="0"/>
  </r>
  <r>
    <s v="000.688.793/0001-83"/>
    <x v="150"/>
    <s v="EXCLUSAO  ANOT.INADIMPLENCIA"/>
    <d v="2025-02-05T00:00:00"/>
    <x v="1"/>
    <x v="10"/>
    <x v="1"/>
    <x v="150"/>
    <n v="1"/>
    <n v="0"/>
  </r>
  <r>
    <s v="029.030.307/0001-17"/>
    <x v="43"/>
    <s v="INCLUSAO  ANOT.INADIMPLENCIA"/>
    <d v="2025-02-05T00:00:00"/>
    <x v="1"/>
    <x v="10"/>
    <x v="1"/>
    <x v="43"/>
    <n v="0"/>
    <n v="1"/>
  </r>
  <r>
    <s v="012.520.791/0001-60"/>
    <x v="4"/>
    <s v="INCLUSAO  ANOT.INADIMPLENCIA"/>
    <d v="2025-02-05T00:00:00"/>
    <x v="1"/>
    <x v="10"/>
    <x v="1"/>
    <x v="4"/>
    <n v="0"/>
    <n v="1"/>
  </r>
  <r>
    <s v="035.649.603/0001-01"/>
    <x v="120"/>
    <s v="EXCLUSAO  ANOT.INADIMPLENCIA"/>
    <d v="2025-02-05T00:00:00"/>
    <x v="15"/>
    <x v="10"/>
    <x v="15"/>
    <x v="120"/>
    <n v="1"/>
    <n v="0"/>
  </r>
  <r>
    <s v="019.450.138/0001-10"/>
    <x v="71"/>
    <s v="EXCLUSAO  ANOT.INADIMPLENCIA"/>
    <d v="2025-02-05T00:00:00"/>
    <x v="22"/>
    <x v="10"/>
    <x v="22"/>
    <x v="71"/>
    <n v="1"/>
    <n v="0"/>
  </r>
  <r>
    <s v="026.416.177/0001-67"/>
    <x v="131"/>
    <s v="INCLUSAO  ANOT.INADIMPLENCIA"/>
    <d v="2025-02-05T00:00:00"/>
    <x v="4"/>
    <x v="10"/>
    <x v="4"/>
    <x v="131"/>
    <n v="0"/>
    <n v="1"/>
  </r>
  <r>
    <s v="035.165.246/0001-06"/>
    <x v="105"/>
    <s v="INCLUSAO  ANOT.INADIMPLENCIA"/>
    <d v="2025-02-05T00:00:00"/>
    <x v="4"/>
    <x v="10"/>
    <x v="4"/>
    <x v="105"/>
    <n v="0"/>
    <n v="1"/>
  </r>
  <r>
    <s v="028.477.685/0001-80"/>
    <x v="96"/>
    <s v="INCLUSAO  ANOT.INADIMPLENCIA"/>
    <d v="2025-02-05T00:00:00"/>
    <x v="7"/>
    <x v="10"/>
    <x v="7"/>
    <x v="96"/>
    <n v="0"/>
    <n v="1"/>
  </r>
  <r>
    <s v="041.757.407/0001-45"/>
    <x v="154"/>
    <s v="INCLUSAO  ANOT.INADIMPLENCIA"/>
    <d v="2025-02-05T00:00:00"/>
    <x v="7"/>
    <x v="10"/>
    <x v="7"/>
    <x v="154"/>
    <n v="0"/>
    <n v="1"/>
  </r>
  <r>
    <s v="013.746.252/0001-06"/>
    <x v="15"/>
    <s v="EXCLUSAO  ANOT.INADIMPLENCIA"/>
    <d v="2025-02-05T00:00:00"/>
    <x v="7"/>
    <x v="10"/>
    <x v="7"/>
    <x v="15"/>
    <n v="1"/>
    <n v="0"/>
  </r>
  <r>
    <s v="049.847.331/0001-50"/>
    <x v="136"/>
    <s v="INCLUSAO  ANOT.INADIMPLENCIA"/>
    <d v="2025-02-05T00:00:00"/>
    <x v="11"/>
    <x v="10"/>
    <x v="11"/>
    <x v="136"/>
    <n v="0"/>
    <n v="1"/>
  </r>
  <r>
    <s v="039.822.835/0001-62"/>
    <x v="155"/>
    <s v="INCLUSAO  ANOT.INADIMPLENCIA"/>
    <d v="2025-02-05T00:00:00"/>
    <x v="8"/>
    <x v="10"/>
    <x v="8"/>
    <x v="155"/>
    <n v="0"/>
    <n v="1"/>
  </r>
  <r>
    <s v="041.421.379/0001-90"/>
    <x v="138"/>
    <s v="INCLUSAO  ANOT.INADIMPLENCIA"/>
    <d v="2025-02-05T00:00:00"/>
    <x v="8"/>
    <x v="10"/>
    <x v="8"/>
    <x v="138"/>
    <n v="0"/>
    <n v="1"/>
  </r>
  <r>
    <s v="051.107.672/0001-31"/>
    <x v="32"/>
    <s v="INCLUSAO  ANOT.INADIMPLENCIA"/>
    <d v="2025-02-05T00:00:00"/>
    <x v="16"/>
    <x v="10"/>
    <x v="16"/>
    <x v="32"/>
    <n v="0"/>
    <n v="1"/>
  </r>
  <r>
    <s v="021.734.108/0001-88"/>
    <x v="41"/>
    <s v="EXCLUSAO  ANOT.INADIMPLENCIA"/>
    <d v="2025-02-06T00:00:00"/>
    <x v="13"/>
    <x v="10"/>
    <x v="13"/>
    <x v="41"/>
    <n v="1"/>
    <n v="0"/>
  </r>
  <r>
    <s v="004.126.524/0001-84"/>
    <x v="49"/>
    <s v="EXCLUSAO  ANOT.INADIMPLENCIA"/>
    <d v="2025-02-06T00:00:00"/>
    <x v="13"/>
    <x v="10"/>
    <x v="13"/>
    <x v="49"/>
    <n v="1"/>
    <n v="0"/>
  </r>
  <r>
    <s v="020.066.300/0001-80"/>
    <x v="2"/>
    <s v="INCLUSAO  ANOT.INADIMPLENCIA"/>
    <d v="2025-02-06T00:00:00"/>
    <x v="1"/>
    <x v="10"/>
    <x v="1"/>
    <x v="2"/>
    <n v="0"/>
    <n v="1"/>
  </r>
  <r>
    <s v="016.757.535/0001-41"/>
    <x v="29"/>
    <s v="INCLUSAO  ANOT.INADIMPLENCIA"/>
    <d v="2025-02-06T00:00:00"/>
    <x v="14"/>
    <x v="10"/>
    <x v="14"/>
    <x v="29"/>
    <n v="0"/>
    <n v="1"/>
  </r>
  <r>
    <s v="001.181.263/0001-07"/>
    <x v="156"/>
    <s v="INCLUSAO  ANOT.INADIMPLENCIA"/>
    <d v="2025-02-06T00:00:00"/>
    <x v="15"/>
    <x v="10"/>
    <x v="15"/>
    <x v="156"/>
    <n v="0"/>
    <n v="1"/>
  </r>
  <r>
    <s v="026.416.177/0001-67"/>
    <x v="131"/>
    <s v="EXCLUSAO  ANOT.INADIMPLENCIA"/>
    <d v="2025-02-06T00:00:00"/>
    <x v="4"/>
    <x v="10"/>
    <x v="4"/>
    <x v="131"/>
    <n v="1"/>
    <n v="0"/>
  </r>
  <r>
    <s v="035.165.246/0001-06"/>
    <x v="105"/>
    <s v="INCLUSAO  ANOT.INADIMPLENCIA"/>
    <d v="2025-02-06T00:00:00"/>
    <x v="4"/>
    <x v="10"/>
    <x v="4"/>
    <x v="105"/>
    <n v="0"/>
    <n v="1"/>
  </r>
  <r>
    <s v="000.803.044/0001-50"/>
    <x v="45"/>
    <s v="EXCLUSAO  ANOT.INADIMPLENCIA"/>
    <d v="2025-02-06T00:00:00"/>
    <x v="5"/>
    <x v="10"/>
    <x v="5"/>
    <x v="45"/>
    <n v="1"/>
    <n v="0"/>
  </r>
  <r>
    <s v="088.978.606/0001-47"/>
    <x v="115"/>
    <s v="INCLUSAO  ANOT.INADIMPLENCIA"/>
    <d v="2025-02-06T00:00:00"/>
    <x v="6"/>
    <x v="10"/>
    <x v="6"/>
    <x v="115"/>
    <n v="0"/>
    <n v="1"/>
  </r>
  <r>
    <s v="046.140.062/0001-08"/>
    <x v="69"/>
    <s v="INCLUSAO  ANOT.INADIMPLENCIA"/>
    <d v="2025-02-06T00:00:00"/>
    <x v="6"/>
    <x v="10"/>
    <x v="6"/>
    <x v="69"/>
    <n v="0"/>
    <n v="1"/>
  </r>
  <r>
    <s v="050.893.355/0001-25"/>
    <x v="157"/>
    <s v="INCLUSAO  ANOT.INADIMPLENCIA"/>
    <d v="2025-02-06T00:00:00"/>
    <x v="26"/>
    <x v="10"/>
    <x v="26"/>
    <x v="157"/>
    <n v="0"/>
    <n v="1"/>
  </r>
  <r>
    <s v="006.236.494/0001-94"/>
    <x v="62"/>
    <s v="EXCLUSAO  ANOT.INADIMPLENCIA"/>
    <d v="2025-02-06T00:00:00"/>
    <x v="7"/>
    <x v="10"/>
    <x v="7"/>
    <x v="62"/>
    <n v="1"/>
    <n v="0"/>
  </r>
  <r>
    <s v="013.746.252/0001-06"/>
    <x v="15"/>
    <s v="EXCLUSAO  ANOT.INADIMPLENCIA"/>
    <d v="2025-02-06T00:00:00"/>
    <x v="7"/>
    <x v="10"/>
    <x v="7"/>
    <x v="15"/>
    <n v="1"/>
    <n v="0"/>
  </r>
  <r>
    <s v="049.847.331/0001-50"/>
    <x v="136"/>
    <s v="INCLUSAO  ANOT.INADIMPLENCIA"/>
    <d v="2025-02-06T00:00:00"/>
    <x v="11"/>
    <x v="10"/>
    <x v="11"/>
    <x v="136"/>
    <n v="0"/>
    <n v="1"/>
  </r>
  <r>
    <s v="050.901.671/0001-00"/>
    <x v="127"/>
    <s v="EXCLUSAO  ANOT.INADIMPLENCIA"/>
    <d v="2025-02-06T00:00:00"/>
    <x v="16"/>
    <x v="10"/>
    <x v="16"/>
    <x v="127"/>
    <n v="1"/>
    <n v="0"/>
  </r>
  <r>
    <s v="007.509.304/0001-28"/>
    <x v="158"/>
    <s v="INCLUSAO  ANOT.INADIMPLENCIA"/>
    <d v="2025-02-06T00:00:00"/>
    <x v="20"/>
    <x v="10"/>
    <x v="20"/>
    <x v="158"/>
    <n v="0"/>
    <n v="1"/>
  </r>
  <r>
    <s v="012.520.791/0001-60"/>
    <x v="4"/>
    <s v="INCLUSAO  ANOT.INADIMPLENCIA"/>
    <d v="2025-02-07T00:00:00"/>
    <x v="1"/>
    <x v="10"/>
    <x v="1"/>
    <x v="4"/>
    <n v="0"/>
    <n v="1"/>
  </r>
  <r>
    <s v="035.665.211/0001-28"/>
    <x v="94"/>
    <s v="INCLUSAO  ANOT.INADIMPLENCIA"/>
    <d v="2025-02-07T00:00:00"/>
    <x v="5"/>
    <x v="10"/>
    <x v="5"/>
    <x v="94"/>
    <n v="0"/>
    <n v="1"/>
  </r>
  <r>
    <s v="006.236.494/0001-94"/>
    <x v="62"/>
    <s v="EXCLUSAO  ANOT.INADIMPLENCIA"/>
    <d v="2025-02-07T00:00:00"/>
    <x v="7"/>
    <x v="10"/>
    <x v="7"/>
    <x v="62"/>
    <n v="1"/>
    <n v="0"/>
  </r>
  <r>
    <s v="028.477.685/0001-80"/>
    <x v="96"/>
    <s v="EXCLUSAO  ANOT.INADIMPLENCIA"/>
    <d v="2025-02-07T00:00:00"/>
    <x v="7"/>
    <x v="10"/>
    <x v="7"/>
    <x v="96"/>
    <n v="1"/>
    <n v="0"/>
  </r>
  <r>
    <s v="013.746.252/0001-06"/>
    <x v="15"/>
    <s v="INCLUSAO  ANOT.INADIMPLENCIA"/>
    <d v="2025-02-07T00:00:00"/>
    <x v="7"/>
    <x v="10"/>
    <x v="7"/>
    <x v="15"/>
    <n v="0"/>
    <n v="1"/>
  </r>
  <r>
    <s v="049.847.331/0001-50"/>
    <x v="136"/>
    <s v="INCLUSAO  ANOT.INADIMPLENCIA"/>
    <d v="2025-02-07T00:00:00"/>
    <x v="11"/>
    <x v="10"/>
    <x v="11"/>
    <x v="136"/>
    <n v="0"/>
    <n v="1"/>
  </r>
  <r>
    <s v="041.421.379/0001-90"/>
    <x v="138"/>
    <s v="INCLUSAO  ANOT.INADIMPLENCIA"/>
    <d v="2025-02-07T00:00:00"/>
    <x v="8"/>
    <x v="10"/>
    <x v="8"/>
    <x v="138"/>
    <n v="0"/>
    <n v="1"/>
  </r>
  <r>
    <s v="043.515.558/0001-12"/>
    <x v="22"/>
    <s v="INCLUSAO  ANOT.INADIMPLENCIA"/>
    <d v="2025-02-07T00:00:00"/>
    <x v="12"/>
    <x v="10"/>
    <x v="12"/>
    <x v="22"/>
    <n v="0"/>
    <n v="1"/>
  </r>
  <r>
    <s v="016.772.642/0001-49"/>
    <x v="70"/>
    <s v="INCL/EXCL ANOT.INADIMPLENCIA"/>
    <d v="2025-02-08T00:00:00"/>
    <x v="0"/>
    <x v="10"/>
    <x v="0"/>
    <x v="70"/>
    <n v="0"/>
    <n v="0"/>
  </r>
  <r>
    <s v="035.649.603/0001-01"/>
    <x v="120"/>
    <s v="EXCLUSAO  ANOT.INADIMPLENCIA"/>
    <d v="2025-02-08T00:00:00"/>
    <x v="15"/>
    <x v="10"/>
    <x v="15"/>
    <x v="120"/>
    <n v="1"/>
    <n v="0"/>
  </r>
  <r>
    <s v="019.450.138/0001-10"/>
    <x v="71"/>
    <s v="INCLUSAO  ANOT.INADIMPLENCIA"/>
    <d v="2025-02-08T00:00:00"/>
    <x v="22"/>
    <x v="10"/>
    <x v="22"/>
    <x v="71"/>
    <n v="0"/>
    <n v="1"/>
  </r>
  <r>
    <s v="035.165.246/0001-06"/>
    <x v="105"/>
    <s v="INCLUSAO  ANOT.INADIMPLENCIA"/>
    <d v="2025-02-08T00:00:00"/>
    <x v="4"/>
    <x v="10"/>
    <x v="4"/>
    <x v="105"/>
    <n v="0"/>
    <n v="1"/>
  </r>
  <r>
    <s v="035.665.211/0001-28"/>
    <x v="94"/>
    <s v="INCLUSAO  ANOT.INADIMPLENCIA"/>
    <d v="2025-02-08T00:00:00"/>
    <x v="5"/>
    <x v="10"/>
    <x v="5"/>
    <x v="94"/>
    <n v="0"/>
    <n v="1"/>
  </r>
  <r>
    <s v="088.978.606/0001-47"/>
    <x v="115"/>
    <s v="INCLUSAO  ANOT.INADIMPLENCIA"/>
    <d v="2025-02-08T00:00:00"/>
    <x v="6"/>
    <x v="10"/>
    <x v="6"/>
    <x v="115"/>
    <n v="0"/>
    <n v="1"/>
  </r>
  <r>
    <s v="013.746.252/0001-06"/>
    <x v="15"/>
    <s v="EXCLUSAO  ANOT.INADIMPLENCIA"/>
    <d v="2025-02-08T00:00:00"/>
    <x v="7"/>
    <x v="10"/>
    <x v="7"/>
    <x v="15"/>
    <n v="1"/>
    <n v="0"/>
  </r>
  <r>
    <s v="049.847.331/0001-50"/>
    <x v="136"/>
    <s v="INCLUSAO  ANOT.INADIMPLENCIA"/>
    <d v="2025-02-08T00:00:00"/>
    <x v="11"/>
    <x v="10"/>
    <x v="11"/>
    <x v="136"/>
    <n v="0"/>
    <n v="1"/>
  </r>
  <r>
    <s v="021.473.575/0001-00"/>
    <x v="63"/>
    <s v="EXCLUSAO  ANOT.INADIMPLENCIA"/>
    <d v="2025-02-08T00:00:00"/>
    <x v="11"/>
    <x v="10"/>
    <x v="11"/>
    <x v="63"/>
    <n v="1"/>
    <n v="0"/>
  </r>
  <r>
    <s v="043.564.107/0001-75"/>
    <x v="153"/>
    <s v="EXCLUSAO  ANOT.INADIMPLENCIA"/>
    <d v="2025-02-08T00:00:00"/>
    <x v="20"/>
    <x v="10"/>
    <x v="20"/>
    <x v="153"/>
    <n v="1"/>
    <n v="0"/>
  </r>
  <r>
    <s v="016.772.642/0001-49"/>
    <x v="70"/>
    <s v="INCLUSAO  ANOT.INADIMPLENCIA"/>
    <d v="2025-02-09T00:00:00"/>
    <x v="0"/>
    <x v="10"/>
    <x v="0"/>
    <x v="70"/>
    <n v="0"/>
    <n v="1"/>
  </r>
  <r>
    <s v="035.345.406/0001-90"/>
    <x v="40"/>
    <s v="INCLUSAO  ANOT.INADIMPLENCIA"/>
    <d v="2025-02-09T00:00:00"/>
    <x v="0"/>
    <x v="10"/>
    <x v="0"/>
    <x v="40"/>
    <n v="0"/>
    <n v="1"/>
  </r>
  <r>
    <s v="010.497.973/0001-31"/>
    <x v="54"/>
    <s v="INCLUSAO  ANOT.INADIMPLENCIA"/>
    <d v="2025-02-09T00:00:00"/>
    <x v="0"/>
    <x v="10"/>
    <x v="0"/>
    <x v="54"/>
    <n v="0"/>
    <n v="1"/>
  </r>
  <r>
    <s v="021.734.108/0001-88"/>
    <x v="41"/>
    <s v="INCLUSAO  ANOT.INADIMPLENCIA"/>
    <d v="2025-02-09T00:00:00"/>
    <x v="13"/>
    <x v="10"/>
    <x v="13"/>
    <x v="41"/>
    <n v="0"/>
    <n v="1"/>
  </r>
  <r>
    <s v="028.556.973/0001-20"/>
    <x v="119"/>
    <s v="ALTERACAO QUADRO SOCIAL"/>
    <d v="2025-02-09T00:00:00"/>
    <x v="1"/>
    <x v="10"/>
    <x v="1"/>
    <x v="119"/>
    <n v="0"/>
    <n v="0"/>
  </r>
  <r>
    <s v="020.066.300/0001-80"/>
    <x v="2"/>
    <s v="ALTERACAO QUADRO SOCIAL"/>
    <d v="2025-02-09T00:00:00"/>
    <x v="1"/>
    <x v="10"/>
    <x v="1"/>
    <x v="2"/>
    <n v="0"/>
    <n v="0"/>
  </r>
  <r>
    <s v="020.066.300/0001-80"/>
    <x v="2"/>
    <s v="ALTERACAO ADMINISTRADORES"/>
    <d v="2025-02-09T00:00:00"/>
    <x v="1"/>
    <x v="10"/>
    <x v="1"/>
    <x v="2"/>
    <n v="0"/>
    <n v="0"/>
  </r>
  <r>
    <s v="020.066.300/0001-80"/>
    <x v="2"/>
    <s v="INCLUSAO  ANOT.INADIMPLENCIA"/>
    <d v="2025-02-09T00:00:00"/>
    <x v="1"/>
    <x v="10"/>
    <x v="1"/>
    <x v="2"/>
    <n v="0"/>
    <n v="1"/>
  </r>
  <r>
    <s v="003.590.360/0001-89"/>
    <x v="3"/>
    <s v="INCLUSAO  ANOT.INADIMPLENCIA"/>
    <d v="2025-02-09T00:00:00"/>
    <x v="1"/>
    <x v="10"/>
    <x v="1"/>
    <x v="3"/>
    <n v="0"/>
    <n v="1"/>
  </r>
  <r>
    <s v="012.520.791/0001-60"/>
    <x v="4"/>
    <s v="INCLUSAO  ANOT.INADIMPLENCIA"/>
    <d v="2025-02-09T00:00:00"/>
    <x v="1"/>
    <x v="10"/>
    <x v="1"/>
    <x v="4"/>
    <n v="0"/>
    <n v="1"/>
  </r>
  <r>
    <s v="035.649.603/0001-01"/>
    <x v="120"/>
    <s v="INCLUSAO  ANOT.INADIMPLENCIA"/>
    <d v="2025-02-09T00:00:00"/>
    <x v="15"/>
    <x v="10"/>
    <x v="15"/>
    <x v="120"/>
    <n v="0"/>
    <n v="1"/>
  </r>
  <r>
    <s v="007.102.721/0001-51"/>
    <x v="44"/>
    <s v="EXCLUSAO  ANOT.INADIMPLENCIA"/>
    <d v="2025-02-09T00:00:00"/>
    <x v="15"/>
    <x v="10"/>
    <x v="15"/>
    <x v="44"/>
    <n v="1"/>
    <n v="0"/>
  </r>
  <r>
    <s v="007.561.436/0001-07"/>
    <x v="34"/>
    <s v="INCLUSAO  ANOT.INADIMPLENCIA"/>
    <d v="2025-02-09T00:00:00"/>
    <x v="15"/>
    <x v="10"/>
    <x v="15"/>
    <x v="34"/>
    <n v="0"/>
    <n v="1"/>
  </r>
  <r>
    <s v="021.420.856/0001-96"/>
    <x v="130"/>
    <s v="EXCLUSAO  ANOT.INADIMPLENCIA"/>
    <d v="2025-02-09T00:00:00"/>
    <x v="24"/>
    <x v="10"/>
    <x v="24"/>
    <x v="130"/>
    <n v="1"/>
    <n v="0"/>
  </r>
  <r>
    <s v="019.450.138/0001-10"/>
    <x v="71"/>
    <s v="EXCLUSAO  ANOT.INADIMPLENCIA"/>
    <d v="2025-02-09T00:00:00"/>
    <x v="22"/>
    <x v="10"/>
    <x v="22"/>
    <x v="71"/>
    <n v="1"/>
    <n v="0"/>
  </r>
  <r>
    <s v="035.165.246/0001-06"/>
    <x v="105"/>
    <s v="INCLUSAO  ANOT.INADIMPLENCIA"/>
    <d v="2025-02-09T00:00:00"/>
    <x v="4"/>
    <x v="10"/>
    <x v="4"/>
    <x v="105"/>
    <n v="0"/>
    <n v="1"/>
  </r>
  <r>
    <s v="002.246.382/0001-63"/>
    <x v="57"/>
    <s v="INCLUSAO  ANOT.INADIMPLENCIA"/>
    <d v="2025-02-09T00:00:00"/>
    <x v="4"/>
    <x v="10"/>
    <x v="4"/>
    <x v="57"/>
    <n v="0"/>
    <n v="1"/>
  </r>
  <r>
    <s v="035.665.211/0001-28"/>
    <x v="94"/>
    <s v="INCLUSAO  ANOT.INADIMPLENCIA"/>
    <d v="2025-02-09T00:00:00"/>
    <x v="5"/>
    <x v="10"/>
    <x v="5"/>
    <x v="94"/>
    <n v="0"/>
    <n v="1"/>
  </r>
  <r>
    <s v="007.906.793/0001-51"/>
    <x v="126"/>
    <s v="INCLUSAO  ANOT.INADIMPLENCIA"/>
    <d v="2025-02-09T00:00:00"/>
    <x v="6"/>
    <x v="10"/>
    <x v="6"/>
    <x v="126"/>
    <n v="0"/>
    <n v="1"/>
  </r>
  <r>
    <s v="006.236.494/0001-94"/>
    <x v="62"/>
    <s v="EXCLUSAO  ANOT.INADIMPLENCIA"/>
    <d v="2025-02-09T00:00:00"/>
    <x v="7"/>
    <x v="10"/>
    <x v="7"/>
    <x v="62"/>
    <n v="1"/>
    <n v="0"/>
  </r>
  <r>
    <s v="025.383.640/0001-59"/>
    <x v="159"/>
    <s v="ALTERACAO QUADRO SOCIAL"/>
    <d v="2025-02-09T00:00:00"/>
    <x v="7"/>
    <x v="10"/>
    <x v="7"/>
    <x v="159"/>
    <n v="0"/>
    <n v="0"/>
  </r>
  <r>
    <s v="028.477.685/0001-80"/>
    <x v="96"/>
    <s v="EXCLUSAO  ANOT.INADIMPLENCIA"/>
    <d v="2025-02-09T00:00:00"/>
    <x v="7"/>
    <x v="10"/>
    <x v="7"/>
    <x v="96"/>
    <n v="1"/>
    <n v="0"/>
  </r>
  <r>
    <s v="041.757.407/0001-45"/>
    <x v="154"/>
    <s v="EXCLUSAO  ANOT.INADIMPLENCIA"/>
    <d v="2025-02-09T00:00:00"/>
    <x v="7"/>
    <x v="10"/>
    <x v="7"/>
    <x v="154"/>
    <n v="1"/>
    <n v="0"/>
  </r>
  <r>
    <s v="049.847.331/0001-50"/>
    <x v="136"/>
    <s v="INCLUSAO  ANOT.INADIMPLENCIA"/>
    <d v="2025-02-09T00:00:00"/>
    <x v="11"/>
    <x v="10"/>
    <x v="11"/>
    <x v="136"/>
    <n v="0"/>
    <n v="1"/>
  </r>
  <r>
    <s v="004.067.472/0001-12"/>
    <x v="160"/>
    <s v="EXCLUSAO  ANOT.INADIMPLENCIA"/>
    <d v="2025-02-09T00:00:00"/>
    <x v="11"/>
    <x v="10"/>
    <x v="11"/>
    <x v="160"/>
    <n v="1"/>
    <n v="0"/>
  </r>
  <r>
    <s v="014.385.825/0001-86"/>
    <x v="111"/>
    <s v="INCL/EXCL ANOT.INADIMPLENCIA"/>
    <d v="2025-02-09T00:00:00"/>
    <x v="8"/>
    <x v="10"/>
    <x v="8"/>
    <x v="111"/>
    <n v="0"/>
    <n v="0"/>
  </r>
  <r>
    <s v="071.350.797/0001-03"/>
    <x v="48"/>
    <s v="INCLUSAO  ANOT.INADIMPLENCIA"/>
    <d v="2025-02-09T00:00:00"/>
    <x v="16"/>
    <x v="10"/>
    <x v="16"/>
    <x v="48"/>
    <n v="0"/>
    <n v="1"/>
  </r>
  <r>
    <s v="040.582.798/0001-41"/>
    <x v="145"/>
    <s v="EXCLUSAO  ANOT.INADIMPLENCIA"/>
    <d v="2025-02-09T00:00:00"/>
    <x v="20"/>
    <x v="10"/>
    <x v="20"/>
    <x v="145"/>
    <n v="1"/>
    <n v="0"/>
  </r>
  <r>
    <s v="043.515.558/0001-12"/>
    <x v="22"/>
    <s v="INCLUSAO  ANOT.INADIMPLENCIA"/>
    <d v="2025-02-09T00:00:00"/>
    <x v="12"/>
    <x v="10"/>
    <x v="12"/>
    <x v="22"/>
    <n v="0"/>
    <n v="1"/>
  </r>
  <r>
    <s v="000.688.793/0001-83"/>
    <x v="150"/>
    <s v="EXCLUSAO  ANOT.INADIMPLENCIA"/>
    <d v="2025-03-21T00:00:00"/>
    <x v="1"/>
    <x v="11"/>
    <x v="1"/>
    <x v="150"/>
    <n v="1"/>
    <n v="0"/>
  </r>
  <r>
    <s v="020.066.300/0001-80"/>
    <x v="2"/>
    <s v="INCLUSAO  ANOT.INADIMPLENCIA"/>
    <d v="2025-03-21T00:00:00"/>
    <x v="1"/>
    <x v="11"/>
    <x v="1"/>
    <x v="2"/>
    <n v="0"/>
    <n v="1"/>
  </r>
  <r>
    <s v="036.726.274/0001-00"/>
    <x v="134"/>
    <s v="INCLUSAO  ANOT.INADIMPLENCIA"/>
    <d v="2025-03-21T00:00:00"/>
    <x v="1"/>
    <x v="11"/>
    <x v="1"/>
    <x v="134"/>
    <n v="0"/>
    <n v="1"/>
  </r>
  <r>
    <s v="012.520.791/0001-60"/>
    <x v="4"/>
    <s v="INCLUSAO  ANOT.INADIMPLENCIA"/>
    <d v="2025-03-21T00:00:00"/>
    <x v="1"/>
    <x v="11"/>
    <x v="1"/>
    <x v="4"/>
    <n v="0"/>
    <n v="1"/>
  </r>
  <r>
    <s v="003.596.757/0001-88"/>
    <x v="161"/>
    <s v="EXCLUSAO  ANOT.INADIMPLENCIA"/>
    <d v="2025-03-21T00:00:00"/>
    <x v="19"/>
    <x v="11"/>
    <x v="19"/>
    <x v="161"/>
    <n v="1"/>
    <n v="0"/>
  </r>
  <r>
    <s v="002.377.675/0001-80"/>
    <x v="86"/>
    <s v="INCLUSAO  ANOT.INADIMPLENCIA"/>
    <d v="2025-03-21T00:00:00"/>
    <x v="15"/>
    <x v="11"/>
    <x v="15"/>
    <x v="86"/>
    <n v="0"/>
    <n v="1"/>
  </r>
  <r>
    <s v="001.165.357/0001-92"/>
    <x v="87"/>
    <s v="INCLUSAO  ANOT.INADIMPLENCIA"/>
    <d v="2025-03-21T00:00:00"/>
    <x v="15"/>
    <x v="11"/>
    <x v="15"/>
    <x v="87"/>
    <n v="0"/>
    <n v="1"/>
  </r>
  <r>
    <s v="001.636.335/0001-63"/>
    <x v="78"/>
    <s v="INCLUSAO  ANOT.INADIMPLENCIA"/>
    <d v="2025-03-21T00:00:00"/>
    <x v="15"/>
    <x v="11"/>
    <x v="15"/>
    <x v="78"/>
    <n v="0"/>
    <n v="1"/>
  </r>
  <r>
    <s v="024.331.138/0001-31"/>
    <x v="88"/>
    <s v="INCLUSAO  ANOT.INADIMPLENCIA"/>
    <d v="2025-03-21T00:00:00"/>
    <x v="15"/>
    <x v="11"/>
    <x v="15"/>
    <x v="88"/>
    <n v="0"/>
    <n v="1"/>
  </r>
  <r>
    <s v="040.938.741/0001-32"/>
    <x v="162"/>
    <s v="INCLUSAO  ANOT.INADIMPLENCIA"/>
    <d v="2025-03-21T00:00:00"/>
    <x v="15"/>
    <x v="11"/>
    <x v="15"/>
    <x v="162"/>
    <n v="0"/>
    <n v="1"/>
  </r>
  <r>
    <s v="045.501.529/0001-27"/>
    <x v="163"/>
    <s v="INCLUSAO  ANOT.INADIMPLENCIA"/>
    <d v="2025-03-21T00:00:00"/>
    <x v="15"/>
    <x v="11"/>
    <x v="15"/>
    <x v="163"/>
    <n v="0"/>
    <n v="1"/>
  </r>
  <r>
    <s v="019.450.138/0001-10"/>
    <x v="71"/>
    <s v="INCLUSAO  ANOT.INADIMPLENCIA"/>
    <d v="2025-03-21T00:00:00"/>
    <x v="22"/>
    <x v="11"/>
    <x v="22"/>
    <x v="71"/>
    <n v="0"/>
    <n v="1"/>
  </r>
  <r>
    <s v="025.825.654/0001-85"/>
    <x v="7"/>
    <s v="INCLUSAO  ANOT.INADIMPLENCIA"/>
    <d v="2025-03-21T00:00:00"/>
    <x v="4"/>
    <x v="11"/>
    <x v="4"/>
    <x v="7"/>
    <n v="0"/>
    <n v="1"/>
  </r>
  <r>
    <s v="011.091.574/0001-39"/>
    <x v="26"/>
    <s v="EXCLUSAO  ANOT.INADIMPLENCIA"/>
    <d v="2025-03-21T00:00:00"/>
    <x v="7"/>
    <x v="11"/>
    <x v="7"/>
    <x v="26"/>
    <n v="1"/>
    <n v="0"/>
  </r>
  <r>
    <s v="025.383.640/0001-59"/>
    <x v="159"/>
    <s v="EXCLUSAO  ANOT.INADIMPLENCIA"/>
    <d v="2025-03-21T00:00:00"/>
    <x v="7"/>
    <x v="11"/>
    <x v="7"/>
    <x v="159"/>
    <n v="1"/>
    <n v="0"/>
  </r>
  <r>
    <s v="018.868.117/0001-57"/>
    <x v="164"/>
    <s v="EXCLUSAO  ANOT.INADIMPLENCIA"/>
    <d v="2025-03-21T00:00:00"/>
    <x v="7"/>
    <x v="11"/>
    <x v="7"/>
    <x v="164"/>
    <n v="1"/>
    <n v="0"/>
  </r>
  <r>
    <s v="023.605.544/0001-82"/>
    <x v="21"/>
    <s v="INCLUSAO  ANOT.INADIMPLENCIA"/>
    <d v="2025-03-21T00:00:00"/>
    <x v="11"/>
    <x v="11"/>
    <x v="11"/>
    <x v="21"/>
    <n v="0"/>
    <n v="1"/>
  </r>
  <r>
    <s v="030.104.393/0001-44"/>
    <x v="165"/>
    <s v="EXCLUSAO  ANOT.INADIMPLENCIA"/>
    <d v="2025-03-21T00:00:00"/>
    <x v="8"/>
    <x v="11"/>
    <x v="8"/>
    <x v="165"/>
    <n v="1"/>
    <n v="0"/>
  </r>
  <r>
    <s v="005.997.418/0001-39"/>
    <x v="166"/>
    <s v="INCLUSAO  ANOT.INADIMPLENCIA"/>
    <d v="2025-03-21T00:00:00"/>
    <x v="8"/>
    <x v="11"/>
    <x v="8"/>
    <x v="166"/>
    <n v="0"/>
    <n v="1"/>
  </r>
  <r>
    <s v="038.110.780/0001-03"/>
    <x v="47"/>
    <s v="INCLUSAO  ANOT.INADIMPLENCIA"/>
    <d v="2025-03-21T00:00:00"/>
    <x v="8"/>
    <x v="11"/>
    <x v="8"/>
    <x v="47"/>
    <n v="0"/>
    <n v="1"/>
  </r>
  <r>
    <s v="028.650.970/0001-51"/>
    <x v="167"/>
    <s v="INCLUSAO  ANOT.INADIMPLENCIA"/>
    <d v="2025-03-21T00:00:00"/>
    <x v="16"/>
    <x v="11"/>
    <x v="16"/>
    <x v="167"/>
    <n v="0"/>
    <n v="1"/>
  </r>
  <r>
    <s v="007.509.304/0001-28"/>
    <x v="158"/>
    <s v="INCLUSAO  ANOT.INADIMPLENCIA"/>
    <d v="2025-03-21T00:00:00"/>
    <x v="20"/>
    <x v="11"/>
    <x v="20"/>
    <x v="158"/>
    <n v="0"/>
    <n v="1"/>
  </r>
  <r>
    <s v="023.909.177/0001-00"/>
    <x v="103"/>
    <s v="INCLUSAO  ANOT.INADIMPLENCIA"/>
    <d v="2025-03-21T00:00:00"/>
    <x v="9"/>
    <x v="11"/>
    <x v="9"/>
    <x v="103"/>
    <n v="0"/>
    <n v="1"/>
  </r>
  <r>
    <s v="016.772.642/0001-49"/>
    <x v="70"/>
    <s v="EXCLUSAO  ANOT.INADIMPLENCIA"/>
    <d v="2025-03-22T00:00:00"/>
    <x v="0"/>
    <x v="11"/>
    <x v="0"/>
    <x v="70"/>
    <n v="1"/>
    <n v="0"/>
  </r>
  <r>
    <s v="020.066.300/0001-80"/>
    <x v="2"/>
    <s v="INCLUSAO  ANOT.INADIMPLENCIA"/>
    <d v="2025-03-22T00:00:00"/>
    <x v="1"/>
    <x v="11"/>
    <x v="1"/>
    <x v="2"/>
    <n v="0"/>
    <n v="1"/>
  </r>
  <r>
    <s v="036.726.274/0001-00"/>
    <x v="134"/>
    <s v="INCLUSAO  ANOT.INADIMPLENCIA"/>
    <d v="2025-03-22T00:00:00"/>
    <x v="1"/>
    <x v="11"/>
    <x v="1"/>
    <x v="134"/>
    <n v="0"/>
    <n v="1"/>
  </r>
  <r>
    <s v="049.218.819/0001-19"/>
    <x v="151"/>
    <s v="INCLUSAO  ANOT.INADIMPLENCIA"/>
    <d v="2025-03-22T00:00:00"/>
    <x v="14"/>
    <x v="11"/>
    <x v="14"/>
    <x v="151"/>
    <n v="0"/>
    <n v="1"/>
  </r>
  <r>
    <s v="035.649.603/0001-01"/>
    <x v="120"/>
    <s v="EXCLUSAO  ANOT.INADIMPLENCIA"/>
    <d v="2025-03-22T00:00:00"/>
    <x v="15"/>
    <x v="11"/>
    <x v="15"/>
    <x v="120"/>
    <n v="1"/>
    <n v="0"/>
  </r>
  <r>
    <s v="028.393.466/0001-13"/>
    <x v="168"/>
    <s v="INCLUSAO  ANOT.INADIMPLENCIA"/>
    <d v="2025-03-22T00:00:00"/>
    <x v="15"/>
    <x v="11"/>
    <x v="15"/>
    <x v="168"/>
    <n v="0"/>
    <n v="1"/>
  </r>
  <r>
    <s v="019.450.138/0001-10"/>
    <x v="71"/>
    <s v="INCLUSAO  ANOT.INADIMPLENCIA"/>
    <d v="2025-03-22T00:00:00"/>
    <x v="22"/>
    <x v="11"/>
    <x v="22"/>
    <x v="71"/>
    <n v="0"/>
    <n v="1"/>
  </r>
  <r>
    <s v="035.165.246/0001-06"/>
    <x v="105"/>
    <s v="INCLUSAO  ANOT.INADIMPLENCIA"/>
    <d v="2025-03-22T00:00:00"/>
    <x v="4"/>
    <x v="11"/>
    <x v="4"/>
    <x v="105"/>
    <n v="0"/>
    <n v="1"/>
  </r>
  <r>
    <s v="045.871.536/0001-10"/>
    <x v="72"/>
    <s v="EXCLUSAO  ANOT.INADIMPLENCIA"/>
    <d v="2025-03-22T00:00:00"/>
    <x v="4"/>
    <x v="11"/>
    <x v="4"/>
    <x v="72"/>
    <n v="1"/>
    <n v="0"/>
  </r>
  <r>
    <s v="000.803.044/0001-50"/>
    <x v="45"/>
    <s v="EXCLUSAO  ANOT.INADIMPLENCIA"/>
    <d v="2025-03-22T00:00:00"/>
    <x v="5"/>
    <x v="11"/>
    <x v="5"/>
    <x v="45"/>
    <n v="1"/>
    <n v="0"/>
  </r>
  <r>
    <s v="035.665.211/0001-28"/>
    <x v="94"/>
    <s v="INCLUSAO  ANOT.INADIMPLENCIA"/>
    <d v="2025-03-22T00:00:00"/>
    <x v="5"/>
    <x v="11"/>
    <x v="5"/>
    <x v="94"/>
    <n v="0"/>
    <n v="1"/>
  </r>
  <r>
    <s v="088.978.606/0001-47"/>
    <x v="115"/>
    <s v="INCLUSAO  ANOT.INADIMPLENCIA"/>
    <d v="2025-03-22T00:00:00"/>
    <x v="6"/>
    <x v="11"/>
    <x v="6"/>
    <x v="115"/>
    <n v="0"/>
    <n v="1"/>
  </r>
  <r>
    <s v="093.274.124/0001-46"/>
    <x v="83"/>
    <s v="INCLUSAO  ANOT.INADIMPLENCIA"/>
    <d v="2025-03-22T00:00:00"/>
    <x v="27"/>
    <x v="11"/>
    <x v="27"/>
    <x v="83"/>
    <n v="0"/>
    <n v="1"/>
  </r>
  <r>
    <s v="006.236.494/0001-94"/>
    <x v="62"/>
    <s v="EXCLUSAO  ANOT.INADIMPLENCIA"/>
    <d v="2025-03-22T00:00:00"/>
    <x v="7"/>
    <x v="11"/>
    <x v="7"/>
    <x v="62"/>
    <n v="1"/>
    <n v="0"/>
  </r>
  <r>
    <s v="002.776.536/0001-29"/>
    <x v="169"/>
    <s v="INCLUSAO  ANOT.INADIMPLENCIA"/>
    <d v="2025-03-22T00:00:00"/>
    <x v="11"/>
    <x v="11"/>
    <x v="11"/>
    <x v="169"/>
    <n v="0"/>
    <n v="1"/>
  </r>
  <r>
    <s v="071.350.797/0001-03"/>
    <x v="48"/>
    <s v="INCLUSAO  ANOT.INADIMPLENCIA"/>
    <d v="2025-03-22T00:00:00"/>
    <x v="16"/>
    <x v="11"/>
    <x v="16"/>
    <x v="48"/>
    <n v="0"/>
    <n v="1"/>
  </r>
  <r>
    <s v="016.772.642/0001-49"/>
    <x v="70"/>
    <s v="INCLUSAO  ANOT.INADIMPLENCIA"/>
    <d v="2025-03-25T00:00:00"/>
    <x v="0"/>
    <x v="11"/>
    <x v="0"/>
    <x v="70"/>
    <n v="0"/>
    <n v="1"/>
  </r>
  <r>
    <s v="004.962.112/0001-84"/>
    <x v="170"/>
    <s v="INCLUSAO  ANOT.INADIMPLENCIA"/>
    <d v="2025-03-25T00:00:00"/>
    <x v="0"/>
    <x v="11"/>
    <x v="0"/>
    <x v="170"/>
    <n v="0"/>
    <n v="1"/>
  </r>
  <r>
    <s v="022.998.836/0001-60"/>
    <x v="24"/>
    <s v="INCLUSAO  ANOT.INADIMPLENCIA"/>
    <d v="2025-03-25T00:00:00"/>
    <x v="0"/>
    <x v="11"/>
    <x v="0"/>
    <x v="24"/>
    <n v="0"/>
    <n v="1"/>
  </r>
  <r>
    <s v="021.734.108/0001-88"/>
    <x v="41"/>
    <s v="INCLUSAO  ANOT.INADIMPLENCIA"/>
    <d v="2025-03-25T00:00:00"/>
    <x v="13"/>
    <x v="11"/>
    <x v="13"/>
    <x v="41"/>
    <n v="0"/>
    <n v="1"/>
  </r>
  <r>
    <s v="028.556.973/0001-20"/>
    <x v="119"/>
    <s v="EXCLUSAO  ANOT.INADIMPLENCIA"/>
    <d v="2025-03-25T00:00:00"/>
    <x v="1"/>
    <x v="11"/>
    <x v="1"/>
    <x v="119"/>
    <n v="1"/>
    <n v="0"/>
  </r>
  <r>
    <s v="020.066.300/0001-80"/>
    <x v="2"/>
    <s v="INCL/EXCL ANOT.INADIMPLENCIA"/>
    <d v="2025-03-25T00:00:00"/>
    <x v="1"/>
    <x v="11"/>
    <x v="1"/>
    <x v="2"/>
    <n v="0"/>
    <n v="0"/>
  </r>
  <r>
    <s v="003.590.360/0001-89"/>
    <x v="3"/>
    <s v="INCLUSAO  ANOT.INADIMPLENCIA"/>
    <d v="2025-03-25T00:00:00"/>
    <x v="1"/>
    <x v="11"/>
    <x v="1"/>
    <x v="3"/>
    <n v="0"/>
    <n v="1"/>
  </r>
  <r>
    <s v="012.520.791/0001-60"/>
    <x v="4"/>
    <s v="INCLUSAO  ANOT.INADIMPLENCIA"/>
    <d v="2025-03-25T00:00:00"/>
    <x v="1"/>
    <x v="11"/>
    <x v="1"/>
    <x v="4"/>
    <n v="0"/>
    <n v="1"/>
  </r>
  <r>
    <s v="016.757.535/0001-41"/>
    <x v="29"/>
    <s v="INCLUSAO  ANOT.INADIMPLENCIA"/>
    <d v="2025-03-25T00:00:00"/>
    <x v="14"/>
    <x v="11"/>
    <x v="14"/>
    <x v="29"/>
    <n v="0"/>
    <n v="1"/>
  </r>
  <r>
    <s v="001.535.822/0001-30"/>
    <x v="171"/>
    <s v="INCLUSAO  ANOT.INADIMPLENCIA"/>
    <d v="2025-03-25T00:00:00"/>
    <x v="15"/>
    <x v="11"/>
    <x v="15"/>
    <x v="171"/>
    <n v="0"/>
    <n v="1"/>
  </r>
  <r>
    <s v="028.393.466/0001-13"/>
    <x v="168"/>
    <s v="INCLUSAO  ANOT.INADIMPLENCIA"/>
    <d v="2025-03-25T00:00:00"/>
    <x v="15"/>
    <x v="11"/>
    <x v="15"/>
    <x v="168"/>
    <n v="0"/>
    <n v="1"/>
  </r>
  <r>
    <s v="001.636.335/0001-63"/>
    <x v="78"/>
    <s v="INCLUSAO  ANOT.INADIMPLENCIA"/>
    <d v="2025-03-25T00:00:00"/>
    <x v="15"/>
    <x v="11"/>
    <x v="15"/>
    <x v="78"/>
    <n v="0"/>
    <n v="1"/>
  </r>
  <r>
    <s v="024.331.138/0001-31"/>
    <x v="88"/>
    <s v="EXCLUSAO  ANOT.INADIMPLENCIA"/>
    <d v="2025-03-25T00:00:00"/>
    <x v="15"/>
    <x v="11"/>
    <x v="15"/>
    <x v="88"/>
    <n v="1"/>
    <n v="0"/>
  </r>
  <r>
    <s v="007.102.721/0001-51"/>
    <x v="44"/>
    <s v="INCL/EXCL ANOT.INADIMPLENCIA"/>
    <d v="2025-03-25T00:00:00"/>
    <x v="15"/>
    <x v="11"/>
    <x v="15"/>
    <x v="44"/>
    <n v="0"/>
    <n v="0"/>
  </r>
  <r>
    <s v="088.978.606/0001-47"/>
    <x v="115"/>
    <s v="INCLUSAO  ANOT.INADIMPLENCIA"/>
    <d v="2025-03-25T00:00:00"/>
    <x v="6"/>
    <x v="11"/>
    <x v="6"/>
    <x v="115"/>
    <n v="0"/>
    <n v="1"/>
  </r>
  <r>
    <s v="035.679.705/0001-61"/>
    <x v="172"/>
    <s v="INCLUSAO  ANOT.INADIMPLENCIA"/>
    <d v="2025-03-25T00:00:00"/>
    <x v="6"/>
    <x v="11"/>
    <x v="6"/>
    <x v="172"/>
    <n v="0"/>
    <n v="1"/>
  </r>
  <r>
    <s v="045.452.509/0001-03"/>
    <x v="173"/>
    <s v="INCLUSAO  ANOT.INADIMPLENCIA"/>
    <d v="2025-03-25T00:00:00"/>
    <x v="6"/>
    <x v="11"/>
    <x v="6"/>
    <x v="173"/>
    <n v="0"/>
    <n v="1"/>
  </r>
  <r>
    <s v="012.299.369/0001-26"/>
    <x v="13"/>
    <s v="INCLUSAO  ANOT.INADIMPLENCIA"/>
    <d v="2025-03-25T00:00:00"/>
    <x v="7"/>
    <x v="11"/>
    <x v="7"/>
    <x v="13"/>
    <n v="0"/>
    <n v="1"/>
  </r>
  <r>
    <s v="037.828.375/0001-54"/>
    <x v="39"/>
    <s v="INCLUSAO  ANOT.INADIMPLENCIA"/>
    <d v="2025-03-25T00:00:00"/>
    <x v="7"/>
    <x v="11"/>
    <x v="7"/>
    <x v="39"/>
    <n v="0"/>
    <n v="1"/>
  </r>
  <r>
    <s v="013.746.252/0001-06"/>
    <x v="15"/>
    <s v="INCLUSAO  ANOT.INADIMPLENCIA"/>
    <d v="2025-03-25T00:00:00"/>
    <x v="7"/>
    <x v="11"/>
    <x v="7"/>
    <x v="15"/>
    <n v="0"/>
    <n v="1"/>
  </r>
  <r>
    <s v="023.605.544/0001-82"/>
    <x v="21"/>
    <s v="INCLUSAO  ANOT.INADIMPLENCIA"/>
    <d v="2025-03-25T00:00:00"/>
    <x v="11"/>
    <x v="11"/>
    <x v="11"/>
    <x v="21"/>
    <n v="0"/>
    <n v="1"/>
  </r>
  <r>
    <s v="014.385.825/0001-86"/>
    <x v="111"/>
    <s v="INCLUSAO  ANOT.INADIMPLENCIA"/>
    <d v="2025-03-25T00:00:00"/>
    <x v="8"/>
    <x v="11"/>
    <x v="8"/>
    <x v="111"/>
    <n v="0"/>
    <n v="1"/>
  </r>
  <r>
    <s v="028.650.970/0001-51"/>
    <x v="167"/>
    <s v="INCLUSAO  ANOT.INADIMPLENCIA"/>
    <d v="2025-03-25T00:00:00"/>
    <x v="16"/>
    <x v="11"/>
    <x v="16"/>
    <x v="167"/>
    <n v="0"/>
    <n v="1"/>
  </r>
  <r>
    <s v="046.674.060/0001-90"/>
    <x v="141"/>
    <s v="INCL/EXCL ANOT.INADIMPLENCIA"/>
    <d v="2025-03-25T00:00:00"/>
    <x v="16"/>
    <x v="11"/>
    <x v="16"/>
    <x v="141"/>
    <n v="0"/>
    <n v="0"/>
  </r>
  <r>
    <s v="051.980.425/0001-45"/>
    <x v="174"/>
    <s v="EXCLUSAO  ANOT.INADIMPLENCIA"/>
    <d v="2025-03-25T00:00:00"/>
    <x v="16"/>
    <x v="11"/>
    <x v="16"/>
    <x v="174"/>
    <n v="1"/>
    <n v="0"/>
  </r>
  <r>
    <s v="004.962.112/0001-84"/>
    <x v="170"/>
    <s v="INCLUSAO  ANOT.INADIMPLENCIA"/>
    <d v="2025-03-27T00:00:00"/>
    <x v="0"/>
    <x v="11"/>
    <x v="0"/>
    <x v="170"/>
    <n v="0"/>
    <n v="1"/>
  </r>
  <r>
    <s v="016.772.642/0001-49"/>
    <x v="70"/>
    <s v="INCLUSAO  ANOT.INADIMPLENCIA"/>
    <d v="2025-03-27T00:00:00"/>
    <x v="0"/>
    <x v="11"/>
    <x v="0"/>
    <x v="70"/>
    <n v="0"/>
    <n v="1"/>
  </r>
  <r>
    <s v="022.998.836/0001-60"/>
    <x v="24"/>
    <s v="INCLUSAO  ANOT.INADIMPLENCIA"/>
    <d v="2025-03-27T00:00:00"/>
    <x v="0"/>
    <x v="11"/>
    <x v="0"/>
    <x v="24"/>
    <n v="0"/>
    <n v="1"/>
  </r>
  <r>
    <s v="022.998.836/0001-60"/>
    <x v="24"/>
    <s v="INCLUSAO  ANOT.INADIMPLENCIA"/>
    <d v="2025-03-27T00:00:00"/>
    <x v="0"/>
    <x v="11"/>
    <x v="0"/>
    <x v="24"/>
    <n v="0"/>
    <n v="1"/>
  </r>
  <r>
    <s v="012.520.791/0001-60"/>
    <x v="4"/>
    <s v="INCLUSAO  ANOT.INADIMPLENCIA"/>
    <d v="2025-03-27T00:00:00"/>
    <x v="1"/>
    <x v="11"/>
    <x v="1"/>
    <x v="4"/>
    <n v="0"/>
    <n v="1"/>
  </r>
  <r>
    <s v="020.066.300/0001-80"/>
    <x v="2"/>
    <s v="INCLUSAO  ANOT.INADIMPLENCIA"/>
    <d v="2025-03-27T00:00:00"/>
    <x v="1"/>
    <x v="11"/>
    <x v="1"/>
    <x v="2"/>
    <n v="0"/>
    <n v="1"/>
  </r>
  <r>
    <s v="036.726.274/0001-00"/>
    <x v="134"/>
    <s v="INCLUSAO  ANOT.INADIMPLENCIA"/>
    <d v="2025-03-27T00:00:00"/>
    <x v="1"/>
    <x v="11"/>
    <x v="1"/>
    <x v="134"/>
    <n v="0"/>
    <n v="1"/>
  </r>
  <r>
    <s v="047.635.671/0001-92"/>
    <x v="144"/>
    <s v="ALTERACAO ENDERECO"/>
    <d v="2025-03-27T00:00:00"/>
    <x v="1"/>
    <x v="11"/>
    <x v="1"/>
    <x v="144"/>
    <n v="0"/>
    <n v="0"/>
  </r>
  <r>
    <s v="049.218.819/0001-19"/>
    <x v="151"/>
    <s v="INCLUSAO  ANOT.INADIMPLENCIA"/>
    <d v="2025-03-27T00:00:00"/>
    <x v="14"/>
    <x v="11"/>
    <x v="14"/>
    <x v="151"/>
    <n v="0"/>
    <n v="1"/>
  </r>
  <r>
    <s v="016.757.535/0001-41"/>
    <x v="29"/>
    <s v="EXCLUSAO  ANOT.INADIMPLENCIA"/>
    <d v="2025-03-27T00:00:00"/>
    <x v="14"/>
    <x v="11"/>
    <x v="14"/>
    <x v="29"/>
    <n v="1"/>
    <n v="0"/>
  </r>
  <r>
    <s v="049.218.819/0001-19"/>
    <x v="151"/>
    <s v="INCLUSAO  ANOT.INADIMPLENCIA"/>
    <d v="2025-03-27T00:00:00"/>
    <x v="14"/>
    <x v="11"/>
    <x v="14"/>
    <x v="151"/>
    <n v="0"/>
    <n v="1"/>
  </r>
  <r>
    <s v="028.393.466/0001-13"/>
    <x v="168"/>
    <s v="INCLUSAO  ANOT.INADIMPLENCIA"/>
    <d v="2025-03-27T00:00:00"/>
    <x v="15"/>
    <x v="11"/>
    <x v="15"/>
    <x v="168"/>
    <n v="0"/>
    <n v="1"/>
  </r>
  <r>
    <s v="001.636.335/0001-63"/>
    <x v="78"/>
    <s v="INCL/EXCL ANOT.INADIMPLENCIA"/>
    <d v="2025-03-27T00:00:00"/>
    <x v="15"/>
    <x v="11"/>
    <x v="15"/>
    <x v="78"/>
    <n v="0"/>
    <n v="0"/>
  </r>
  <r>
    <s v="035.165.246/0001-06"/>
    <x v="105"/>
    <s v="INCLUSAO  ANOT.INADIMPLENCIA"/>
    <d v="2025-03-27T00:00:00"/>
    <x v="4"/>
    <x v="11"/>
    <x v="4"/>
    <x v="105"/>
    <n v="0"/>
    <n v="1"/>
  </r>
  <r>
    <s v="000.803.044/0001-50"/>
    <x v="45"/>
    <s v="EXCLUSAO  ANOT.INADIMPLENCIA"/>
    <d v="2025-03-27T00:00:00"/>
    <x v="5"/>
    <x v="11"/>
    <x v="5"/>
    <x v="45"/>
    <n v="1"/>
    <n v="0"/>
  </r>
  <r>
    <s v="035.665.211/0001-28"/>
    <x v="94"/>
    <s v="INCLUSAO  ANOT.INADIMPLENCIA"/>
    <d v="2025-03-27T00:00:00"/>
    <x v="5"/>
    <x v="11"/>
    <x v="5"/>
    <x v="94"/>
    <n v="0"/>
    <n v="1"/>
  </r>
  <r>
    <s v="035.665.211/0001-28"/>
    <x v="94"/>
    <s v="ALTERACAO ENDERECO"/>
    <d v="2025-03-27T00:00:00"/>
    <x v="5"/>
    <x v="11"/>
    <x v="5"/>
    <x v="94"/>
    <n v="0"/>
    <n v="0"/>
  </r>
  <r>
    <s v="035.665.211/0001-28"/>
    <x v="94"/>
    <s v="INCL/EXCL ANOT.INADIMPLENCIA"/>
    <d v="2025-03-27T00:00:00"/>
    <x v="5"/>
    <x v="11"/>
    <x v="5"/>
    <x v="94"/>
    <n v="0"/>
    <n v="0"/>
  </r>
  <r>
    <s v="007.906.793/0001-51"/>
    <x v="126"/>
    <s v="INCLUSAO  ANOT.INADIMPLENCIA"/>
    <d v="2025-03-27T00:00:00"/>
    <x v="6"/>
    <x v="11"/>
    <x v="6"/>
    <x v="126"/>
    <n v="0"/>
    <n v="1"/>
  </r>
  <r>
    <s v="035.679.705/0001-61"/>
    <x v="172"/>
    <s v="INCLUSAO  ANOT.INADIMPLENCIA"/>
    <d v="2025-03-27T00:00:00"/>
    <x v="6"/>
    <x v="11"/>
    <x v="6"/>
    <x v="172"/>
    <n v="0"/>
    <n v="1"/>
  </r>
  <r>
    <s v="036.906.058/0001-46"/>
    <x v="76"/>
    <s v="INCLUSAO  ANOT.INADIMPLENCIA"/>
    <d v="2025-03-27T00:00:00"/>
    <x v="6"/>
    <x v="11"/>
    <x v="6"/>
    <x v="76"/>
    <n v="0"/>
    <n v="1"/>
  </r>
  <r>
    <s v="045.452.509/0001-03"/>
    <x v="173"/>
    <s v="INCLUSAO  ANOT.INADIMPLENCIA"/>
    <d v="2025-03-27T00:00:00"/>
    <x v="6"/>
    <x v="11"/>
    <x v="6"/>
    <x v="173"/>
    <n v="0"/>
    <n v="1"/>
  </r>
  <r>
    <s v="088.978.606/0001-47"/>
    <x v="115"/>
    <s v="INCL/EXCL ANOT.INADIMPLENCIA"/>
    <d v="2025-03-27T00:00:00"/>
    <x v="6"/>
    <x v="11"/>
    <x v="6"/>
    <x v="115"/>
    <n v="0"/>
    <n v="0"/>
  </r>
  <r>
    <s v="013.746.252/0001-06"/>
    <x v="15"/>
    <s v="INCLUSAO  ANOT.INADIMPLENCIA"/>
    <d v="2025-03-27T00:00:00"/>
    <x v="7"/>
    <x v="11"/>
    <x v="7"/>
    <x v="15"/>
    <n v="0"/>
    <n v="1"/>
  </r>
  <r>
    <s v="037.828.375/0001-54"/>
    <x v="39"/>
    <s v="INCLUSAO  ANOT.INADIMPLENCIA"/>
    <d v="2025-03-27T00:00:00"/>
    <x v="7"/>
    <x v="11"/>
    <x v="7"/>
    <x v="39"/>
    <n v="0"/>
    <n v="1"/>
  </r>
  <r>
    <s v="006.236.494/0001-94"/>
    <x v="62"/>
    <s v="EXCLUSAO  ANOT.INADIMPLENCIA"/>
    <d v="2025-03-27T00:00:00"/>
    <x v="7"/>
    <x v="11"/>
    <x v="7"/>
    <x v="62"/>
    <n v="1"/>
    <n v="0"/>
  </r>
  <r>
    <s v="012.299.369/0001-26"/>
    <x v="13"/>
    <s v="ALTERACAO ENDERECO"/>
    <d v="2025-03-27T00:00:00"/>
    <x v="7"/>
    <x v="11"/>
    <x v="7"/>
    <x v="13"/>
    <n v="0"/>
    <n v="0"/>
  </r>
  <r>
    <s v="012.299.369/0001-26"/>
    <x v="13"/>
    <s v="EXCLUSAO  ANOT.INADIMPLENCIA"/>
    <d v="2025-03-27T00:00:00"/>
    <x v="7"/>
    <x v="11"/>
    <x v="7"/>
    <x v="13"/>
    <n v="1"/>
    <n v="0"/>
  </r>
  <r>
    <s v="013.746.252/0001-06"/>
    <x v="15"/>
    <s v="INCLUSAO  ANOT.INADIMPLENCIA"/>
    <d v="2025-03-27T00:00:00"/>
    <x v="7"/>
    <x v="11"/>
    <x v="7"/>
    <x v="15"/>
    <n v="0"/>
    <n v="1"/>
  </r>
  <r>
    <s v="037.828.375/0001-54"/>
    <x v="39"/>
    <s v="EXCLUSAO  ANOT.INADIMPLENCIA"/>
    <d v="2025-03-27T00:00:00"/>
    <x v="7"/>
    <x v="11"/>
    <x v="7"/>
    <x v="39"/>
    <n v="1"/>
    <n v="0"/>
  </r>
  <r>
    <s v="021.473.575/0001-00"/>
    <x v="63"/>
    <s v="EXCLUSAO  ANOT.INADIMPLENCIA"/>
    <d v="2025-03-27T00:00:00"/>
    <x v="11"/>
    <x v="11"/>
    <x v="11"/>
    <x v="63"/>
    <n v="1"/>
    <n v="0"/>
  </r>
  <r>
    <s v="008.250.872/0001-10"/>
    <x v="122"/>
    <s v="INCLUSAO  ANOT.INADIMPLENCIA"/>
    <d v="2025-03-27T00:00:00"/>
    <x v="8"/>
    <x v="11"/>
    <x v="8"/>
    <x v="122"/>
    <n v="0"/>
    <n v="1"/>
  </r>
  <r>
    <s v="039.822.835/0001-62"/>
    <x v="155"/>
    <s v="INCLUSAO  ANOT.INADIMPLENCIA"/>
    <d v="2025-03-27T00:00:00"/>
    <x v="8"/>
    <x v="11"/>
    <x v="8"/>
    <x v="155"/>
    <n v="0"/>
    <n v="1"/>
  </r>
  <r>
    <s v="039.535.425/0001-30"/>
    <x v="121"/>
    <s v="INCLUSAO  ANOT.INADIMPLENCIA"/>
    <d v="2025-03-27T00:00:00"/>
    <x v="8"/>
    <x v="11"/>
    <x v="8"/>
    <x v="121"/>
    <n v="0"/>
    <n v="1"/>
  </r>
  <r>
    <s v="028.650.970/0001-51"/>
    <x v="167"/>
    <s v="INCLUSAO  ANOT.INADIMPLENCIA"/>
    <d v="2025-03-27T00:00:00"/>
    <x v="16"/>
    <x v="11"/>
    <x v="16"/>
    <x v="167"/>
    <n v="0"/>
    <n v="1"/>
  </r>
  <r>
    <s v="038.407.341/0001-59"/>
    <x v="152"/>
    <s v="INCLUSAO  ANOT.INADIMPLENCIA"/>
    <d v="2025-03-27T00:00:00"/>
    <x v="16"/>
    <x v="11"/>
    <x v="16"/>
    <x v="152"/>
    <n v="0"/>
    <n v="1"/>
  </r>
  <r>
    <s v="046.674.060/0001-90"/>
    <x v="141"/>
    <s v="INCL/EXCL ANOT.INADIMPLENCIA"/>
    <d v="2025-03-27T00:00:00"/>
    <x v="16"/>
    <x v="11"/>
    <x v="16"/>
    <x v="141"/>
    <n v="0"/>
    <n v="0"/>
  </r>
  <r>
    <s v="028.650.970/0001-51"/>
    <x v="167"/>
    <s v="INCLUSAO  ANOT.INADIMPLENCIA"/>
    <d v="2025-03-27T00:00:00"/>
    <x v="16"/>
    <x v="11"/>
    <x v="16"/>
    <x v="167"/>
    <n v="0"/>
    <n v="1"/>
  </r>
  <r>
    <s v="046.674.060/0001-90"/>
    <x v="141"/>
    <s v="EXCLUSAO  ANOT.INADIMPLENCIA"/>
    <d v="2025-03-27T00:00:00"/>
    <x v="16"/>
    <x v="11"/>
    <x v="16"/>
    <x v="141"/>
    <n v="1"/>
    <n v="0"/>
  </r>
  <r>
    <s v="071.350.797/0001-03"/>
    <x v="48"/>
    <s v="INCLUSAO  ANOT.INADIMPLENCIA"/>
    <d v="2025-03-27T00:00:00"/>
    <x v="16"/>
    <x v="11"/>
    <x v="16"/>
    <x v="48"/>
    <n v="0"/>
    <n v="1"/>
  </r>
  <r>
    <s v="055.979.736/0001-45"/>
    <x v="64"/>
    <s v="INCLUSAO  ANOT.INADIMPLENCIA"/>
    <d v="2025-03-27T00:00:00"/>
    <x v="20"/>
    <x v="11"/>
    <x v="20"/>
    <x v="64"/>
    <n v="0"/>
    <n v="1"/>
  </r>
  <r>
    <s v="004.962.112/0001-84"/>
    <x v="175"/>
    <s v="ALTERACAO RAZAO SOCIAL"/>
    <d v="2025-03-27T00:00:00"/>
    <x v="0"/>
    <x v="11"/>
    <x v="0"/>
    <x v="175"/>
    <n v="0"/>
    <n v="0"/>
  </r>
  <r>
    <s v="041.388.946/0001-54"/>
    <x v="176"/>
    <s v="ALTERACAO ENDERECO"/>
    <d v="2025-03-27T00:00:00"/>
    <x v="1"/>
    <x v="11"/>
    <x v="1"/>
    <x v="176"/>
    <n v="0"/>
    <n v="0"/>
  </r>
  <r>
    <s v="043.515.558/0001-12"/>
    <x v="177"/>
    <s v="ALTERACAO RAZAO SOCIAL"/>
    <d v="2025-03-27T00:00:00"/>
    <x v="12"/>
    <x v="11"/>
    <x v="12"/>
    <x v="177"/>
    <n v="0"/>
    <n v="0"/>
  </r>
  <r>
    <s v="012.520.791/0001-60"/>
    <x v="4"/>
    <s v="EXCLUSAO  ANOT.INADIMPLENCIA"/>
    <d v="2025-03-28T00:00:00"/>
    <x v="1"/>
    <x v="11"/>
    <x v="1"/>
    <x v="4"/>
    <n v="1"/>
    <n v="0"/>
  </r>
  <r>
    <s v="020.066.300/0001-80"/>
    <x v="2"/>
    <s v="EXCLUSAO  ANOT.INADIMPLENCIA"/>
    <d v="2025-03-28T00:00:00"/>
    <x v="1"/>
    <x v="11"/>
    <x v="1"/>
    <x v="2"/>
    <n v="1"/>
    <n v="0"/>
  </r>
  <r>
    <s v="047.635.671/0001-92"/>
    <x v="144"/>
    <s v="EXCLUSAO  ANOT.INADIMPLENCIA"/>
    <d v="2025-03-28T00:00:00"/>
    <x v="1"/>
    <x v="11"/>
    <x v="1"/>
    <x v="144"/>
    <n v="1"/>
    <n v="0"/>
  </r>
  <r>
    <s v="049.218.819/0001-19"/>
    <x v="151"/>
    <s v="INCLUSAO  ANOT.INADIMPLENCIA"/>
    <d v="2025-03-28T00:00:00"/>
    <x v="14"/>
    <x v="11"/>
    <x v="14"/>
    <x v="151"/>
    <n v="0"/>
    <n v="1"/>
  </r>
  <r>
    <s v="001.165.357/0001-92"/>
    <x v="87"/>
    <s v="INCLUSAO  ANOT.INADIMPLENCIA"/>
    <d v="2025-03-28T00:00:00"/>
    <x v="15"/>
    <x v="11"/>
    <x v="15"/>
    <x v="87"/>
    <n v="0"/>
    <n v="1"/>
  </r>
  <r>
    <s v="028.393.466/0001-13"/>
    <x v="168"/>
    <s v="INCLUSAO  ANOT.INADIMPLENCIA"/>
    <d v="2025-03-28T00:00:00"/>
    <x v="15"/>
    <x v="11"/>
    <x v="15"/>
    <x v="168"/>
    <n v="0"/>
    <n v="1"/>
  </r>
  <r>
    <s v="035.679.705/0001-61"/>
    <x v="172"/>
    <s v="INCLUSAO  ANOT.INADIMPLENCIA"/>
    <d v="2025-03-28T00:00:00"/>
    <x v="6"/>
    <x v="11"/>
    <x v="6"/>
    <x v="172"/>
    <n v="0"/>
    <n v="1"/>
  </r>
  <r>
    <s v="028.650.970/0001-51"/>
    <x v="167"/>
    <s v="INCLUSAO  ANOT.INADIMPLENCIA"/>
    <d v="2025-03-28T00:00:00"/>
    <x v="16"/>
    <x v="11"/>
    <x v="16"/>
    <x v="167"/>
    <n v="0"/>
    <n v="1"/>
  </r>
  <r>
    <s v="020.024.081/0001-77"/>
    <x v="178"/>
    <s v="EXCLUSAO  ANOT.INADIMPLENCIA"/>
    <d v="2025-03-28T00:00:00"/>
    <x v="16"/>
    <x v="11"/>
    <x v="16"/>
    <x v="178"/>
    <n v="1"/>
    <n v="0"/>
  </r>
  <r>
    <s v="043.515.558/0001-12"/>
    <x v="177"/>
    <s v="EXCLUSAO  ANOT.INADIMPLENCIA"/>
    <d v="2025-03-28T00:00:00"/>
    <x v="12"/>
    <x v="11"/>
    <x v="12"/>
    <x v="177"/>
    <n v="1"/>
    <n v="0"/>
  </r>
  <r>
    <s v="023.911.356/0001-82"/>
    <x v="55"/>
    <s v="INCLUSAO  ANOT.INADIMPLENCIA"/>
    <d v="2025-03-29T00:00:00"/>
    <x v="0"/>
    <x v="11"/>
    <x v="0"/>
    <x v="55"/>
    <n v="0"/>
    <n v="1"/>
  </r>
  <r>
    <s v="021.734.108/0001-88"/>
    <x v="41"/>
    <s v="EXCLUSAO  ANOT.INADIMPLENCIA"/>
    <d v="2025-03-29T00:00:00"/>
    <x v="13"/>
    <x v="11"/>
    <x v="13"/>
    <x v="41"/>
    <n v="1"/>
    <n v="0"/>
  </r>
  <r>
    <s v="012.520.791/0001-60"/>
    <x v="4"/>
    <s v="INCLUSAO  ANOT.INADIMPLENCIA"/>
    <d v="2025-03-29T00:00:00"/>
    <x v="1"/>
    <x v="11"/>
    <x v="1"/>
    <x v="4"/>
    <n v="0"/>
    <n v="1"/>
  </r>
  <r>
    <s v="049.218.819/0001-19"/>
    <x v="151"/>
    <s v="INCLUSAO  ANOT.INADIMPLENCIA"/>
    <d v="2025-03-29T00:00:00"/>
    <x v="14"/>
    <x v="11"/>
    <x v="14"/>
    <x v="151"/>
    <n v="0"/>
    <n v="1"/>
  </r>
  <r>
    <s v="001.181.263/0001-07"/>
    <x v="156"/>
    <s v="INCLUSAO  ANOT.INADIMPLENCIA"/>
    <d v="2025-03-29T00:00:00"/>
    <x v="15"/>
    <x v="11"/>
    <x v="15"/>
    <x v="156"/>
    <n v="0"/>
    <n v="1"/>
  </r>
  <r>
    <s v="001.636.335/0001-63"/>
    <x v="78"/>
    <s v="EXCLUSAO  ANOT.INADIMPLENCIA"/>
    <d v="2025-03-29T00:00:00"/>
    <x v="15"/>
    <x v="11"/>
    <x v="15"/>
    <x v="78"/>
    <n v="1"/>
    <n v="0"/>
  </r>
  <r>
    <s v="005.363.690/0001-67"/>
    <x v="91"/>
    <s v="INCLUSAO  ANOT.INADIMPLENCIA"/>
    <d v="2025-03-29T00:00:00"/>
    <x v="15"/>
    <x v="11"/>
    <x v="15"/>
    <x v="91"/>
    <n v="0"/>
    <n v="1"/>
  </r>
  <r>
    <s v="024.255.748/0001-01"/>
    <x v="30"/>
    <s v="INCLUSAO  ANOT.INADIMPLENCIA"/>
    <d v="2025-03-29T00:00:00"/>
    <x v="15"/>
    <x v="11"/>
    <x v="15"/>
    <x v="30"/>
    <n v="0"/>
    <n v="1"/>
  </r>
  <r>
    <s v="024.331.138/0001-31"/>
    <x v="88"/>
    <s v="INCLUSAO  ANOT.INADIMPLENCIA"/>
    <d v="2025-03-29T00:00:00"/>
    <x v="15"/>
    <x v="11"/>
    <x v="15"/>
    <x v="88"/>
    <n v="0"/>
    <n v="1"/>
  </r>
  <r>
    <s v="028.393.466/0001-13"/>
    <x v="168"/>
    <s v="INCLUSAO  ANOT.INADIMPLENCIA"/>
    <d v="2025-03-29T00:00:00"/>
    <x v="15"/>
    <x v="11"/>
    <x v="15"/>
    <x v="168"/>
    <n v="0"/>
    <n v="1"/>
  </r>
  <r>
    <s v="025.825.654/0001-85"/>
    <x v="7"/>
    <s v="INCL/EXCL ANOT.INADIMPLENCIA"/>
    <d v="2025-03-29T00:00:00"/>
    <x v="4"/>
    <x v="11"/>
    <x v="4"/>
    <x v="7"/>
    <n v="0"/>
    <n v="0"/>
  </r>
  <r>
    <s v="007.906.793/0001-51"/>
    <x v="126"/>
    <s v="INCLUSAO  ANOT.INADIMPLENCIA"/>
    <d v="2025-03-29T00:00:00"/>
    <x v="6"/>
    <x v="11"/>
    <x v="6"/>
    <x v="126"/>
    <n v="0"/>
    <n v="1"/>
  </r>
  <r>
    <s v="035.679.705/0001-61"/>
    <x v="172"/>
    <s v="INCLUSAO  ANOT.INADIMPLENCIA"/>
    <d v="2025-03-29T00:00:00"/>
    <x v="6"/>
    <x v="11"/>
    <x v="6"/>
    <x v="172"/>
    <n v="0"/>
    <n v="1"/>
  </r>
  <r>
    <s v="036.906.058/0001-46"/>
    <x v="76"/>
    <s v="INCLUSAO  ANOT.INADIMPLENCIA"/>
    <d v="2025-03-29T00:00:00"/>
    <x v="6"/>
    <x v="11"/>
    <x v="6"/>
    <x v="76"/>
    <n v="0"/>
    <n v="1"/>
  </r>
  <r>
    <s v="046.140.062/0001-08"/>
    <x v="69"/>
    <s v="INCLUSAO  ANOT.INADIMPLENCIA"/>
    <d v="2025-03-29T00:00:00"/>
    <x v="6"/>
    <x v="11"/>
    <x v="6"/>
    <x v="69"/>
    <n v="0"/>
    <n v="1"/>
  </r>
  <r>
    <s v="088.978.606/0001-47"/>
    <x v="115"/>
    <s v="INCLUSAO  ANOT.INADIMPLENCIA"/>
    <d v="2025-03-29T00:00:00"/>
    <x v="6"/>
    <x v="11"/>
    <x v="6"/>
    <x v="115"/>
    <n v="0"/>
    <n v="1"/>
  </r>
  <r>
    <s v="093.274.124/0001-46"/>
    <x v="83"/>
    <s v="EXCLUSAO  ANOT.INADIMPLENCIA"/>
    <d v="2025-03-29T00:00:00"/>
    <x v="6"/>
    <x v="11"/>
    <x v="6"/>
    <x v="83"/>
    <n v="1"/>
    <n v="0"/>
  </r>
  <r>
    <s v="037.828.375/0001-54"/>
    <x v="39"/>
    <s v="EXCLUSAO  ANOT.INADIMPLENCIA"/>
    <d v="2025-03-29T00:00:00"/>
    <x v="7"/>
    <x v="11"/>
    <x v="7"/>
    <x v="39"/>
    <n v="1"/>
    <n v="0"/>
  </r>
  <r>
    <s v="023.605.544/0001-82"/>
    <x v="21"/>
    <s v="INCLUSAO  ANOT.INADIMPLENCIA"/>
    <d v="2025-03-29T00:00:00"/>
    <x v="11"/>
    <x v="11"/>
    <x v="11"/>
    <x v="21"/>
    <n v="0"/>
    <n v="1"/>
  </r>
  <r>
    <s v="014.385.825/0001-86"/>
    <x v="111"/>
    <s v="EXCLUSAO  ANOT.INADIMPLENCIA"/>
    <d v="2025-03-29T00:00:00"/>
    <x v="8"/>
    <x v="11"/>
    <x v="8"/>
    <x v="111"/>
    <n v="1"/>
    <n v="0"/>
  </r>
  <r>
    <s v="046.674.060/0001-90"/>
    <x v="141"/>
    <s v="EXCLUSAO  ANOT.INADIMPLENCIA"/>
    <d v="2025-03-29T00:00:00"/>
    <x v="16"/>
    <x v="11"/>
    <x v="16"/>
    <x v="141"/>
    <n v="1"/>
    <n v="0"/>
  </r>
  <r>
    <s v="071.350.797/0001-03"/>
    <x v="48"/>
    <s v="INCLUSAO  ANOT.INADIMPLENCIA"/>
    <d v="2025-03-29T00:00:00"/>
    <x v="16"/>
    <x v="11"/>
    <x v="16"/>
    <x v="48"/>
    <n v="0"/>
    <n v="1"/>
  </r>
  <r>
    <s v="040.582.798/0001-41"/>
    <x v="145"/>
    <s v="EXCLUSAO  ANOT.INADIMPLENCIA"/>
    <d v="2025-03-29T00:00:00"/>
    <x v="20"/>
    <x v="11"/>
    <x v="20"/>
    <x v="145"/>
    <n v="1"/>
    <n v="0"/>
  </r>
  <r>
    <s v="055.979.736/0001-45"/>
    <x v="64"/>
    <s v="INCLUSAO  ANOT.INADIMPLENCIA"/>
    <d v="2025-03-29T00:00:00"/>
    <x v="20"/>
    <x v="11"/>
    <x v="20"/>
    <x v="64"/>
    <n v="0"/>
    <n v="1"/>
  </r>
  <r>
    <s v="006.315.490/0001-00"/>
    <x v="179"/>
    <s v="ALTERACAO ENDERECO"/>
    <d v="2025-03-29T00:00:00"/>
    <x v="28"/>
    <x v="11"/>
    <x v="28"/>
    <x v="179"/>
    <n v="0"/>
    <n v="0"/>
  </r>
  <r>
    <s v="020.024.081/0001-77"/>
    <x v="178"/>
    <s v="INCLUSAO  ANOT.INADIMPLENCIA"/>
    <d v="2025-03-29T00:00:00"/>
    <x v="16"/>
    <x v="11"/>
    <x v="16"/>
    <x v="178"/>
    <n v="0"/>
    <n v="1"/>
  </r>
  <r>
    <s v="048.956.491/0001-75"/>
    <x v="180"/>
    <s v="INCLUSAO  ANOT.INADIMPLENCIA"/>
    <d v="2025-03-29T00:00:00"/>
    <x v="28"/>
    <x v="11"/>
    <x v="28"/>
    <x v="180"/>
    <n v="0"/>
    <n v="1"/>
  </r>
  <r>
    <s v="022.998.836/0001-60"/>
    <x v="24"/>
    <s v="INCLUSAO  ANOT.INADIMPLENCIA"/>
    <d v="2025-04-01T00:00:00"/>
    <x v="0"/>
    <x v="12"/>
    <x v="0"/>
    <x v="24"/>
    <n v="0"/>
    <n v="1"/>
  </r>
  <r>
    <s v="003.590.360/0001-89"/>
    <x v="3"/>
    <s v="INCLUSAO  ANOT.INADIMPLENCIA"/>
    <d v="2025-04-01T00:00:00"/>
    <x v="1"/>
    <x v="12"/>
    <x v="1"/>
    <x v="3"/>
    <n v="0"/>
    <n v="1"/>
  </r>
  <r>
    <s v="012.520.791/0001-60"/>
    <x v="4"/>
    <s v="INCLUSAO  ANOT.INADIMPLENCIA"/>
    <d v="2025-04-01T00:00:00"/>
    <x v="1"/>
    <x v="12"/>
    <x v="1"/>
    <x v="4"/>
    <n v="0"/>
    <n v="1"/>
  </r>
  <r>
    <s v="020.066.300/0001-80"/>
    <x v="2"/>
    <s v="INCLUSAO  ANOT.INADIMPLENCIA"/>
    <d v="2025-04-01T00:00:00"/>
    <x v="1"/>
    <x v="12"/>
    <x v="1"/>
    <x v="2"/>
    <n v="0"/>
    <n v="1"/>
  </r>
  <r>
    <s v="016.757.535/0001-41"/>
    <x v="29"/>
    <s v="INCLUSAO  ANOT.INADIMPLENCIA"/>
    <d v="2025-04-01T00:00:00"/>
    <x v="14"/>
    <x v="12"/>
    <x v="14"/>
    <x v="29"/>
    <n v="0"/>
    <n v="1"/>
  </r>
  <r>
    <s v="007.102.721/0001-51"/>
    <x v="44"/>
    <s v="INCLUSAO  ANOT.INADIMPLENCIA"/>
    <d v="2025-04-01T00:00:00"/>
    <x v="15"/>
    <x v="12"/>
    <x v="15"/>
    <x v="44"/>
    <n v="0"/>
    <n v="1"/>
  </r>
  <r>
    <s v="007.561.436/0001-07"/>
    <x v="34"/>
    <s v="INCLUSAO  ANOT.INADIMPLENCIA"/>
    <d v="2025-04-01T00:00:00"/>
    <x v="15"/>
    <x v="12"/>
    <x v="15"/>
    <x v="34"/>
    <n v="0"/>
    <n v="1"/>
  </r>
  <r>
    <s v="028.393.466/0001-13"/>
    <x v="168"/>
    <s v="INCLUSAO  ANOT.INADIMPLENCIA"/>
    <d v="2025-04-01T00:00:00"/>
    <x v="15"/>
    <x v="12"/>
    <x v="15"/>
    <x v="168"/>
    <n v="0"/>
    <n v="1"/>
  </r>
  <r>
    <s v="021.420.856/0001-96"/>
    <x v="130"/>
    <s v="INCLUSAO  ANOT.INADIMPLENCIA"/>
    <d v="2025-04-01T00:00:00"/>
    <x v="24"/>
    <x v="12"/>
    <x v="24"/>
    <x v="130"/>
    <n v="0"/>
    <n v="1"/>
  </r>
  <r>
    <s v="035.165.246/0001-06"/>
    <x v="105"/>
    <s v="EXCLUSAO  ANOT.INADIMPLENCIA"/>
    <d v="2025-04-01T00:00:00"/>
    <x v="4"/>
    <x v="12"/>
    <x v="4"/>
    <x v="105"/>
    <n v="1"/>
    <n v="0"/>
  </r>
  <r>
    <s v="007.906.793/0001-51"/>
    <x v="126"/>
    <s v="EXCLUSAO  ANOT.INADIMPLENCIA"/>
    <d v="2025-04-01T00:00:00"/>
    <x v="6"/>
    <x v="12"/>
    <x v="6"/>
    <x v="126"/>
    <n v="1"/>
    <n v="0"/>
  </r>
  <r>
    <s v="035.679.705/0001-61"/>
    <x v="172"/>
    <s v="INCLUSAO  ANOT.INADIMPLENCIA"/>
    <d v="2025-04-01T00:00:00"/>
    <x v="6"/>
    <x v="12"/>
    <x v="6"/>
    <x v="172"/>
    <n v="0"/>
    <n v="1"/>
  </r>
  <r>
    <s v="036.906.058/0001-46"/>
    <x v="76"/>
    <s v="INCLUSAO  ANOT.INADIMPLENCIA"/>
    <d v="2025-04-01T00:00:00"/>
    <x v="6"/>
    <x v="12"/>
    <x v="6"/>
    <x v="76"/>
    <n v="0"/>
    <n v="1"/>
  </r>
  <r>
    <s v="045.452.509/0001-03"/>
    <x v="173"/>
    <s v="INCLUSAO  ANOT.INADIMPLENCIA"/>
    <d v="2025-04-01T00:00:00"/>
    <x v="6"/>
    <x v="12"/>
    <x v="6"/>
    <x v="173"/>
    <n v="0"/>
    <n v="1"/>
  </r>
  <r>
    <s v="028.477.685/0001-80"/>
    <x v="96"/>
    <s v="INCLUSAO  ANOT.INADIMPLENCIA"/>
    <d v="2025-04-01T00:00:00"/>
    <x v="7"/>
    <x v="12"/>
    <x v="7"/>
    <x v="96"/>
    <n v="0"/>
    <n v="1"/>
  </r>
  <r>
    <s v="011.122.552/0001-99"/>
    <x v="60"/>
    <s v="EXCLUSAO  ANOT.INADIMPLENCIA"/>
    <d v="2025-04-01T00:00:00"/>
    <x v="8"/>
    <x v="12"/>
    <x v="8"/>
    <x v="60"/>
    <n v="1"/>
    <n v="0"/>
  </r>
  <r>
    <s v="066.209.362/0001-03"/>
    <x v="137"/>
    <s v="EXCLUSAO  ANOT.INADIMPLENCIA"/>
    <d v="2025-04-01T00:00:00"/>
    <x v="8"/>
    <x v="12"/>
    <x v="8"/>
    <x v="137"/>
    <n v="1"/>
    <n v="0"/>
  </r>
  <r>
    <s v="028.650.970/0001-51"/>
    <x v="167"/>
    <s v="INCLUSAO  ANOT.INADIMPLENCIA"/>
    <d v="2025-04-01T00:00:00"/>
    <x v="16"/>
    <x v="12"/>
    <x v="16"/>
    <x v="167"/>
    <n v="0"/>
    <n v="1"/>
  </r>
  <r>
    <s v="023.909.177/0001-00"/>
    <x v="103"/>
    <s v="INCLUSAO  ANOT.INADIMPLENCIA"/>
    <d v="2025-04-01T00:00:00"/>
    <x v="9"/>
    <x v="12"/>
    <x v="9"/>
    <x v="103"/>
    <n v="0"/>
    <n v="1"/>
  </r>
  <r>
    <s v="004.962.112/0001-84"/>
    <x v="175"/>
    <s v="INCLUSAO  ANOT.INADIMPLENCIA"/>
    <d v="2025-04-01T00:00:00"/>
    <x v="0"/>
    <x v="12"/>
    <x v="0"/>
    <x v="175"/>
    <n v="0"/>
    <n v="1"/>
  </r>
  <r>
    <s v="022.143.692/0001-60"/>
    <x v="181"/>
    <s v="EXCLUSAO  ANOT.INADIMPLENCIA"/>
    <d v="2025-04-01T00:00:00"/>
    <x v="16"/>
    <x v="12"/>
    <x v="16"/>
    <x v="181"/>
    <n v="1"/>
    <n v="0"/>
  </r>
  <r>
    <s v="021.734.108/0001-88"/>
    <x v="41"/>
    <s v="INCLUSAO  ANOT.INADIMPLENCIA"/>
    <d v="2025-04-02T00:00:00"/>
    <x v="13"/>
    <x v="12"/>
    <x v="13"/>
    <x v="41"/>
    <n v="0"/>
    <n v="1"/>
  </r>
  <r>
    <s v="003.590.360/0001-89"/>
    <x v="3"/>
    <s v="EXCLUSAO  ANOT.INADIMPLENCIA"/>
    <d v="2025-04-02T00:00:00"/>
    <x v="1"/>
    <x v="12"/>
    <x v="1"/>
    <x v="3"/>
    <n v="1"/>
    <n v="0"/>
  </r>
  <r>
    <s v="028.556.973/0001-20"/>
    <x v="119"/>
    <s v="ALTERACAO QUADRO SOCIAL"/>
    <d v="2025-04-02T00:00:00"/>
    <x v="1"/>
    <x v="12"/>
    <x v="1"/>
    <x v="119"/>
    <n v="0"/>
    <n v="0"/>
  </r>
  <r>
    <s v="016.757.535/0001-41"/>
    <x v="29"/>
    <s v="INCLUSAO  ANOT.INADIMPLENCIA"/>
    <d v="2025-04-02T00:00:00"/>
    <x v="14"/>
    <x v="12"/>
    <x v="14"/>
    <x v="29"/>
    <n v="0"/>
    <n v="1"/>
  </r>
  <r>
    <s v="001.181.263/0001-07"/>
    <x v="156"/>
    <s v="EXCLUSAO  ANOT.INADIMPLENCIA"/>
    <d v="2025-04-02T00:00:00"/>
    <x v="15"/>
    <x v="12"/>
    <x v="15"/>
    <x v="156"/>
    <n v="1"/>
    <n v="0"/>
  </r>
  <r>
    <s v="001.636.335/0001-63"/>
    <x v="78"/>
    <s v="INCLUSAO  ANOT.INADIMPLENCIA"/>
    <d v="2025-04-02T00:00:00"/>
    <x v="15"/>
    <x v="12"/>
    <x v="15"/>
    <x v="78"/>
    <n v="0"/>
    <n v="1"/>
  </r>
  <r>
    <s v="028.393.466/0001-13"/>
    <x v="168"/>
    <s v="INCLUSAO  ANOT.INADIMPLENCIA"/>
    <d v="2025-04-02T00:00:00"/>
    <x v="15"/>
    <x v="12"/>
    <x v="15"/>
    <x v="168"/>
    <n v="0"/>
    <n v="1"/>
  </r>
  <r>
    <s v="035.165.246/0001-06"/>
    <x v="105"/>
    <s v="INCLUSAO  ANOT.INADIMPLENCIA"/>
    <d v="2025-04-02T00:00:00"/>
    <x v="4"/>
    <x v="12"/>
    <x v="4"/>
    <x v="105"/>
    <n v="0"/>
    <n v="1"/>
  </r>
  <r>
    <s v="000.803.044/0001-50"/>
    <x v="45"/>
    <s v="INCL/EXCL ANOT.INADIMPLENCIA"/>
    <d v="2025-04-02T00:00:00"/>
    <x v="5"/>
    <x v="12"/>
    <x v="5"/>
    <x v="45"/>
    <n v="0"/>
    <n v="0"/>
  </r>
  <r>
    <s v="035.679.705/0001-61"/>
    <x v="172"/>
    <s v="INCLUSAO  ANOT.INADIMPLENCIA"/>
    <d v="2025-04-02T00:00:00"/>
    <x v="6"/>
    <x v="12"/>
    <x v="6"/>
    <x v="172"/>
    <n v="0"/>
    <n v="1"/>
  </r>
  <r>
    <s v="036.906.058/0001-46"/>
    <x v="76"/>
    <s v="INCLUSAO  ANOT.INADIMPLENCIA"/>
    <d v="2025-04-02T00:00:00"/>
    <x v="6"/>
    <x v="12"/>
    <x v="6"/>
    <x v="76"/>
    <n v="0"/>
    <n v="1"/>
  </r>
  <r>
    <s v="045.452.509/0001-03"/>
    <x v="173"/>
    <s v="INCLUSAO  ANOT.INADIMPLENCIA"/>
    <d v="2025-04-02T00:00:00"/>
    <x v="6"/>
    <x v="12"/>
    <x v="6"/>
    <x v="173"/>
    <n v="0"/>
    <n v="1"/>
  </r>
  <r>
    <s v="088.978.606/0001-47"/>
    <x v="115"/>
    <s v="EXCLUSAO  ANOT.INADIMPLENCIA"/>
    <d v="2025-04-02T00:00:00"/>
    <x v="6"/>
    <x v="12"/>
    <x v="6"/>
    <x v="115"/>
    <n v="1"/>
    <n v="0"/>
  </r>
  <r>
    <s v="023.605.544/0001-82"/>
    <x v="21"/>
    <s v="INCL/EXCL ANOT.INADIMPLENCIA"/>
    <d v="2025-04-02T00:00:00"/>
    <x v="11"/>
    <x v="12"/>
    <x v="11"/>
    <x v="21"/>
    <n v="0"/>
    <n v="0"/>
  </r>
  <r>
    <s v="011.122.552/0001-99"/>
    <x v="60"/>
    <s v="INCLUSAO  ANOT.INADIMPLENCIA"/>
    <d v="2025-04-02T00:00:00"/>
    <x v="8"/>
    <x v="12"/>
    <x v="8"/>
    <x v="60"/>
    <n v="0"/>
    <n v="1"/>
  </r>
  <r>
    <s v="041.421.379/0001-90"/>
    <x v="138"/>
    <s v="INCLUSAO  ANOT.INADIMPLENCIA"/>
    <d v="2025-04-02T00:00:00"/>
    <x v="8"/>
    <x v="12"/>
    <x v="8"/>
    <x v="138"/>
    <n v="0"/>
    <n v="1"/>
  </r>
  <r>
    <s v="050.901.671/0001-00"/>
    <x v="127"/>
    <s v="INCLUSAO  ANOT.INADIMPLENCIA"/>
    <d v="2025-04-02T00:00:00"/>
    <x v="16"/>
    <x v="12"/>
    <x v="16"/>
    <x v="127"/>
    <n v="0"/>
    <n v="1"/>
  </r>
  <r>
    <s v="020.024.081/0001-77"/>
    <x v="178"/>
    <s v="INCLUSAO  ANOT.INADIMPLENCIA"/>
    <d v="2025-04-02T00:00:00"/>
    <x v="16"/>
    <x v="12"/>
    <x v="16"/>
    <x v="178"/>
    <n v="0"/>
    <n v="1"/>
  </r>
  <r>
    <s v="048.956.491/0001-75"/>
    <x v="180"/>
    <s v="INCLUSAO  ANOT.INADIMPLENCIA"/>
    <d v="2025-04-02T00:00:00"/>
    <x v="28"/>
    <x v="12"/>
    <x v="28"/>
    <x v="180"/>
    <n v="0"/>
    <n v="1"/>
  </r>
  <r>
    <s v="001.113.219/0001-60"/>
    <x v="89"/>
    <s v="EXCLUSAO  ANOT.INADIMPLENCIA"/>
    <d v="2025-04-03T00:00:00"/>
    <x v="1"/>
    <x v="12"/>
    <x v="1"/>
    <x v="89"/>
    <n v="1"/>
    <n v="0"/>
  </r>
  <r>
    <s v="035.165.246/0001-06"/>
    <x v="105"/>
    <s v="INCLUSAO  ANOT.INADIMPLENCIA"/>
    <d v="2025-04-03T00:00:00"/>
    <x v="4"/>
    <x v="12"/>
    <x v="4"/>
    <x v="105"/>
    <n v="0"/>
    <n v="1"/>
  </r>
  <r>
    <s v="025.383.640/0001-59"/>
    <x v="159"/>
    <s v="EXCLUSAO  ANOT.INADIMPLENCIA"/>
    <d v="2025-04-03T00:00:00"/>
    <x v="7"/>
    <x v="12"/>
    <x v="7"/>
    <x v="159"/>
    <n v="1"/>
    <n v="0"/>
  </r>
  <r>
    <s v="008.250.872/0001-10"/>
    <x v="122"/>
    <s v="EXCLUSAO  ANOT.INADIMPLENCIA"/>
    <d v="2025-04-03T00:00:00"/>
    <x v="8"/>
    <x v="12"/>
    <x v="8"/>
    <x v="122"/>
    <n v="1"/>
    <n v="0"/>
  </r>
  <r>
    <s v="028.650.970/0001-51"/>
    <x v="167"/>
    <s v="EXCLUSAO  ANOT.INADIMPLENCIA"/>
    <d v="2025-04-03T00:00:00"/>
    <x v="16"/>
    <x v="12"/>
    <x v="16"/>
    <x v="167"/>
    <n v="1"/>
    <n v="0"/>
  </r>
  <r>
    <s v="020.024.081/0001-77"/>
    <x v="178"/>
    <s v="EXCLUSAO  ANOT.INADIMPLENCIA"/>
    <d v="2025-04-03T00:00:00"/>
    <x v="16"/>
    <x v="12"/>
    <x v="16"/>
    <x v="178"/>
    <n v="1"/>
    <n v="0"/>
  </r>
  <r>
    <s v="012.520.791/0001-60"/>
    <x v="4"/>
    <s v="INCLUSAO  ANOT.INADIMPLENCIA"/>
    <d v="2025-04-04T00:00:00"/>
    <x v="1"/>
    <x v="12"/>
    <x v="1"/>
    <x v="4"/>
    <n v="0"/>
    <n v="1"/>
  </r>
  <r>
    <s v="049.218.819/0001-19"/>
    <x v="151"/>
    <s v="INCLUSAO  ANOT.INADIMPLENCIA"/>
    <d v="2025-04-04T00:00:00"/>
    <x v="14"/>
    <x v="12"/>
    <x v="14"/>
    <x v="151"/>
    <n v="0"/>
    <n v="1"/>
  </r>
  <r>
    <s v="001.636.335/0001-63"/>
    <x v="78"/>
    <s v="INCLUSAO  ANOT.INADIMPLENCIA"/>
    <d v="2025-04-04T00:00:00"/>
    <x v="15"/>
    <x v="12"/>
    <x v="15"/>
    <x v="78"/>
    <n v="0"/>
    <n v="1"/>
  </r>
  <r>
    <s v="007.102.721/0001-51"/>
    <x v="44"/>
    <s v="EXCLUSAO  ANOT.INADIMPLENCIA"/>
    <d v="2025-04-04T00:00:00"/>
    <x v="15"/>
    <x v="12"/>
    <x v="15"/>
    <x v="44"/>
    <n v="1"/>
    <n v="0"/>
  </r>
  <r>
    <s v="028.393.466/0001-13"/>
    <x v="168"/>
    <s v="EXCLUSAO  ANOT.INADIMPLENCIA"/>
    <d v="2025-04-04T00:00:00"/>
    <x v="15"/>
    <x v="12"/>
    <x v="15"/>
    <x v="168"/>
    <n v="1"/>
    <n v="0"/>
  </r>
  <r>
    <s v="025.825.654/0001-85"/>
    <x v="7"/>
    <s v="EXCLUSAO  ANOT.INADIMPLENCIA"/>
    <d v="2025-04-04T00:00:00"/>
    <x v="4"/>
    <x v="12"/>
    <x v="4"/>
    <x v="7"/>
    <n v="1"/>
    <n v="0"/>
  </r>
  <r>
    <s v="026.416.177/0001-67"/>
    <x v="131"/>
    <s v="EXCLUSAO  ANOT.INADIMPLENCIA"/>
    <d v="2025-04-04T00:00:00"/>
    <x v="4"/>
    <x v="12"/>
    <x v="4"/>
    <x v="131"/>
    <n v="1"/>
    <n v="0"/>
  </r>
  <r>
    <s v="000.803.044/0001-50"/>
    <x v="45"/>
    <s v="EXCLUSAO  ANOT.INADIMPLENCIA"/>
    <d v="2025-04-04T00:00:00"/>
    <x v="5"/>
    <x v="12"/>
    <x v="5"/>
    <x v="45"/>
    <n v="1"/>
    <n v="0"/>
  </r>
  <r>
    <s v="007.906.793/0001-51"/>
    <x v="126"/>
    <s v="EXCLUSAO  ANOT.INADIMPLENCIA"/>
    <d v="2025-04-04T00:00:00"/>
    <x v="6"/>
    <x v="12"/>
    <x v="6"/>
    <x v="126"/>
    <n v="1"/>
    <n v="0"/>
  </r>
  <r>
    <s v="028.477.685/0001-80"/>
    <x v="96"/>
    <s v="EXCLUSAO  ANOT.INADIMPLENCIA"/>
    <d v="2025-04-04T00:00:00"/>
    <x v="7"/>
    <x v="12"/>
    <x v="7"/>
    <x v="96"/>
    <n v="1"/>
    <n v="0"/>
  </r>
  <r>
    <s v="028.650.970/0001-51"/>
    <x v="167"/>
    <s v="INCL/EXCL ANOT.INADIMPLENCIA"/>
    <d v="2025-04-04T00:00:00"/>
    <x v="16"/>
    <x v="12"/>
    <x v="16"/>
    <x v="167"/>
    <n v="0"/>
    <n v="0"/>
  </r>
  <r>
    <s v="055.979.736/0001-45"/>
    <x v="64"/>
    <s v="EXCLUSAO  ANOT.INADIMPLENCIA"/>
    <d v="2025-04-04T00:00:00"/>
    <x v="20"/>
    <x v="12"/>
    <x v="20"/>
    <x v="64"/>
    <n v="1"/>
    <n v="0"/>
  </r>
  <r>
    <s v="004.962.112/0001-84"/>
    <x v="175"/>
    <s v="INCLUSAO  ANOT.INADIMPLENCIA"/>
    <d v="2025-04-04T00:00:00"/>
    <x v="0"/>
    <x v="12"/>
    <x v="0"/>
    <x v="175"/>
    <n v="0"/>
    <n v="1"/>
  </r>
  <r>
    <s v="055.466.241/0001-12"/>
    <x v="182"/>
    <s v="INCLUSAO  ANOT.INADIMPLENCIA"/>
    <d v="2025-04-04T00:00:00"/>
    <x v="28"/>
    <x v="12"/>
    <x v="28"/>
    <x v="182"/>
    <n v="0"/>
    <n v="1"/>
  </r>
  <r>
    <s v="022.998.836/0001-60"/>
    <x v="24"/>
    <s v="EXCLUSAO  ANOT.INADIMPLENCIA"/>
    <d v="2025-04-05T00:00:00"/>
    <x v="0"/>
    <x v="12"/>
    <x v="0"/>
    <x v="24"/>
    <n v="1"/>
    <n v="0"/>
  </r>
  <r>
    <s v="003.590.360/0001-89"/>
    <x v="3"/>
    <s v="INCLUSAO  ANOT.INADIMPLENCIA"/>
    <d v="2025-04-05T00:00:00"/>
    <x v="1"/>
    <x v="12"/>
    <x v="1"/>
    <x v="3"/>
    <n v="0"/>
    <n v="1"/>
  </r>
  <r>
    <s v="012.520.791/0001-60"/>
    <x v="4"/>
    <s v="INCLUSAO  ANOT.INADIMPLENCIA"/>
    <d v="2025-04-05T00:00:00"/>
    <x v="1"/>
    <x v="12"/>
    <x v="1"/>
    <x v="4"/>
    <n v="0"/>
    <n v="1"/>
  </r>
  <r>
    <s v="049.218.819/0001-19"/>
    <x v="151"/>
    <s v="INCLUSAO  ANOT.INADIMPLENCIA"/>
    <d v="2025-04-05T00:00:00"/>
    <x v="14"/>
    <x v="12"/>
    <x v="14"/>
    <x v="151"/>
    <n v="0"/>
    <n v="1"/>
  </r>
  <r>
    <s v="001.535.822/0001-30"/>
    <x v="171"/>
    <s v="INCL/EXCL ANOT.INADIMPLENCIA"/>
    <d v="2025-04-05T00:00:00"/>
    <x v="15"/>
    <x v="12"/>
    <x v="15"/>
    <x v="171"/>
    <n v="0"/>
    <n v="0"/>
  </r>
  <r>
    <s v="001.636.335/0001-63"/>
    <x v="78"/>
    <s v="INCL/EXCL ANOT.INADIMPLENCIA"/>
    <d v="2025-04-05T00:00:00"/>
    <x v="15"/>
    <x v="12"/>
    <x v="15"/>
    <x v="78"/>
    <n v="0"/>
    <n v="0"/>
  </r>
  <r>
    <s v="007.102.721/0001-51"/>
    <x v="44"/>
    <s v="INCL/EXCL ANOT.INADIMPLENCIA"/>
    <d v="2025-04-05T00:00:00"/>
    <x v="15"/>
    <x v="12"/>
    <x v="15"/>
    <x v="44"/>
    <n v="0"/>
    <n v="0"/>
  </r>
  <r>
    <s v="028.393.466/0001-13"/>
    <x v="168"/>
    <s v="INCLUSAO  ANOT.INADIMPLENCIA"/>
    <d v="2025-04-05T00:00:00"/>
    <x v="15"/>
    <x v="12"/>
    <x v="15"/>
    <x v="168"/>
    <n v="0"/>
    <n v="1"/>
  </r>
  <r>
    <s v="007.906.793/0001-51"/>
    <x v="126"/>
    <s v="EXCLUSAO  ANOT.INADIMPLENCIA"/>
    <d v="2025-04-05T00:00:00"/>
    <x v="6"/>
    <x v="12"/>
    <x v="6"/>
    <x v="126"/>
    <n v="1"/>
    <n v="0"/>
  </r>
  <r>
    <s v="035.679.705/0001-61"/>
    <x v="172"/>
    <s v="INCLUSAO  ANOT.INADIMPLENCIA"/>
    <d v="2025-04-05T00:00:00"/>
    <x v="6"/>
    <x v="12"/>
    <x v="6"/>
    <x v="172"/>
    <n v="0"/>
    <n v="1"/>
  </r>
  <r>
    <s v="045.452.509/0001-03"/>
    <x v="173"/>
    <s v="INCLUSAO  ANOT.INADIMPLENCIA"/>
    <d v="2025-04-05T00:00:00"/>
    <x v="6"/>
    <x v="12"/>
    <x v="6"/>
    <x v="173"/>
    <n v="0"/>
    <n v="1"/>
  </r>
  <r>
    <s v="028.477.685/0001-80"/>
    <x v="96"/>
    <s v="INCLUSAO  ANOT.INADIMPLENCIA"/>
    <d v="2025-04-05T00:00:00"/>
    <x v="7"/>
    <x v="12"/>
    <x v="7"/>
    <x v="96"/>
    <n v="0"/>
    <n v="1"/>
  </r>
  <r>
    <s v="023.605.544/0001-82"/>
    <x v="21"/>
    <s v="EXCLUSAO  ANOT.INADIMPLENCIA"/>
    <d v="2025-04-05T00:00:00"/>
    <x v="11"/>
    <x v="12"/>
    <x v="11"/>
    <x v="21"/>
    <n v="1"/>
    <n v="0"/>
  </r>
  <r>
    <s v="005.997.418/0001-39"/>
    <x v="166"/>
    <s v="EXCLUSAO  ANOT.INADIMPLENCIA"/>
    <d v="2025-04-05T00:00:00"/>
    <x v="8"/>
    <x v="12"/>
    <x v="8"/>
    <x v="166"/>
    <n v="1"/>
    <n v="0"/>
  </r>
  <r>
    <s v="028.650.970/0001-51"/>
    <x v="167"/>
    <s v="INCLUSAO  ANOT.INADIMPLENCIA"/>
    <d v="2025-04-05T00:00:00"/>
    <x v="16"/>
    <x v="12"/>
    <x v="16"/>
    <x v="167"/>
    <n v="0"/>
    <n v="1"/>
  </r>
  <r>
    <s v="071.350.797/0001-03"/>
    <x v="48"/>
    <s v="INCLUSAO  ANOT.INADIMPLENCIA"/>
    <d v="2025-04-05T00:00:00"/>
    <x v="16"/>
    <x v="12"/>
    <x v="16"/>
    <x v="48"/>
    <n v="0"/>
    <n v="1"/>
  </r>
  <r>
    <s v="055.979.736/0001-45"/>
    <x v="64"/>
    <s v="EXCLUSAO  ANOT.INADIMPLENCIA"/>
    <d v="2025-04-05T00:00:00"/>
    <x v="20"/>
    <x v="12"/>
    <x v="20"/>
    <x v="64"/>
    <n v="1"/>
    <n v="0"/>
  </r>
  <r>
    <s v="020.024.081/0001-77"/>
    <x v="178"/>
    <s v="EXCLUSAO  ANOT.INADIMPLENCIA"/>
    <d v="2025-04-05T00:00:00"/>
    <x v="16"/>
    <x v="12"/>
    <x v="16"/>
    <x v="178"/>
    <n v="1"/>
    <n v="0"/>
  </r>
  <r>
    <s v="030.233.156/0001-83"/>
    <x v="183"/>
    <s v="ALTERACAO ENDERECO"/>
    <d v="2025-04-05T00:00:00"/>
    <x v="0"/>
    <x v="12"/>
    <x v="0"/>
    <x v="183"/>
    <n v="0"/>
    <n v="0"/>
  </r>
  <r>
    <s v="016.772.642/0001-49"/>
    <x v="70"/>
    <s v="INCLUSAO  ANOT.INADIMPLENCIA"/>
    <d v="2025-04-07T00:00:00"/>
    <x v="0"/>
    <x v="12"/>
    <x v="0"/>
    <x v="70"/>
    <n v="0"/>
    <n v="1"/>
  </r>
  <r>
    <s v="003.590.360/0001-89"/>
    <x v="3"/>
    <s v="INCL/EXCL ANOT.INADIMPLENCIA"/>
    <d v="2025-04-07T00:00:00"/>
    <x v="1"/>
    <x v="12"/>
    <x v="1"/>
    <x v="3"/>
    <n v="0"/>
    <n v="0"/>
  </r>
  <r>
    <s v="001.181.263/0001-07"/>
    <x v="156"/>
    <s v="INCLUSAO  ANOT.INADIMPLENCIA"/>
    <d v="2025-04-07T00:00:00"/>
    <x v="15"/>
    <x v="12"/>
    <x v="15"/>
    <x v="156"/>
    <n v="0"/>
    <n v="1"/>
  </r>
  <r>
    <s v="001.636.335/0001-63"/>
    <x v="78"/>
    <s v="INCLUSAO  ANOT.INADIMPLENCIA"/>
    <d v="2025-04-07T00:00:00"/>
    <x v="15"/>
    <x v="12"/>
    <x v="15"/>
    <x v="78"/>
    <n v="0"/>
    <n v="1"/>
  </r>
  <r>
    <s v="007.102.721/0001-51"/>
    <x v="44"/>
    <s v="INCLUSAO  ANOT.INADIMPLENCIA"/>
    <d v="2025-04-07T00:00:00"/>
    <x v="15"/>
    <x v="12"/>
    <x v="15"/>
    <x v="44"/>
    <n v="0"/>
    <n v="1"/>
  </r>
  <r>
    <s v="024.331.138/0001-31"/>
    <x v="88"/>
    <s v="INCLUSAO  ANOT.INADIMPLENCIA"/>
    <d v="2025-04-07T00:00:00"/>
    <x v="15"/>
    <x v="12"/>
    <x v="15"/>
    <x v="88"/>
    <n v="0"/>
    <n v="1"/>
  </r>
  <r>
    <s v="028.393.466/0001-13"/>
    <x v="168"/>
    <s v="INCLUSAO  ANOT.INADIMPLENCIA"/>
    <d v="2025-04-07T00:00:00"/>
    <x v="15"/>
    <x v="12"/>
    <x v="15"/>
    <x v="168"/>
    <n v="0"/>
    <n v="1"/>
  </r>
  <r>
    <s v="044.570.311/0001-61"/>
    <x v="117"/>
    <s v="INCLUSAO  ANOT.INADIMPLENCIA"/>
    <d v="2025-04-07T00:00:00"/>
    <x v="15"/>
    <x v="12"/>
    <x v="15"/>
    <x v="117"/>
    <n v="0"/>
    <n v="1"/>
  </r>
  <r>
    <s v="021.420.856/0001-96"/>
    <x v="130"/>
    <s v="INCLUSAO  ANOT.INADIMPLENCIA"/>
    <d v="2025-04-07T00:00:00"/>
    <x v="24"/>
    <x v="12"/>
    <x v="24"/>
    <x v="130"/>
    <n v="0"/>
    <n v="1"/>
  </r>
  <r>
    <s v="000.803.044/0001-50"/>
    <x v="45"/>
    <s v="INCLUSAO  ANOT.INADIMPLENCIA"/>
    <d v="2025-04-07T00:00:00"/>
    <x v="5"/>
    <x v="12"/>
    <x v="5"/>
    <x v="45"/>
    <n v="0"/>
    <n v="1"/>
  </r>
  <r>
    <s v="035.679.705/0001-61"/>
    <x v="172"/>
    <s v="INCLUSAO  ANOT.INADIMPLENCIA"/>
    <d v="2025-04-07T00:00:00"/>
    <x v="6"/>
    <x v="12"/>
    <x v="6"/>
    <x v="172"/>
    <n v="0"/>
    <n v="1"/>
  </r>
  <r>
    <s v="036.906.058/0001-46"/>
    <x v="76"/>
    <s v="INCLUSAO  ANOT.INADIMPLENCIA"/>
    <d v="2025-04-07T00:00:00"/>
    <x v="6"/>
    <x v="12"/>
    <x v="6"/>
    <x v="76"/>
    <n v="0"/>
    <n v="1"/>
  </r>
  <r>
    <s v="045.452.509/0001-03"/>
    <x v="173"/>
    <s v="INCLUSAO  ANOT.INADIMPLENCIA"/>
    <d v="2025-04-07T00:00:00"/>
    <x v="6"/>
    <x v="12"/>
    <x v="6"/>
    <x v="173"/>
    <n v="0"/>
    <n v="1"/>
  </r>
  <r>
    <s v="088.978.606/0001-47"/>
    <x v="115"/>
    <s v="INCLUSAO  ANOT.INADIMPLENCIA"/>
    <d v="2025-04-07T00:00:00"/>
    <x v="6"/>
    <x v="12"/>
    <x v="6"/>
    <x v="115"/>
    <n v="0"/>
    <n v="1"/>
  </r>
  <r>
    <s v="025.383.640/0001-59"/>
    <x v="159"/>
    <s v="EXCLUSAO  ANOT.INADIMPLENCIA"/>
    <d v="2025-04-07T00:00:00"/>
    <x v="7"/>
    <x v="12"/>
    <x v="7"/>
    <x v="159"/>
    <n v="1"/>
    <n v="0"/>
  </r>
  <r>
    <s v="011.122.552/0001-99"/>
    <x v="60"/>
    <s v="INCLUSAO  ANOT.INADIMPLENCIA"/>
    <d v="2025-04-07T00:00:00"/>
    <x v="8"/>
    <x v="12"/>
    <x v="8"/>
    <x v="60"/>
    <n v="0"/>
    <n v="1"/>
  </r>
  <r>
    <s v="071.350.797/0001-03"/>
    <x v="48"/>
    <s v="INCLUSAO  ANOT.INADIMPLENCIA"/>
    <d v="2025-04-07T00:00:00"/>
    <x v="16"/>
    <x v="12"/>
    <x v="16"/>
    <x v="48"/>
    <n v="0"/>
    <n v="1"/>
  </r>
  <r>
    <s v="004.962.112/0001-84"/>
    <x v="175"/>
    <s v="INCLUSAO  ANOT.INADIMPLENCIA"/>
    <d v="2025-04-07T00:00:00"/>
    <x v="0"/>
    <x v="12"/>
    <x v="0"/>
    <x v="175"/>
    <n v="0"/>
    <n v="1"/>
  </r>
  <r>
    <s v="018.709.981/0001-06"/>
    <x v="184"/>
    <s v="INCLUSAO  ANOT.INADIMPLENCIA"/>
    <d v="2025-04-07T00:00:00"/>
    <x v="8"/>
    <x v="12"/>
    <x v="8"/>
    <x v="184"/>
    <n v="0"/>
    <n v="1"/>
  </r>
  <r>
    <s v="020.024.081/0001-77"/>
    <x v="178"/>
    <s v="INCLUSAO  ANOT.INADIMPLENCIA"/>
    <d v="2025-04-07T00:00:00"/>
    <x v="16"/>
    <x v="12"/>
    <x v="16"/>
    <x v="178"/>
    <n v="0"/>
    <n v="1"/>
  </r>
  <r>
    <s v="016.772.642/0001-49"/>
    <x v="70"/>
    <s v="INCLUSAO  ANOT.INADIMPLENCIA"/>
    <d v="2025-04-08T00:00:00"/>
    <x v="0"/>
    <x v="12"/>
    <x v="0"/>
    <x v="70"/>
    <n v="0"/>
    <n v="1"/>
  </r>
  <r>
    <s v="001.831.532/0001-33"/>
    <x v="133"/>
    <s v="INCLUSAO  ANOT.INADIMPLENCIA"/>
    <d v="2025-04-08T00:00:00"/>
    <x v="13"/>
    <x v="12"/>
    <x v="13"/>
    <x v="133"/>
    <n v="0"/>
    <n v="1"/>
  </r>
  <r>
    <s v="021.734.108/0001-88"/>
    <x v="41"/>
    <s v="EXCLUSAO  ANOT.INADIMPLENCIA"/>
    <d v="2025-04-08T00:00:00"/>
    <x v="13"/>
    <x v="12"/>
    <x v="13"/>
    <x v="41"/>
    <n v="1"/>
    <n v="0"/>
  </r>
  <r>
    <s v="000.688.793/0001-83"/>
    <x v="150"/>
    <s v="EXCLUSAO  ANOT.INADIMPLENCIA"/>
    <d v="2025-04-08T00:00:00"/>
    <x v="1"/>
    <x v="12"/>
    <x v="1"/>
    <x v="150"/>
    <n v="1"/>
    <n v="0"/>
  </r>
  <r>
    <s v="002.038.227/0001-51"/>
    <x v="56"/>
    <s v="EXCLUSAO  ANOT.INADIMPLENCIA"/>
    <d v="2025-04-08T00:00:00"/>
    <x v="1"/>
    <x v="12"/>
    <x v="1"/>
    <x v="56"/>
    <n v="1"/>
    <n v="0"/>
  </r>
  <r>
    <s v="003.590.360/0001-89"/>
    <x v="3"/>
    <s v="EXCLUSAO  ANOT.INADIMPLENCIA"/>
    <d v="2025-04-08T00:00:00"/>
    <x v="1"/>
    <x v="12"/>
    <x v="1"/>
    <x v="3"/>
    <n v="1"/>
    <n v="0"/>
  </r>
  <r>
    <s v="016.757.535/0001-41"/>
    <x v="29"/>
    <s v="EXCLUSAO  ANOT.INADIMPLENCIA"/>
    <d v="2025-04-08T00:00:00"/>
    <x v="14"/>
    <x v="12"/>
    <x v="14"/>
    <x v="29"/>
    <n v="1"/>
    <n v="0"/>
  </r>
  <r>
    <s v="001.636.335/0001-63"/>
    <x v="78"/>
    <s v="INCLUSAO  ANOT.INADIMPLENCIA"/>
    <d v="2025-04-08T00:00:00"/>
    <x v="15"/>
    <x v="12"/>
    <x v="15"/>
    <x v="78"/>
    <n v="0"/>
    <n v="1"/>
  </r>
  <r>
    <s v="007.102.721/0001-51"/>
    <x v="44"/>
    <s v="EXCLUSAO  ANOT.INADIMPLENCIA"/>
    <d v="2025-04-08T00:00:00"/>
    <x v="15"/>
    <x v="12"/>
    <x v="15"/>
    <x v="44"/>
    <n v="1"/>
    <n v="0"/>
  </r>
  <r>
    <s v="028.393.466/0001-13"/>
    <x v="168"/>
    <s v="INCL/EXCL ANOT.INADIMPLENCIA"/>
    <d v="2025-04-08T00:00:00"/>
    <x v="15"/>
    <x v="12"/>
    <x v="15"/>
    <x v="168"/>
    <n v="0"/>
    <n v="0"/>
  </r>
  <r>
    <s v="044.570.311/0001-61"/>
    <x v="117"/>
    <s v="EXCLUSAO  ANOT.INADIMPLENCIA"/>
    <d v="2025-04-08T00:00:00"/>
    <x v="15"/>
    <x v="12"/>
    <x v="15"/>
    <x v="117"/>
    <n v="1"/>
    <n v="0"/>
  </r>
  <r>
    <s v="045.452.509/0001-03"/>
    <x v="173"/>
    <s v="INCLUSAO  ANOT.INADIMPLENCIA"/>
    <d v="2025-04-08T00:00:00"/>
    <x v="6"/>
    <x v="12"/>
    <x v="6"/>
    <x v="173"/>
    <n v="0"/>
    <n v="1"/>
  </r>
  <r>
    <s v="006.236.494/0001-94"/>
    <x v="62"/>
    <s v="EXCLUSAO  ANOT.INADIMPLENCIA"/>
    <d v="2025-04-08T00:00:00"/>
    <x v="7"/>
    <x v="12"/>
    <x v="7"/>
    <x v="62"/>
    <n v="1"/>
    <n v="0"/>
  </r>
  <r>
    <s v="025.383.640/0001-59"/>
    <x v="159"/>
    <s v="EXCLUSAO  ANOT.INADIMPLENCIA"/>
    <d v="2025-04-08T00:00:00"/>
    <x v="7"/>
    <x v="12"/>
    <x v="7"/>
    <x v="159"/>
    <n v="1"/>
    <n v="0"/>
  </r>
  <r>
    <s v="028.477.685/0001-80"/>
    <x v="96"/>
    <s v="INCLUSAO  ANOT.INADIMPLENCIA"/>
    <d v="2025-04-08T00:00:00"/>
    <x v="7"/>
    <x v="12"/>
    <x v="7"/>
    <x v="96"/>
    <n v="0"/>
    <n v="1"/>
  </r>
  <r>
    <s v="039.535.425/0001-30"/>
    <x v="121"/>
    <s v="INCLUSAO  ANOT.INADIMPLENCIA"/>
    <d v="2025-04-08T00:00:00"/>
    <x v="8"/>
    <x v="12"/>
    <x v="8"/>
    <x v="121"/>
    <n v="0"/>
    <n v="1"/>
  </r>
  <r>
    <s v="041.421.379/0001-90"/>
    <x v="138"/>
    <s v="INCLUSAO  ANOT.INADIMPLENCIA"/>
    <d v="2025-04-08T00:00:00"/>
    <x v="8"/>
    <x v="12"/>
    <x v="8"/>
    <x v="138"/>
    <n v="0"/>
    <n v="1"/>
  </r>
  <r>
    <s v="028.650.970/0001-51"/>
    <x v="167"/>
    <s v="INCLUSAO  ANOT.INADIMPLENCIA"/>
    <d v="2025-04-08T00:00:00"/>
    <x v="16"/>
    <x v="12"/>
    <x v="16"/>
    <x v="167"/>
    <n v="0"/>
    <n v="1"/>
  </r>
  <r>
    <s v="071.350.797/0001-03"/>
    <x v="48"/>
    <s v="EXCLUSAO  ANOT.INADIMPLENCIA"/>
    <d v="2025-04-08T00:00:00"/>
    <x v="16"/>
    <x v="12"/>
    <x v="16"/>
    <x v="48"/>
    <n v="1"/>
    <n v="0"/>
  </r>
  <r>
    <s v="020.024.081/0001-77"/>
    <x v="178"/>
    <s v="INCLUSAO  ANOT.INADIMPLENCIA"/>
    <d v="2025-04-08T00:00:00"/>
    <x v="16"/>
    <x v="12"/>
    <x v="16"/>
    <x v="178"/>
    <n v="0"/>
    <n v="1"/>
  </r>
  <r>
    <s v="046.865.282/0001-90"/>
    <x v="185"/>
    <s v="INCLUSAO  ANOT.INADIMPLENCIA"/>
    <d v="2025-04-08T00:00:00"/>
    <x v="20"/>
    <x v="12"/>
    <x v="20"/>
    <x v="185"/>
    <n v="0"/>
    <n v="1"/>
  </r>
  <r>
    <s v="022.998.836/0001-60"/>
    <x v="24"/>
    <s v="EXCLUSAO  ANOT.INADIMPLENCIA"/>
    <d v="2025-04-09T00:00:00"/>
    <x v="0"/>
    <x v="12"/>
    <x v="0"/>
    <x v="24"/>
    <n v="1"/>
    <n v="0"/>
  </r>
  <r>
    <s v="012.520.791/0001-60"/>
    <x v="4"/>
    <s v="INCLUSAO  ANOT.INADIMPLENCIA"/>
    <d v="2025-04-09T00:00:00"/>
    <x v="1"/>
    <x v="12"/>
    <x v="1"/>
    <x v="4"/>
    <n v="0"/>
    <n v="1"/>
  </r>
  <r>
    <s v="029.030.307/0001-17"/>
    <x v="43"/>
    <s v="EXCLUSAO  ANOT.INADIMPLENCIA"/>
    <d v="2025-04-09T00:00:00"/>
    <x v="1"/>
    <x v="12"/>
    <x v="1"/>
    <x v="43"/>
    <n v="1"/>
    <n v="0"/>
  </r>
  <r>
    <s v="001.181.263/0001-07"/>
    <x v="156"/>
    <s v="EXCLUSAO  ANOT.INADIMPLENCIA"/>
    <d v="2025-04-09T00:00:00"/>
    <x v="15"/>
    <x v="12"/>
    <x v="15"/>
    <x v="156"/>
    <n v="1"/>
    <n v="0"/>
  </r>
  <r>
    <s v="028.393.466/0001-13"/>
    <x v="168"/>
    <s v="EXCLUSAO  ANOT.INADIMPLENCIA"/>
    <d v="2025-04-09T00:00:00"/>
    <x v="15"/>
    <x v="12"/>
    <x v="15"/>
    <x v="168"/>
    <n v="1"/>
    <n v="0"/>
  </r>
  <r>
    <s v="034.821.586/0001-77"/>
    <x v="38"/>
    <s v="INCLUSAO  ANOT.INADIMPLENCIA"/>
    <d v="2025-04-09T00:00:00"/>
    <x v="4"/>
    <x v="12"/>
    <x v="4"/>
    <x v="38"/>
    <n v="0"/>
    <n v="1"/>
  </r>
  <r>
    <s v="046.140.062/0001-08"/>
    <x v="69"/>
    <s v="EXCLUSAO  ANOT.INADIMPLENCIA"/>
    <d v="2025-04-09T00:00:00"/>
    <x v="6"/>
    <x v="12"/>
    <x v="6"/>
    <x v="69"/>
    <n v="1"/>
    <n v="0"/>
  </r>
  <r>
    <s v="088.978.606/0001-47"/>
    <x v="115"/>
    <s v="EXCLUSAO  ANOT.INADIMPLENCIA"/>
    <d v="2025-04-09T00:00:00"/>
    <x v="6"/>
    <x v="12"/>
    <x v="6"/>
    <x v="115"/>
    <n v="1"/>
    <n v="0"/>
  </r>
  <r>
    <s v="006.236.494/0001-94"/>
    <x v="62"/>
    <s v="EXCLUSAO  ANOT.INADIMPLENCIA"/>
    <d v="2025-04-09T00:00:00"/>
    <x v="7"/>
    <x v="12"/>
    <x v="7"/>
    <x v="62"/>
    <n v="1"/>
    <n v="0"/>
  </r>
  <r>
    <s v="025.383.640/0001-59"/>
    <x v="159"/>
    <s v="EXCLUSAO  ANOT.INADIMPLENCIA"/>
    <d v="2025-04-09T00:00:00"/>
    <x v="7"/>
    <x v="12"/>
    <x v="7"/>
    <x v="159"/>
    <n v="1"/>
    <n v="0"/>
  </r>
  <r>
    <s v="028.477.685/0001-80"/>
    <x v="96"/>
    <s v="INCLUSAO  ANOT.INADIMPLENCIA"/>
    <d v="2025-04-09T00:00:00"/>
    <x v="7"/>
    <x v="12"/>
    <x v="7"/>
    <x v="96"/>
    <n v="0"/>
    <n v="1"/>
  </r>
  <r>
    <s v="005.997.418/0001-39"/>
    <x v="166"/>
    <s v="EXCLUSAO  ANOT.INADIMPLENCIA"/>
    <d v="2025-04-09T00:00:00"/>
    <x v="8"/>
    <x v="12"/>
    <x v="8"/>
    <x v="166"/>
    <n v="1"/>
    <n v="0"/>
  </r>
  <r>
    <s v="011.122.552/0001-99"/>
    <x v="60"/>
    <s v="EXCLUSAO  ANOT.INADIMPLENCIA"/>
    <d v="2025-04-09T00:00:00"/>
    <x v="8"/>
    <x v="12"/>
    <x v="8"/>
    <x v="60"/>
    <n v="1"/>
    <n v="0"/>
  </r>
  <r>
    <s v="028.650.970/0001-51"/>
    <x v="167"/>
    <s v="INCLUSAO  ANOT.INADIMPLENCIA"/>
    <d v="2025-04-09T00:00:00"/>
    <x v="16"/>
    <x v="12"/>
    <x v="16"/>
    <x v="167"/>
    <n v="0"/>
    <n v="1"/>
  </r>
  <r>
    <s v="071.350.797/0001-03"/>
    <x v="48"/>
    <s v="INCLUSAO  ANOT.INADIMPLENCIA"/>
    <d v="2025-04-09T00:00:00"/>
    <x v="16"/>
    <x v="12"/>
    <x v="16"/>
    <x v="48"/>
    <n v="0"/>
    <n v="1"/>
  </r>
  <r>
    <s v="020.024.081/0001-77"/>
    <x v="178"/>
    <s v="INCLUSAO  ANOT.INADIMPLENCIA"/>
    <d v="2025-04-09T00:00:00"/>
    <x v="16"/>
    <x v="12"/>
    <x v="16"/>
    <x v="178"/>
    <n v="0"/>
    <n v="1"/>
  </r>
  <r>
    <s v="022.998.836/0001-60"/>
    <x v="24"/>
    <s v="EXCLUSAO  ANOT.INADIMPLENCIA"/>
    <d v="2025-04-10T00:00:00"/>
    <x v="0"/>
    <x v="12"/>
    <x v="0"/>
    <x v="24"/>
    <n v="1"/>
    <n v="0"/>
  </r>
  <r>
    <s v="012.520.791/0001-60"/>
    <x v="4"/>
    <s v="INCLUSAO  ANOT.INADIMPLENCIA"/>
    <d v="2025-04-10T00:00:00"/>
    <x v="1"/>
    <x v="12"/>
    <x v="1"/>
    <x v="4"/>
    <n v="0"/>
    <n v="1"/>
  </r>
  <r>
    <s v="029.030.307/0001-17"/>
    <x v="43"/>
    <s v="EXCLUSAO  ANOT.INADIMPLENCIA"/>
    <d v="2025-04-10T00:00:00"/>
    <x v="1"/>
    <x v="12"/>
    <x v="1"/>
    <x v="43"/>
    <n v="1"/>
    <n v="0"/>
  </r>
  <r>
    <s v="001.181.263/0001-07"/>
    <x v="156"/>
    <s v="EXCLUSAO  ANOT.INADIMPLENCIA"/>
    <d v="2025-04-10T00:00:00"/>
    <x v="15"/>
    <x v="12"/>
    <x v="15"/>
    <x v="156"/>
    <n v="1"/>
    <n v="0"/>
  </r>
  <r>
    <s v="028.393.466/0001-13"/>
    <x v="168"/>
    <s v="EXCLUSAO  ANOT.INADIMPLENCIA"/>
    <d v="2025-04-10T00:00:00"/>
    <x v="15"/>
    <x v="12"/>
    <x v="15"/>
    <x v="168"/>
    <n v="1"/>
    <n v="0"/>
  </r>
  <r>
    <s v="034.821.586/0001-77"/>
    <x v="38"/>
    <s v="INCLUSAO  ANOT.INADIMPLENCIA"/>
    <d v="2025-04-10T00:00:00"/>
    <x v="4"/>
    <x v="12"/>
    <x v="4"/>
    <x v="38"/>
    <n v="0"/>
    <n v="1"/>
  </r>
  <r>
    <s v="046.140.062/0001-08"/>
    <x v="69"/>
    <s v="EXCLUSAO  ANOT.INADIMPLENCIA"/>
    <d v="2025-04-10T00:00:00"/>
    <x v="6"/>
    <x v="12"/>
    <x v="6"/>
    <x v="69"/>
    <n v="1"/>
    <n v="0"/>
  </r>
  <r>
    <s v="088.978.606/0001-47"/>
    <x v="115"/>
    <s v="EXCLUSAO  ANOT.INADIMPLENCIA"/>
    <d v="2025-04-10T00:00:00"/>
    <x v="6"/>
    <x v="12"/>
    <x v="6"/>
    <x v="115"/>
    <n v="1"/>
    <n v="0"/>
  </r>
  <r>
    <s v="006.236.494/0001-94"/>
    <x v="62"/>
    <s v="EXCLUSAO  ANOT.INADIMPLENCIA"/>
    <d v="2025-04-10T00:00:00"/>
    <x v="7"/>
    <x v="12"/>
    <x v="7"/>
    <x v="62"/>
    <n v="1"/>
    <n v="0"/>
  </r>
  <r>
    <s v="025.383.640/0001-59"/>
    <x v="159"/>
    <s v="EXCLUSAO  ANOT.INADIMPLENCIA"/>
    <d v="2025-04-10T00:00:00"/>
    <x v="7"/>
    <x v="12"/>
    <x v="7"/>
    <x v="159"/>
    <n v="1"/>
    <n v="0"/>
  </r>
  <r>
    <s v="028.477.685/0001-80"/>
    <x v="96"/>
    <s v="INCLUSAO  ANOT.INADIMPLENCIA"/>
    <d v="2025-04-10T00:00:00"/>
    <x v="7"/>
    <x v="12"/>
    <x v="7"/>
    <x v="96"/>
    <n v="0"/>
    <n v="1"/>
  </r>
  <r>
    <s v="005.997.418/0001-39"/>
    <x v="166"/>
    <s v="EXCLUSAO  ANOT.INADIMPLENCIA"/>
    <d v="2025-04-10T00:00:00"/>
    <x v="8"/>
    <x v="12"/>
    <x v="8"/>
    <x v="166"/>
    <n v="1"/>
    <n v="0"/>
  </r>
  <r>
    <s v="011.122.552/0001-99"/>
    <x v="60"/>
    <s v="EXCLUSAO  ANOT.INADIMPLENCIA"/>
    <d v="2025-04-10T00:00:00"/>
    <x v="8"/>
    <x v="12"/>
    <x v="8"/>
    <x v="60"/>
    <n v="1"/>
    <n v="0"/>
  </r>
  <r>
    <s v="028.650.970/0001-51"/>
    <x v="167"/>
    <s v="INCLUSAO  ANOT.INADIMPLENCIA"/>
    <d v="2025-04-10T00:00:00"/>
    <x v="16"/>
    <x v="12"/>
    <x v="16"/>
    <x v="167"/>
    <n v="0"/>
    <n v="1"/>
  </r>
  <r>
    <s v="071.350.797/0001-03"/>
    <x v="48"/>
    <s v="INCLUSAO  ANOT.INADIMPLENCIA"/>
    <d v="2025-04-10T00:00:00"/>
    <x v="16"/>
    <x v="12"/>
    <x v="16"/>
    <x v="48"/>
    <n v="0"/>
    <n v="1"/>
  </r>
  <r>
    <s v="020.024.081/0001-77"/>
    <x v="178"/>
    <s v="INCLUSAO  ANOT.INADIMPLENCIA"/>
    <d v="2025-04-10T00:00:00"/>
    <x v="16"/>
    <x v="12"/>
    <x v="16"/>
    <x v="178"/>
    <n v="0"/>
    <n v="1"/>
  </r>
  <r>
    <s v="016.772.642/0001-49"/>
    <x v="70"/>
    <s v="INCLUSAO  ANOT.INADIMPLENCIA"/>
    <d v="2025-04-11T00:00:00"/>
    <x v="0"/>
    <x v="12"/>
    <x v="0"/>
    <x v="70"/>
    <n v="0"/>
    <n v="1"/>
  </r>
  <r>
    <s v="020.066.300/0001-80"/>
    <x v="2"/>
    <s v="EXCLUSAO  ANOT.INADIMPLENCIA"/>
    <d v="2025-04-11T00:00:00"/>
    <x v="1"/>
    <x v="12"/>
    <x v="1"/>
    <x v="2"/>
    <n v="1"/>
    <n v="0"/>
  </r>
  <r>
    <s v="016.757.535/0001-41"/>
    <x v="29"/>
    <s v="EXCLUSAO  ANOT.INADIMPLENCIA"/>
    <d v="2025-04-11T00:00:00"/>
    <x v="14"/>
    <x v="12"/>
    <x v="14"/>
    <x v="29"/>
    <n v="1"/>
    <n v="0"/>
  </r>
  <r>
    <s v="049.218.819/0001-19"/>
    <x v="151"/>
    <s v="INCLUSAO  ANOT.INADIMPLENCIA"/>
    <d v="2025-04-11T00:00:00"/>
    <x v="14"/>
    <x v="12"/>
    <x v="14"/>
    <x v="151"/>
    <n v="0"/>
    <n v="1"/>
  </r>
  <r>
    <s v="001.181.263/0001-07"/>
    <x v="156"/>
    <s v="INCLUSAO  ANOT.INADIMPLENCIA"/>
    <d v="2025-04-11T00:00:00"/>
    <x v="15"/>
    <x v="12"/>
    <x v="15"/>
    <x v="156"/>
    <n v="0"/>
    <n v="1"/>
  </r>
  <r>
    <s v="001.535.822/0001-30"/>
    <x v="171"/>
    <s v="EXCLUSAO  ANOT.INADIMPLENCIA"/>
    <d v="2025-04-11T00:00:00"/>
    <x v="15"/>
    <x v="12"/>
    <x v="15"/>
    <x v="171"/>
    <n v="1"/>
    <n v="0"/>
  </r>
  <r>
    <s v="001.636.335/0001-63"/>
    <x v="78"/>
    <s v="EXCLUSAO  ANOT.INADIMPLENCIA"/>
    <d v="2025-04-11T00:00:00"/>
    <x v="15"/>
    <x v="12"/>
    <x v="15"/>
    <x v="78"/>
    <n v="1"/>
    <n v="0"/>
  </r>
  <r>
    <s v="007.102.721/0001-51"/>
    <x v="44"/>
    <s v="EXCLUSAO  ANOT.INADIMPLENCIA"/>
    <d v="2025-04-11T00:00:00"/>
    <x v="15"/>
    <x v="12"/>
    <x v="15"/>
    <x v="44"/>
    <n v="1"/>
    <n v="0"/>
  </r>
  <r>
    <s v="024.331.138/0001-31"/>
    <x v="88"/>
    <s v="INCLUSAO  ANOT.INADIMPLENCIA"/>
    <d v="2025-04-11T00:00:00"/>
    <x v="15"/>
    <x v="12"/>
    <x v="15"/>
    <x v="88"/>
    <n v="0"/>
    <n v="1"/>
  </r>
  <r>
    <s v="028.393.466/0001-13"/>
    <x v="168"/>
    <s v="INCLUSAO  ANOT.INADIMPLENCIA"/>
    <d v="2025-04-11T00:00:00"/>
    <x v="15"/>
    <x v="12"/>
    <x v="15"/>
    <x v="168"/>
    <n v="0"/>
    <n v="1"/>
  </r>
  <r>
    <s v="035.679.705/0001-61"/>
    <x v="172"/>
    <s v="INCLUSAO  ANOT.INADIMPLENCIA"/>
    <d v="2025-04-11T00:00:00"/>
    <x v="6"/>
    <x v="12"/>
    <x v="6"/>
    <x v="172"/>
    <n v="0"/>
    <n v="1"/>
  </r>
  <r>
    <s v="045.452.509/0001-03"/>
    <x v="173"/>
    <s v="INCLUSAO  ANOT.INADIMPLENCIA"/>
    <d v="2025-04-11T00:00:00"/>
    <x v="6"/>
    <x v="12"/>
    <x v="6"/>
    <x v="173"/>
    <n v="0"/>
    <n v="1"/>
  </r>
  <r>
    <s v="088.978.606/0001-47"/>
    <x v="115"/>
    <s v="INCLUSAO  ANOT.INADIMPLENCIA"/>
    <d v="2025-04-11T00:00:00"/>
    <x v="6"/>
    <x v="12"/>
    <x v="6"/>
    <x v="115"/>
    <n v="0"/>
    <n v="1"/>
  </r>
  <r>
    <s v="028.477.685/0001-80"/>
    <x v="96"/>
    <s v="INCLUSAO  ANOT.INADIMPLENCIA"/>
    <d v="2025-04-11T00:00:00"/>
    <x v="7"/>
    <x v="12"/>
    <x v="7"/>
    <x v="96"/>
    <n v="0"/>
    <n v="1"/>
  </r>
  <r>
    <s v="037.828.375/0001-54"/>
    <x v="39"/>
    <s v="INCLUSAO  ANOT.INADIMPLENCIA"/>
    <d v="2025-04-11T00:00:00"/>
    <x v="7"/>
    <x v="12"/>
    <x v="7"/>
    <x v="39"/>
    <n v="0"/>
    <n v="1"/>
  </r>
  <r>
    <s v="071.350.797/0001-03"/>
    <x v="48"/>
    <s v="INCLUSAO  ANOT.INADIMPLENCIA"/>
    <d v="2025-04-11T00:00:00"/>
    <x v="16"/>
    <x v="12"/>
    <x v="16"/>
    <x v="48"/>
    <n v="0"/>
    <n v="1"/>
  </r>
  <r>
    <s v="010.256.168/0001-16"/>
    <x v="186"/>
    <s v="INCLUSAO  ANOT.INADIMPLENCIA"/>
    <d v="2025-04-11T00:00:00"/>
    <x v="20"/>
    <x v="12"/>
    <x v="20"/>
    <x v="186"/>
    <n v="0"/>
    <n v="1"/>
  </r>
  <r>
    <s v="020.024.081/0001-77"/>
    <x v="178"/>
    <s v="EXCLUSAO  ANOT.INADIMPLENCIA"/>
    <d v="2025-04-11T00:00:00"/>
    <x v="16"/>
    <x v="12"/>
    <x v="16"/>
    <x v="178"/>
    <n v="1"/>
    <n v="0"/>
  </r>
  <r>
    <s v="043.515.558/0001-12"/>
    <x v="177"/>
    <s v="INCLUSAO  ANOT.INADIMPLENCIA"/>
    <d v="2025-04-11T00:00:00"/>
    <x v="12"/>
    <x v="12"/>
    <x v="12"/>
    <x v="177"/>
    <n v="0"/>
    <n v="1"/>
  </r>
  <r>
    <s v="016.772.642/0001-49"/>
    <x v="70"/>
    <s v="INCL/EXCL ANOT.INADIMPLENCIA"/>
    <d v="2025-04-12T00:00:00"/>
    <x v="0"/>
    <x v="12"/>
    <x v="0"/>
    <x v="70"/>
    <n v="0"/>
    <n v="0"/>
  </r>
  <r>
    <s v="016.757.535/0001-41"/>
    <x v="29"/>
    <s v="INCLUSAO  ANOT.INADIMPLENCIA"/>
    <d v="2025-04-12T00:00:00"/>
    <x v="14"/>
    <x v="12"/>
    <x v="14"/>
    <x v="29"/>
    <n v="0"/>
    <n v="1"/>
  </r>
  <r>
    <s v="049.218.819/0001-19"/>
    <x v="151"/>
    <s v="INCLUSAO  ANOT.INADIMPLENCIA"/>
    <d v="2025-04-12T00:00:00"/>
    <x v="14"/>
    <x v="12"/>
    <x v="14"/>
    <x v="151"/>
    <n v="0"/>
    <n v="1"/>
  </r>
  <r>
    <s v="001.636.335/0001-63"/>
    <x v="78"/>
    <s v="INCLUSAO  ANOT.INADIMPLENCIA"/>
    <d v="2025-04-12T00:00:00"/>
    <x v="15"/>
    <x v="12"/>
    <x v="15"/>
    <x v="78"/>
    <n v="0"/>
    <n v="1"/>
  </r>
  <r>
    <s v="021.420.856/0001-96"/>
    <x v="130"/>
    <s v="INCLUSAO  ANOT.INADIMPLENCIA"/>
    <d v="2025-04-12T00:00:00"/>
    <x v="24"/>
    <x v="12"/>
    <x v="24"/>
    <x v="130"/>
    <n v="0"/>
    <n v="1"/>
  </r>
  <r>
    <s v="019.450.138/0001-10"/>
    <x v="71"/>
    <s v="INCLUSAO  ANOT.INADIMPLENCIA"/>
    <d v="2025-04-12T00:00:00"/>
    <x v="22"/>
    <x v="12"/>
    <x v="22"/>
    <x v="71"/>
    <n v="0"/>
    <n v="1"/>
  </r>
  <r>
    <s v="035.165.246/0001-06"/>
    <x v="105"/>
    <s v="EXCLUSAO  ANOT.INADIMPLENCIA"/>
    <d v="2025-04-12T00:00:00"/>
    <x v="4"/>
    <x v="12"/>
    <x v="4"/>
    <x v="105"/>
    <n v="1"/>
    <n v="0"/>
  </r>
  <r>
    <s v="045.871.536/0001-10"/>
    <x v="72"/>
    <s v="ALTERACAO QUADRO SOCIAL"/>
    <d v="2025-04-12T00:00:00"/>
    <x v="4"/>
    <x v="12"/>
    <x v="4"/>
    <x v="72"/>
    <n v="0"/>
    <n v="0"/>
  </r>
  <r>
    <s v="000.803.044/0001-50"/>
    <x v="45"/>
    <s v="EXCLUSAO  ANOT.INADIMPLENCIA"/>
    <d v="2025-04-12T00:00:00"/>
    <x v="5"/>
    <x v="12"/>
    <x v="5"/>
    <x v="45"/>
    <n v="1"/>
    <n v="0"/>
  </r>
  <r>
    <s v="035.679.705/0001-61"/>
    <x v="172"/>
    <s v="INCLUSAO  ANOT.INADIMPLENCIA"/>
    <d v="2025-04-12T00:00:00"/>
    <x v="6"/>
    <x v="12"/>
    <x v="6"/>
    <x v="172"/>
    <n v="0"/>
    <n v="1"/>
  </r>
  <r>
    <s v="045.452.509/0001-03"/>
    <x v="173"/>
    <s v="INCLUSAO  ANOT.INADIMPLENCIA"/>
    <d v="2025-04-12T00:00:00"/>
    <x v="6"/>
    <x v="12"/>
    <x v="6"/>
    <x v="173"/>
    <n v="0"/>
    <n v="1"/>
  </r>
  <r>
    <s v="006.236.494/0001-94"/>
    <x v="62"/>
    <s v="EXCLUSAO  ANOT.INADIMPLENCIA"/>
    <d v="2025-04-12T00:00:00"/>
    <x v="7"/>
    <x v="12"/>
    <x v="7"/>
    <x v="62"/>
    <n v="1"/>
    <n v="0"/>
  </r>
  <r>
    <s v="011.091.574/0001-39"/>
    <x v="26"/>
    <s v="INCLUSAO  ANOT.INADIMPLENCIA"/>
    <d v="2025-04-12T00:00:00"/>
    <x v="7"/>
    <x v="12"/>
    <x v="7"/>
    <x v="26"/>
    <n v="0"/>
    <n v="1"/>
  </r>
  <r>
    <s v="008.250.872/0001-10"/>
    <x v="122"/>
    <s v="INCLUSAO  ANOT.INADIMPLENCIA"/>
    <d v="2025-04-12T00:00:00"/>
    <x v="8"/>
    <x v="12"/>
    <x v="8"/>
    <x v="122"/>
    <n v="0"/>
    <n v="1"/>
  </r>
  <r>
    <s v="011.122.552/0001-99"/>
    <x v="60"/>
    <s v="INCL/EXCL ANOT.INADIMPLENCIA"/>
    <d v="2025-04-12T00:00:00"/>
    <x v="8"/>
    <x v="12"/>
    <x v="8"/>
    <x v="60"/>
    <n v="0"/>
    <n v="0"/>
  </r>
  <r>
    <s v="041.421.379/0001-90"/>
    <x v="138"/>
    <s v="EXCLUSAO  ANOT.INADIMPLENCIA"/>
    <d v="2025-04-12T00:00:00"/>
    <x v="8"/>
    <x v="12"/>
    <x v="8"/>
    <x v="138"/>
    <n v="1"/>
    <n v="0"/>
  </r>
  <r>
    <s v="071.350.797/0001-03"/>
    <x v="48"/>
    <s v="INCLUSAO  ANOT.INADIMPLENCIA"/>
    <d v="2025-04-12T00:00:00"/>
    <x v="16"/>
    <x v="12"/>
    <x v="16"/>
    <x v="48"/>
    <n v="0"/>
    <n v="1"/>
  </r>
  <r>
    <s v="020.024.081/0001-77"/>
    <x v="178"/>
    <s v="INCLUSAO  ANOT.INADIMPLENCIA"/>
    <d v="2025-04-12T00:00:00"/>
    <x v="16"/>
    <x v="12"/>
    <x v="16"/>
    <x v="178"/>
    <n v="0"/>
    <n v="1"/>
  </r>
  <r>
    <s v="004.126.524/0001-84"/>
    <x v="49"/>
    <s v="EXCLUSAO  ANOT.INADIMPLENCIA"/>
    <d v="2025-04-15T00:00:00"/>
    <x v="13"/>
    <x v="12"/>
    <x v="13"/>
    <x v="49"/>
    <n v="1"/>
    <n v="0"/>
  </r>
  <r>
    <s v="002.038.227/0001-51"/>
    <x v="56"/>
    <s v="INCLUSAO  ANOT.INADIMPLENCIA"/>
    <d v="2025-04-15T00:00:00"/>
    <x v="1"/>
    <x v="12"/>
    <x v="1"/>
    <x v="56"/>
    <n v="0"/>
    <n v="1"/>
  </r>
  <r>
    <s v="003.590.360/0001-89"/>
    <x v="3"/>
    <s v="INCL/EXCL ANOT.INADIMPLENCIA"/>
    <d v="2025-04-15T00:00:00"/>
    <x v="1"/>
    <x v="12"/>
    <x v="1"/>
    <x v="3"/>
    <n v="0"/>
    <n v="0"/>
  </r>
  <r>
    <s v="012.520.791/0001-60"/>
    <x v="4"/>
    <s v="EXCLUSAO  ANOT.INADIMPLENCIA"/>
    <d v="2025-04-15T00:00:00"/>
    <x v="1"/>
    <x v="12"/>
    <x v="1"/>
    <x v="4"/>
    <n v="1"/>
    <n v="0"/>
  </r>
  <r>
    <s v="036.726.274/0001-00"/>
    <x v="134"/>
    <s v="EXCLUSAO  ANOT.INADIMPLENCIA"/>
    <d v="2025-04-15T00:00:00"/>
    <x v="1"/>
    <x v="12"/>
    <x v="1"/>
    <x v="134"/>
    <n v="1"/>
    <n v="0"/>
  </r>
  <r>
    <s v="016.757.535/0001-41"/>
    <x v="29"/>
    <s v="INCLUSAO  ANOT.INADIMPLENCIA"/>
    <d v="2025-04-15T00:00:00"/>
    <x v="14"/>
    <x v="12"/>
    <x v="14"/>
    <x v="29"/>
    <n v="0"/>
    <n v="1"/>
  </r>
  <r>
    <s v="001.636.335/0001-63"/>
    <x v="78"/>
    <s v="INCLUSAO  ANOT.INADIMPLENCIA"/>
    <d v="2025-04-15T00:00:00"/>
    <x v="15"/>
    <x v="12"/>
    <x v="15"/>
    <x v="78"/>
    <n v="0"/>
    <n v="1"/>
  </r>
  <r>
    <s v="007.102.721/0001-51"/>
    <x v="44"/>
    <s v="INCLUSAO  ANOT.INADIMPLENCIA"/>
    <d v="2025-04-15T00:00:00"/>
    <x v="15"/>
    <x v="12"/>
    <x v="15"/>
    <x v="44"/>
    <n v="0"/>
    <n v="1"/>
  </r>
  <r>
    <s v="024.331.138/0001-31"/>
    <x v="88"/>
    <s v="INCLUSAO  ANOT.INADIMPLENCIA"/>
    <d v="2025-04-15T00:00:00"/>
    <x v="15"/>
    <x v="12"/>
    <x v="15"/>
    <x v="88"/>
    <n v="0"/>
    <n v="1"/>
  </r>
  <r>
    <s v="028.393.466/0001-13"/>
    <x v="168"/>
    <s v="INCLUSAO  ANOT.INADIMPLENCIA"/>
    <d v="2025-04-15T00:00:00"/>
    <x v="15"/>
    <x v="12"/>
    <x v="15"/>
    <x v="168"/>
    <n v="0"/>
    <n v="1"/>
  </r>
  <r>
    <s v="021.420.856/0001-96"/>
    <x v="130"/>
    <s v="INCLUSAO  ANOT.INADIMPLENCIA"/>
    <d v="2025-04-15T00:00:00"/>
    <x v="24"/>
    <x v="12"/>
    <x v="24"/>
    <x v="130"/>
    <n v="0"/>
    <n v="1"/>
  </r>
  <r>
    <s v="019.450.138/0001-10"/>
    <x v="71"/>
    <s v="INCLUSAO  ANOT.INADIMPLENCIA"/>
    <d v="2025-04-15T00:00:00"/>
    <x v="22"/>
    <x v="12"/>
    <x v="22"/>
    <x v="71"/>
    <n v="0"/>
    <n v="1"/>
  </r>
  <r>
    <s v="025.825.654/0001-85"/>
    <x v="7"/>
    <s v="INCLUSAO  ANOT.INADIMPLENCIA"/>
    <d v="2025-04-15T00:00:00"/>
    <x v="4"/>
    <x v="12"/>
    <x v="4"/>
    <x v="7"/>
    <n v="0"/>
    <n v="1"/>
  </r>
  <r>
    <s v="026.416.177/0001-67"/>
    <x v="131"/>
    <s v="INCLUSAO  ANOT.INADIMPLENCIA"/>
    <d v="2025-04-15T00:00:00"/>
    <x v="4"/>
    <x v="12"/>
    <x v="4"/>
    <x v="131"/>
    <n v="0"/>
    <n v="1"/>
  </r>
  <r>
    <s v="035.165.246/0001-06"/>
    <x v="105"/>
    <s v="INCLUSAO  ANOT.INADIMPLENCIA"/>
    <d v="2025-04-15T00:00:00"/>
    <x v="4"/>
    <x v="12"/>
    <x v="4"/>
    <x v="105"/>
    <n v="0"/>
    <n v="1"/>
  </r>
  <r>
    <s v="035.679.705/0001-61"/>
    <x v="172"/>
    <s v="INCLUSAO  ANOT.INADIMPLENCIA"/>
    <d v="2025-04-15T00:00:00"/>
    <x v="6"/>
    <x v="12"/>
    <x v="6"/>
    <x v="172"/>
    <n v="0"/>
    <n v="1"/>
  </r>
  <r>
    <s v="036.906.058/0001-46"/>
    <x v="76"/>
    <s v="INCLUSAO  ANOT.INADIMPLENCIA"/>
    <d v="2025-04-15T00:00:00"/>
    <x v="6"/>
    <x v="12"/>
    <x v="6"/>
    <x v="76"/>
    <n v="0"/>
    <n v="1"/>
  </r>
  <r>
    <s v="045.452.509/0001-03"/>
    <x v="173"/>
    <s v="INCLUSAO  ANOT.INADIMPLENCIA"/>
    <d v="2025-04-15T00:00:00"/>
    <x v="6"/>
    <x v="12"/>
    <x v="6"/>
    <x v="173"/>
    <n v="0"/>
    <n v="1"/>
  </r>
  <r>
    <s v="046.140.062/0001-08"/>
    <x v="69"/>
    <s v="INCLUSAO  ANOT.INADIMPLENCIA"/>
    <d v="2025-04-15T00:00:00"/>
    <x v="6"/>
    <x v="12"/>
    <x v="6"/>
    <x v="69"/>
    <n v="0"/>
    <n v="1"/>
  </r>
  <r>
    <s v="088.978.606/0001-47"/>
    <x v="115"/>
    <s v="INCLUSAO  ANOT.INADIMPLENCIA"/>
    <d v="2025-04-15T00:00:00"/>
    <x v="6"/>
    <x v="12"/>
    <x v="6"/>
    <x v="115"/>
    <n v="0"/>
    <n v="1"/>
  </r>
  <r>
    <s v="006.236.494/0001-94"/>
    <x v="62"/>
    <s v="EXCLUSAO  ANOT.INADIMPLENCIA"/>
    <d v="2025-04-15T00:00:00"/>
    <x v="7"/>
    <x v="12"/>
    <x v="7"/>
    <x v="62"/>
    <n v="1"/>
    <n v="0"/>
  </r>
  <r>
    <s v="011.091.574/0001-39"/>
    <x v="26"/>
    <s v="INCLUSAO  ANOT.INADIMPLENCIA"/>
    <d v="2025-04-15T00:00:00"/>
    <x v="7"/>
    <x v="12"/>
    <x v="7"/>
    <x v="26"/>
    <n v="0"/>
    <n v="1"/>
  </r>
  <r>
    <s v="023.637.987/0001-55"/>
    <x v="20"/>
    <s v="INCLUSAO  ANOT.INADIMPLENCIA"/>
    <d v="2025-04-15T00:00:00"/>
    <x v="7"/>
    <x v="12"/>
    <x v="7"/>
    <x v="20"/>
    <n v="0"/>
    <n v="1"/>
  </r>
  <r>
    <s v="037.828.375/0001-54"/>
    <x v="39"/>
    <s v="INCLUSAO  ANOT.INADIMPLENCIA"/>
    <d v="2025-04-15T00:00:00"/>
    <x v="7"/>
    <x v="12"/>
    <x v="7"/>
    <x v="39"/>
    <n v="0"/>
    <n v="1"/>
  </r>
  <r>
    <s v="008.250.872/0001-10"/>
    <x v="122"/>
    <s v="INCLUSAO  ANOT.INADIMPLENCIA"/>
    <d v="2025-04-15T00:00:00"/>
    <x v="8"/>
    <x v="12"/>
    <x v="8"/>
    <x v="122"/>
    <n v="0"/>
    <n v="1"/>
  </r>
  <r>
    <s v="041.421.379/0001-90"/>
    <x v="138"/>
    <s v="EXCLUSAO  ANOT.INADIMPLENCIA"/>
    <d v="2025-04-15T00:00:00"/>
    <x v="8"/>
    <x v="12"/>
    <x v="8"/>
    <x v="138"/>
    <n v="1"/>
    <n v="0"/>
  </r>
  <r>
    <s v="028.650.970/0001-51"/>
    <x v="167"/>
    <s v="INCLUSAO  ANOT.INADIMPLENCIA"/>
    <d v="2025-04-15T00:00:00"/>
    <x v="16"/>
    <x v="12"/>
    <x v="16"/>
    <x v="167"/>
    <n v="0"/>
    <n v="1"/>
  </r>
  <r>
    <s v="004.962.112/0001-84"/>
    <x v="175"/>
    <s v="INCLUSAO  ANOT.INADIMPLENCIA"/>
    <d v="2025-04-15T00:00:00"/>
    <x v="0"/>
    <x v="12"/>
    <x v="0"/>
    <x v="175"/>
    <n v="0"/>
    <n v="1"/>
  </r>
  <r>
    <s v="010.256.168/0001-16"/>
    <x v="186"/>
    <s v="EXCLUSAO  ANOT.INADIMPLENCIA"/>
    <d v="2025-04-15T00:00:00"/>
    <x v="20"/>
    <x v="12"/>
    <x v="20"/>
    <x v="186"/>
    <n v="1"/>
    <n v="0"/>
  </r>
  <r>
    <s v="020.024.081/0001-77"/>
    <x v="178"/>
    <s v="INCLUSAO  ANOT.INADIMPLENCIA"/>
    <d v="2025-04-15T00:00:00"/>
    <x v="16"/>
    <x v="12"/>
    <x v="16"/>
    <x v="178"/>
    <n v="0"/>
    <n v="1"/>
  </r>
  <r>
    <s v="040.828.273/0001-43"/>
    <x v="187"/>
    <s v="INCLUSAO  ANOT.INADIMPLENCIA"/>
    <d v="2025-04-15T00:00:00"/>
    <x v="20"/>
    <x v="12"/>
    <x v="20"/>
    <x v="187"/>
    <n v="0"/>
    <n v="1"/>
  </r>
  <r>
    <s v="044.126.379/0001-56"/>
    <x v="188"/>
    <s v="INCLUSAO  ANOT.INADIMPLENCIA"/>
    <d v="2025-04-15T00:00:00"/>
    <x v="1"/>
    <x v="12"/>
    <x v="1"/>
    <x v="188"/>
    <n v="0"/>
    <n v="1"/>
  </r>
  <r>
    <s v="022.998.836/0001-60"/>
    <x v="24"/>
    <s v="INCLUSAO  ANOT.INADIMPLENCIA"/>
    <d v="2025-04-16T00:00:00"/>
    <x v="0"/>
    <x v="13"/>
    <x v="0"/>
    <x v="24"/>
    <n v="0"/>
    <n v="1"/>
  </r>
  <r>
    <s v="024.271.279/0001-06"/>
    <x v="143"/>
    <s v="INCLUSAO  ANOT.INADIMPLENCIA"/>
    <d v="2025-04-16T00:00:00"/>
    <x v="0"/>
    <x v="13"/>
    <x v="0"/>
    <x v="143"/>
    <n v="0"/>
    <n v="1"/>
  </r>
  <r>
    <s v="001.831.532/0001-33"/>
    <x v="133"/>
    <s v="EXCLUSAO  ANOT.INADIMPLENCIA"/>
    <d v="2025-04-16T00:00:00"/>
    <x v="13"/>
    <x v="13"/>
    <x v="13"/>
    <x v="133"/>
    <n v="1"/>
    <n v="0"/>
  </r>
  <r>
    <s v="012.520.791/0001-60"/>
    <x v="4"/>
    <s v="INCLUSAO  ANOT.INADIMPLENCIA"/>
    <d v="2025-04-16T00:00:00"/>
    <x v="1"/>
    <x v="13"/>
    <x v="1"/>
    <x v="4"/>
    <n v="0"/>
    <n v="1"/>
  </r>
  <r>
    <s v="047.635.671/0001-92"/>
    <x v="144"/>
    <s v="INCLUSAO  ANOT.INADIMPLENCIA"/>
    <d v="2025-04-16T00:00:00"/>
    <x v="1"/>
    <x v="13"/>
    <x v="1"/>
    <x v="144"/>
    <n v="0"/>
    <n v="1"/>
  </r>
  <r>
    <s v="001.636.335/0001-63"/>
    <x v="78"/>
    <s v="INCLUSAO  ANOT.INADIMPLENCIA"/>
    <d v="2025-04-16T00:00:00"/>
    <x v="15"/>
    <x v="13"/>
    <x v="15"/>
    <x v="78"/>
    <n v="0"/>
    <n v="1"/>
  </r>
  <r>
    <s v="007.102.721/0001-51"/>
    <x v="44"/>
    <s v="INCLUSAO  ANOT.INADIMPLENCIA"/>
    <d v="2025-04-16T00:00:00"/>
    <x v="15"/>
    <x v="13"/>
    <x v="15"/>
    <x v="44"/>
    <n v="0"/>
    <n v="1"/>
  </r>
  <r>
    <s v="028.393.466/0001-13"/>
    <x v="168"/>
    <s v="INCLUSAO  ANOT.INADIMPLENCIA"/>
    <d v="2025-04-16T00:00:00"/>
    <x v="15"/>
    <x v="13"/>
    <x v="15"/>
    <x v="168"/>
    <n v="0"/>
    <n v="1"/>
  </r>
  <r>
    <s v="021.420.856/0001-96"/>
    <x v="130"/>
    <s v="INCLUSAO  ANOT.INADIMPLENCIA"/>
    <d v="2025-04-16T00:00:00"/>
    <x v="24"/>
    <x v="13"/>
    <x v="24"/>
    <x v="130"/>
    <n v="0"/>
    <n v="1"/>
  </r>
  <r>
    <s v="026.416.177/0001-67"/>
    <x v="131"/>
    <s v="INCLUSAO  ANOT.INADIMPLENCIA"/>
    <d v="2025-04-16T00:00:00"/>
    <x v="4"/>
    <x v="13"/>
    <x v="4"/>
    <x v="131"/>
    <n v="0"/>
    <n v="1"/>
  </r>
  <r>
    <s v="034.821.586/0001-77"/>
    <x v="38"/>
    <s v="INCLUSAO  ANOT.INADIMPLENCIA"/>
    <d v="2025-04-16T00:00:00"/>
    <x v="4"/>
    <x v="13"/>
    <x v="4"/>
    <x v="38"/>
    <n v="0"/>
    <n v="1"/>
  </r>
  <r>
    <s v="004.622.554/0001-81"/>
    <x v="67"/>
    <s v="EXCLUSAO  ANOT.INADIMPLENCIA"/>
    <d v="2025-04-16T00:00:00"/>
    <x v="6"/>
    <x v="13"/>
    <x v="6"/>
    <x v="67"/>
    <n v="1"/>
    <n v="0"/>
  </r>
  <r>
    <s v="035.679.705/0001-61"/>
    <x v="172"/>
    <s v="INCLUSAO  ANOT.INADIMPLENCIA"/>
    <d v="2025-04-16T00:00:00"/>
    <x v="6"/>
    <x v="13"/>
    <x v="6"/>
    <x v="172"/>
    <n v="0"/>
    <n v="1"/>
  </r>
  <r>
    <s v="036.906.058/0001-46"/>
    <x v="76"/>
    <s v="INCLUSAO  ANOT.INADIMPLENCIA"/>
    <d v="2025-04-16T00:00:00"/>
    <x v="6"/>
    <x v="13"/>
    <x v="6"/>
    <x v="76"/>
    <n v="0"/>
    <n v="1"/>
  </r>
  <r>
    <s v="046.140.062/0001-08"/>
    <x v="69"/>
    <s v="INCLUSAO  ANOT.INADIMPLENCIA"/>
    <d v="2025-04-16T00:00:00"/>
    <x v="6"/>
    <x v="13"/>
    <x v="6"/>
    <x v="69"/>
    <n v="0"/>
    <n v="1"/>
  </r>
  <r>
    <s v="025.383.640/0001-59"/>
    <x v="159"/>
    <s v="EXCLUSAO  ANOT.INADIMPLENCIA"/>
    <d v="2025-04-16T00:00:00"/>
    <x v="7"/>
    <x v="13"/>
    <x v="7"/>
    <x v="159"/>
    <n v="1"/>
    <n v="0"/>
  </r>
  <r>
    <s v="005.997.418/0001-39"/>
    <x v="166"/>
    <s v="INCLUSAO  ANOT.INADIMPLENCIA"/>
    <d v="2025-04-16T00:00:00"/>
    <x v="8"/>
    <x v="13"/>
    <x v="8"/>
    <x v="166"/>
    <n v="0"/>
    <n v="1"/>
  </r>
  <r>
    <s v="011.122.552/0001-99"/>
    <x v="60"/>
    <s v="EXCLUSAO  ANOT.INADIMPLENCIA"/>
    <d v="2025-04-16T00:00:00"/>
    <x v="8"/>
    <x v="13"/>
    <x v="8"/>
    <x v="60"/>
    <n v="1"/>
    <n v="0"/>
  </r>
  <r>
    <s v="039.535.425/0001-30"/>
    <x v="121"/>
    <s v="INCLUSAO  ANOT.INADIMPLENCIA"/>
    <d v="2025-04-16T00:00:00"/>
    <x v="8"/>
    <x v="13"/>
    <x v="8"/>
    <x v="121"/>
    <n v="0"/>
    <n v="1"/>
  </r>
  <r>
    <s v="041.421.379/0001-90"/>
    <x v="138"/>
    <s v="INCLUSAO  ANOT.INADIMPLENCIA"/>
    <d v="2025-04-16T00:00:00"/>
    <x v="8"/>
    <x v="13"/>
    <x v="8"/>
    <x v="138"/>
    <n v="0"/>
    <n v="1"/>
  </r>
  <r>
    <s v="004.962.112/0001-84"/>
    <x v="175"/>
    <s v="EXCLUSAO  ANOT.INADIMPLENCIA"/>
    <d v="2025-04-16T00:00:00"/>
    <x v="0"/>
    <x v="13"/>
    <x v="0"/>
    <x v="175"/>
    <n v="1"/>
    <n v="0"/>
  </r>
  <r>
    <s v="020.024.081/0001-77"/>
    <x v="178"/>
    <s v="INCL/EXCL ANOT.INADIMPLENCIA"/>
    <d v="2025-04-16T00:00:00"/>
    <x v="16"/>
    <x v="13"/>
    <x v="16"/>
    <x v="178"/>
    <n v="0"/>
    <n v="0"/>
  </r>
  <r>
    <s v="027.180.131/0001-54"/>
    <x v="189"/>
    <s v="EXCLUSAO  ANOT.INADIMPLENCIA"/>
    <d v="2025-04-16T00:00:00"/>
    <x v="20"/>
    <x v="13"/>
    <x v="20"/>
    <x v="189"/>
    <n v="1"/>
    <n v="0"/>
  </r>
  <r>
    <s v="028.511.223/0001-32"/>
    <x v="190"/>
    <s v="INCLUSAO  ANOT.INADIMPLENCIA"/>
    <d v="2025-04-16T00:00:00"/>
    <x v="20"/>
    <x v="13"/>
    <x v="20"/>
    <x v="190"/>
    <n v="0"/>
    <n v="1"/>
  </r>
  <r>
    <s v="043.515.558/0001-12"/>
    <x v="177"/>
    <s v="INCL/EXCL ANOT.INADIMPLENCIA"/>
    <d v="2025-04-16T00:00:00"/>
    <x v="12"/>
    <x v="13"/>
    <x v="12"/>
    <x v="177"/>
    <n v="0"/>
    <n v="0"/>
  </r>
  <r>
    <s v="004.126.524/0001-84"/>
    <x v="49"/>
    <s v="EXCLUSAO  ANOT.INADIMPLENCIA"/>
    <d v="2025-04-17T00:00:00"/>
    <x v="13"/>
    <x v="13"/>
    <x v="13"/>
    <x v="49"/>
    <n v="1"/>
    <n v="0"/>
  </r>
  <r>
    <s v="000.688.793/0001-83"/>
    <x v="150"/>
    <s v="EXCLUSAO  ANOT.INADIMPLENCIA"/>
    <d v="2025-04-17T00:00:00"/>
    <x v="1"/>
    <x v="13"/>
    <x v="1"/>
    <x v="150"/>
    <n v="1"/>
    <n v="0"/>
  </r>
  <r>
    <s v="002.038.227/0001-51"/>
    <x v="56"/>
    <s v="INCL/EXCL ANOT.INADIMPLENCIA"/>
    <d v="2025-04-17T00:00:00"/>
    <x v="1"/>
    <x v="13"/>
    <x v="1"/>
    <x v="56"/>
    <n v="0"/>
    <n v="0"/>
  </r>
  <r>
    <s v="036.726.274/0001-00"/>
    <x v="134"/>
    <s v="INCLUSAO  ANOT.INADIMPLENCIA"/>
    <d v="2025-04-17T00:00:00"/>
    <x v="1"/>
    <x v="13"/>
    <x v="1"/>
    <x v="134"/>
    <n v="0"/>
    <n v="1"/>
  </r>
  <r>
    <s v="007.102.721/0001-51"/>
    <x v="44"/>
    <s v="EXCLUSAO  ANOT.INADIMPLENCIA"/>
    <d v="2025-04-17T00:00:00"/>
    <x v="15"/>
    <x v="13"/>
    <x v="15"/>
    <x v="44"/>
    <n v="1"/>
    <n v="0"/>
  </r>
  <r>
    <s v="024.255.748/0001-01"/>
    <x v="30"/>
    <s v="EXCLUSAO  ANOT.INADIMPLENCIA"/>
    <d v="2025-04-17T00:00:00"/>
    <x v="15"/>
    <x v="13"/>
    <x v="15"/>
    <x v="30"/>
    <n v="1"/>
    <n v="0"/>
  </r>
  <r>
    <s v="024.331.138/0001-31"/>
    <x v="88"/>
    <s v="INCLUSAO  ANOT.INADIMPLENCIA"/>
    <d v="2025-04-17T00:00:00"/>
    <x v="15"/>
    <x v="13"/>
    <x v="15"/>
    <x v="88"/>
    <n v="0"/>
    <n v="1"/>
  </r>
  <r>
    <s v="028.393.466/0001-13"/>
    <x v="168"/>
    <s v="INCLUSAO  ANOT.INADIMPLENCIA"/>
    <d v="2025-04-17T00:00:00"/>
    <x v="15"/>
    <x v="13"/>
    <x v="15"/>
    <x v="168"/>
    <n v="0"/>
    <n v="1"/>
  </r>
  <r>
    <s v="026.416.177/0001-67"/>
    <x v="131"/>
    <s v="INCLUSAO  ANOT.INADIMPLENCIA"/>
    <d v="2025-04-17T00:00:00"/>
    <x v="4"/>
    <x v="13"/>
    <x v="4"/>
    <x v="131"/>
    <n v="0"/>
    <n v="1"/>
  </r>
  <r>
    <s v="000.803.044/0001-50"/>
    <x v="45"/>
    <s v="EXCLUSAO  ANOT.INADIMPLENCIA"/>
    <d v="2025-04-17T00:00:00"/>
    <x v="5"/>
    <x v="13"/>
    <x v="5"/>
    <x v="45"/>
    <n v="1"/>
    <n v="0"/>
  </r>
  <r>
    <s v="088.978.606/0001-47"/>
    <x v="115"/>
    <s v="INCLUSAO  ANOT.INADIMPLENCIA"/>
    <d v="2025-04-17T00:00:00"/>
    <x v="6"/>
    <x v="13"/>
    <x v="6"/>
    <x v="115"/>
    <n v="0"/>
    <n v="1"/>
  </r>
  <r>
    <s v="093.274.124/0001-46"/>
    <x v="83"/>
    <s v="INCLUSAO  ANOT.INADIMPLENCIA"/>
    <d v="2025-04-17T00:00:00"/>
    <x v="6"/>
    <x v="13"/>
    <x v="6"/>
    <x v="83"/>
    <n v="0"/>
    <n v="1"/>
  </r>
  <r>
    <s v="006.236.494/0001-94"/>
    <x v="62"/>
    <s v="EXCLUSAO  ANOT.INADIMPLENCIA"/>
    <d v="2025-04-17T00:00:00"/>
    <x v="7"/>
    <x v="13"/>
    <x v="7"/>
    <x v="62"/>
    <n v="1"/>
    <n v="0"/>
  </r>
  <r>
    <s v="011.091.574/0001-39"/>
    <x v="26"/>
    <s v="EXCLUSAO  ANOT.INADIMPLENCIA"/>
    <d v="2025-04-17T00:00:00"/>
    <x v="7"/>
    <x v="13"/>
    <x v="7"/>
    <x v="26"/>
    <n v="1"/>
    <n v="0"/>
  </r>
  <r>
    <s v="023.637.987/0001-55"/>
    <x v="20"/>
    <s v="EXCLUSAO  ANOT.INADIMPLENCIA"/>
    <d v="2025-04-17T00:00:00"/>
    <x v="7"/>
    <x v="13"/>
    <x v="7"/>
    <x v="20"/>
    <n v="1"/>
    <n v="0"/>
  </r>
  <r>
    <s v="025.383.640/0001-59"/>
    <x v="159"/>
    <s v="EXCLUSAO  ANOT.INADIMPLENCIA"/>
    <d v="2025-04-17T00:00:00"/>
    <x v="7"/>
    <x v="13"/>
    <x v="7"/>
    <x v="159"/>
    <n v="1"/>
    <n v="0"/>
  </r>
  <r>
    <s v="038.110.780/0001-03"/>
    <x v="47"/>
    <s v="INCLUSAO  ANOT.INADIMPLENCIA"/>
    <d v="2025-04-17T00:00:00"/>
    <x v="8"/>
    <x v="13"/>
    <x v="8"/>
    <x v="47"/>
    <n v="0"/>
    <n v="1"/>
  </r>
  <r>
    <s v="046.674.060/0001-90"/>
    <x v="141"/>
    <s v="INCLUSAO  ANOT.INADIMPLENCIA"/>
    <d v="2025-04-17T00:00:00"/>
    <x v="16"/>
    <x v="13"/>
    <x v="16"/>
    <x v="141"/>
    <n v="0"/>
    <n v="1"/>
  </r>
  <r>
    <s v="071.350.797/0001-03"/>
    <x v="48"/>
    <s v="EXCLUSAO  ANOT.INADIMPLENCIA"/>
    <d v="2025-04-17T00:00:00"/>
    <x v="16"/>
    <x v="13"/>
    <x v="16"/>
    <x v="48"/>
    <n v="1"/>
    <n v="0"/>
  </r>
  <r>
    <s v="020.024.081/0001-77"/>
    <x v="178"/>
    <s v="EXCLUSAO  ANOT.INADIMPLENCIA"/>
    <d v="2025-04-17T00:00:00"/>
    <x v="16"/>
    <x v="13"/>
    <x v="16"/>
    <x v="178"/>
    <n v="1"/>
    <n v="0"/>
  </r>
  <r>
    <s v="028.695.654/0001-04"/>
    <x v="191"/>
    <s v="EXCLUSAO  ANOT.INADIMPLENCIA"/>
    <d v="2025-04-17T00:00:00"/>
    <x v="20"/>
    <x v="13"/>
    <x v="20"/>
    <x v="191"/>
    <n v="1"/>
    <n v="0"/>
  </r>
  <r>
    <s v="048.956.491/0001-75"/>
    <x v="180"/>
    <s v="INCLUSAO  ANOT.INADIMPLENCIA"/>
    <d v="2025-04-17T00:00:00"/>
    <x v="28"/>
    <x v="13"/>
    <x v="28"/>
    <x v="180"/>
    <n v="0"/>
    <n v="1"/>
  </r>
  <r>
    <s v="016.772.642/0001-49"/>
    <x v="70"/>
    <s v="INCLUSAO  ANOT.INADIMPLENCIA"/>
    <d v="2025-04-18T00:00:00"/>
    <x v="0"/>
    <x v="13"/>
    <x v="0"/>
    <x v="70"/>
    <n v="0"/>
    <n v="1"/>
  </r>
  <r>
    <s v="024.271.279/0001-06"/>
    <x v="143"/>
    <s v="INCLUSAO  ANOT.INADIMPLENCIA"/>
    <d v="2025-04-18T00:00:00"/>
    <x v="0"/>
    <x v="13"/>
    <x v="0"/>
    <x v="143"/>
    <n v="0"/>
    <n v="1"/>
  </r>
  <r>
    <s v="002.038.227/0001-51"/>
    <x v="56"/>
    <s v="INCLUSAO  ANOT.INADIMPLENCIA"/>
    <d v="2025-04-18T00:00:00"/>
    <x v="1"/>
    <x v="13"/>
    <x v="1"/>
    <x v="56"/>
    <n v="0"/>
    <n v="1"/>
  </r>
  <r>
    <s v="003.590.360/0001-89"/>
    <x v="3"/>
    <s v="EXCLUSAO  ANOT.INADIMPLENCIA"/>
    <d v="2025-04-18T00:00:00"/>
    <x v="1"/>
    <x v="13"/>
    <x v="1"/>
    <x v="3"/>
    <n v="1"/>
    <n v="0"/>
  </r>
  <r>
    <s v="012.520.791/0001-60"/>
    <x v="4"/>
    <s v="INCLUSAO  ANOT.INADIMPLENCIA"/>
    <d v="2025-04-18T00:00:00"/>
    <x v="1"/>
    <x v="13"/>
    <x v="1"/>
    <x v="4"/>
    <n v="0"/>
    <n v="1"/>
  </r>
  <r>
    <s v="029.030.307/0001-17"/>
    <x v="43"/>
    <s v="INCLUSAO  ANOT.INADIMPLENCIA"/>
    <d v="2025-04-18T00:00:00"/>
    <x v="1"/>
    <x v="13"/>
    <x v="1"/>
    <x v="43"/>
    <n v="0"/>
    <n v="1"/>
  </r>
  <r>
    <s v="047.635.671/0001-92"/>
    <x v="144"/>
    <s v="EXCLUSAO  ANOT.INADIMPLENCIA"/>
    <d v="2025-04-18T00:00:00"/>
    <x v="1"/>
    <x v="13"/>
    <x v="1"/>
    <x v="144"/>
    <n v="1"/>
    <n v="0"/>
  </r>
  <r>
    <s v="005.363.690/0001-67"/>
    <x v="91"/>
    <s v="INCLUSAO  ANOT.INADIMPLENCIA"/>
    <d v="2025-04-18T00:00:00"/>
    <x v="15"/>
    <x v="13"/>
    <x v="15"/>
    <x v="91"/>
    <n v="0"/>
    <n v="1"/>
  </r>
  <r>
    <s v="028.393.466/0001-13"/>
    <x v="168"/>
    <s v="INCLUSAO  ANOT.INADIMPLENCIA"/>
    <d v="2025-04-18T00:00:00"/>
    <x v="15"/>
    <x v="13"/>
    <x v="15"/>
    <x v="168"/>
    <n v="0"/>
    <n v="1"/>
  </r>
  <r>
    <s v="035.165.246/0001-06"/>
    <x v="105"/>
    <s v="INCLUSAO  ANOT.INADIMPLENCIA"/>
    <d v="2025-04-18T00:00:00"/>
    <x v="4"/>
    <x v="13"/>
    <x v="4"/>
    <x v="105"/>
    <n v="0"/>
    <n v="1"/>
  </r>
  <r>
    <s v="045.452.509/0001-03"/>
    <x v="173"/>
    <s v="INCLUSAO  ANOT.INADIMPLENCIA"/>
    <d v="2025-04-18T00:00:00"/>
    <x v="6"/>
    <x v="13"/>
    <x v="6"/>
    <x v="173"/>
    <n v="0"/>
    <n v="1"/>
  </r>
  <r>
    <s v="088.978.606/0001-47"/>
    <x v="115"/>
    <s v="INCLUSAO  ANOT.INADIMPLENCIA"/>
    <d v="2025-04-18T00:00:00"/>
    <x v="6"/>
    <x v="13"/>
    <x v="6"/>
    <x v="115"/>
    <n v="0"/>
    <n v="1"/>
  </r>
  <r>
    <s v="011.091.574/0001-39"/>
    <x v="26"/>
    <s v="EXCLUSAO  ANOT.INADIMPLENCIA"/>
    <d v="2025-04-18T00:00:00"/>
    <x v="7"/>
    <x v="13"/>
    <x v="7"/>
    <x v="26"/>
    <n v="1"/>
    <n v="0"/>
  </r>
  <r>
    <s v="028.477.685/0001-80"/>
    <x v="96"/>
    <s v="EXCLUSAO  ANOT.INADIMPLENCIA"/>
    <d v="2025-04-18T00:00:00"/>
    <x v="7"/>
    <x v="13"/>
    <x v="7"/>
    <x v="96"/>
    <n v="1"/>
    <n v="0"/>
  </r>
  <r>
    <s v="008.250.872/0001-10"/>
    <x v="122"/>
    <s v="INCLUSAO  ANOT.INADIMPLENCIA"/>
    <d v="2025-04-18T00:00:00"/>
    <x v="8"/>
    <x v="13"/>
    <x v="8"/>
    <x v="122"/>
    <n v="0"/>
    <n v="1"/>
  </r>
  <r>
    <s v="039.822.835/0001-62"/>
    <x v="155"/>
    <s v="EXCLUSAO  ANOT.INADIMPLENCIA"/>
    <d v="2025-04-18T00:00:00"/>
    <x v="8"/>
    <x v="13"/>
    <x v="8"/>
    <x v="155"/>
    <n v="1"/>
    <n v="0"/>
  </r>
  <r>
    <s v="012.804.762/0001-20"/>
    <x v="68"/>
    <s v="INCLUSAO  ANOT.INADIMPLENCIA"/>
    <d v="2025-04-18T00:00:00"/>
    <x v="21"/>
    <x v="13"/>
    <x v="21"/>
    <x v="68"/>
    <n v="0"/>
    <n v="1"/>
  </r>
  <r>
    <s v="018.709.981/0001-06"/>
    <x v="184"/>
    <s v="EXCLUSAO  ANOT.INADIMPLENCIA"/>
    <d v="2025-04-18T00:00:00"/>
    <x v="8"/>
    <x v="13"/>
    <x v="8"/>
    <x v="184"/>
    <n v="1"/>
    <n v="0"/>
  </r>
  <r>
    <s v="020.309.962/0001-34"/>
    <x v="192"/>
    <s v="EXCLUSAO  ANOT.INADIMPLENCIA"/>
    <d v="2025-04-18T00:00:00"/>
    <x v="20"/>
    <x v="13"/>
    <x v="20"/>
    <x v="192"/>
    <n v="1"/>
    <n v="0"/>
  </r>
  <r>
    <s v="028.511.223/0001-32"/>
    <x v="190"/>
    <s v="INCLUSAO  ANOT.INADIMPLENCIA"/>
    <d v="2025-04-18T00:00:00"/>
    <x v="20"/>
    <x v="13"/>
    <x v="20"/>
    <x v="190"/>
    <n v="0"/>
    <n v="1"/>
  </r>
  <r>
    <s v="016.772.642/0001-49"/>
    <x v="70"/>
    <s v="INCLUSAO  ANOT.INADIMPLENCIA"/>
    <d v="2025-04-23T00:00:00"/>
    <x v="0"/>
    <x v="13"/>
    <x v="0"/>
    <x v="70"/>
    <n v="0"/>
    <n v="1"/>
  </r>
  <r>
    <s v="021.734.108/0001-88"/>
    <x v="41"/>
    <s v="INCLUSAO  ANOT.INADIMPLENCIA"/>
    <d v="2025-04-23T00:00:00"/>
    <x v="13"/>
    <x v="13"/>
    <x v="13"/>
    <x v="41"/>
    <n v="0"/>
    <n v="1"/>
  </r>
  <r>
    <s v="003.590.360/0001-89"/>
    <x v="3"/>
    <s v="EXCLUSAO  ANOT.INADIMPLENCIA"/>
    <d v="2025-04-23T00:00:00"/>
    <x v="1"/>
    <x v="13"/>
    <x v="1"/>
    <x v="3"/>
    <n v="1"/>
    <n v="0"/>
  </r>
  <r>
    <s v="001.636.335/0001-63"/>
    <x v="78"/>
    <s v="INCLUSAO  ANOT.INADIMPLENCIA"/>
    <d v="2025-04-23T00:00:00"/>
    <x v="15"/>
    <x v="13"/>
    <x v="15"/>
    <x v="78"/>
    <n v="0"/>
    <n v="1"/>
  </r>
  <r>
    <s v="005.363.690/0001-67"/>
    <x v="91"/>
    <s v="INCLUSAO  ANOT.INADIMPLENCIA"/>
    <d v="2025-04-23T00:00:00"/>
    <x v="15"/>
    <x v="13"/>
    <x v="15"/>
    <x v="91"/>
    <n v="0"/>
    <n v="1"/>
  </r>
  <r>
    <s v="007.102.721/0001-51"/>
    <x v="44"/>
    <s v="INCLUSAO  ANOT.INADIMPLENCIA"/>
    <d v="2025-04-23T00:00:00"/>
    <x v="15"/>
    <x v="13"/>
    <x v="15"/>
    <x v="44"/>
    <n v="0"/>
    <n v="1"/>
  </r>
  <r>
    <s v="024.331.138/0001-31"/>
    <x v="88"/>
    <s v="INCLUSAO  ANOT.INADIMPLENCIA"/>
    <d v="2025-04-23T00:00:00"/>
    <x v="15"/>
    <x v="13"/>
    <x v="15"/>
    <x v="88"/>
    <n v="0"/>
    <n v="1"/>
  </r>
  <r>
    <s v="028.393.466/0001-13"/>
    <x v="168"/>
    <s v="INCLUSAO  ANOT.INADIMPLENCIA"/>
    <d v="2025-04-23T00:00:00"/>
    <x v="15"/>
    <x v="13"/>
    <x v="15"/>
    <x v="168"/>
    <n v="0"/>
    <n v="1"/>
  </r>
  <r>
    <s v="035.649.603/0001-01"/>
    <x v="120"/>
    <s v="INCLUSAO  ANOT.INADIMPLENCIA"/>
    <d v="2025-04-23T00:00:00"/>
    <x v="15"/>
    <x v="13"/>
    <x v="15"/>
    <x v="120"/>
    <n v="0"/>
    <n v="1"/>
  </r>
  <r>
    <s v="019.450.138/0001-10"/>
    <x v="71"/>
    <s v="INCLUSAO  ANOT.INADIMPLENCIA"/>
    <d v="2025-04-23T00:00:00"/>
    <x v="22"/>
    <x v="13"/>
    <x v="22"/>
    <x v="71"/>
    <n v="0"/>
    <n v="1"/>
  </r>
  <r>
    <s v="005.350.235/0001-27"/>
    <x v="73"/>
    <s v="EXCLUSAO  ANOT.INADIMPLENCIA"/>
    <d v="2025-04-23T00:00:00"/>
    <x v="4"/>
    <x v="13"/>
    <x v="4"/>
    <x v="73"/>
    <n v="1"/>
    <n v="0"/>
  </r>
  <r>
    <s v="008.991.603/0001-04"/>
    <x v="58"/>
    <s v="INCLUSAO  ANOT.INADIMPLENCIA"/>
    <d v="2025-04-23T00:00:00"/>
    <x v="4"/>
    <x v="13"/>
    <x v="4"/>
    <x v="58"/>
    <n v="0"/>
    <n v="1"/>
  </r>
  <r>
    <s v="000.803.044/0001-50"/>
    <x v="45"/>
    <s v="INCL/EXCL ANOT.INADIMPLENCIA"/>
    <d v="2025-04-23T00:00:00"/>
    <x v="5"/>
    <x v="13"/>
    <x v="5"/>
    <x v="45"/>
    <n v="0"/>
    <n v="0"/>
  </r>
  <r>
    <s v="007.906.793/0001-51"/>
    <x v="126"/>
    <s v="INCLUSAO  ANOT.INADIMPLENCIA"/>
    <d v="2025-04-23T00:00:00"/>
    <x v="6"/>
    <x v="13"/>
    <x v="6"/>
    <x v="126"/>
    <n v="0"/>
    <n v="1"/>
  </r>
  <r>
    <s v="035.679.705/0001-61"/>
    <x v="172"/>
    <s v="INCLUSAO  ANOT.INADIMPLENCIA"/>
    <d v="2025-04-23T00:00:00"/>
    <x v="6"/>
    <x v="13"/>
    <x v="6"/>
    <x v="172"/>
    <n v="0"/>
    <n v="1"/>
  </r>
  <r>
    <s v="036.906.058/0001-46"/>
    <x v="76"/>
    <s v="INCLUSAO  ANOT.INADIMPLENCIA"/>
    <d v="2025-04-23T00:00:00"/>
    <x v="6"/>
    <x v="13"/>
    <x v="6"/>
    <x v="76"/>
    <n v="0"/>
    <n v="1"/>
  </r>
  <r>
    <s v="045.452.509/0001-03"/>
    <x v="173"/>
    <s v="INCLUSAO  ANOT.INADIMPLENCIA"/>
    <d v="2025-04-23T00:00:00"/>
    <x v="6"/>
    <x v="13"/>
    <x v="6"/>
    <x v="173"/>
    <n v="0"/>
    <n v="1"/>
  </r>
  <r>
    <s v="025.383.640/0001-59"/>
    <x v="159"/>
    <s v="EXCLUSAO  ANOT.INADIMPLENCIA"/>
    <d v="2025-04-23T00:00:00"/>
    <x v="7"/>
    <x v="13"/>
    <x v="7"/>
    <x v="159"/>
    <n v="1"/>
    <n v="0"/>
  </r>
  <r>
    <s v="028.477.685/0001-80"/>
    <x v="96"/>
    <s v="INCLUSAO  ANOT.INADIMPLENCIA"/>
    <d v="2025-04-23T00:00:00"/>
    <x v="7"/>
    <x v="13"/>
    <x v="7"/>
    <x v="96"/>
    <n v="0"/>
    <n v="1"/>
  </r>
  <r>
    <s v="037.828.375/0001-54"/>
    <x v="39"/>
    <s v="EXCLUSAO  ANOT.INADIMPLENCIA"/>
    <d v="2025-04-23T00:00:00"/>
    <x v="7"/>
    <x v="13"/>
    <x v="7"/>
    <x v="39"/>
    <n v="1"/>
    <n v="0"/>
  </r>
  <r>
    <s v="023.605.544/0001-82"/>
    <x v="21"/>
    <s v="INCLUSAO  ANOT.INADIMPLENCIA"/>
    <d v="2025-04-23T00:00:00"/>
    <x v="11"/>
    <x v="13"/>
    <x v="11"/>
    <x v="21"/>
    <n v="0"/>
    <n v="1"/>
  </r>
  <r>
    <s v="008.250.872/0001-10"/>
    <x v="122"/>
    <s v="INCLUSAO  ANOT.INADIMPLENCIA"/>
    <d v="2025-04-23T00:00:00"/>
    <x v="8"/>
    <x v="13"/>
    <x v="8"/>
    <x v="122"/>
    <n v="0"/>
    <n v="1"/>
  </r>
  <r>
    <s v="028.650.970/0001-51"/>
    <x v="167"/>
    <s v="INCLUSAO  ANOT.INADIMPLENCIA"/>
    <d v="2025-04-23T00:00:00"/>
    <x v="16"/>
    <x v="13"/>
    <x v="16"/>
    <x v="167"/>
    <n v="0"/>
    <n v="1"/>
  </r>
  <r>
    <s v="042.276.517/0001-58"/>
    <x v="123"/>
    <s v="INCLUSAO  ANOT.INADIMPLENCIA"/>
    <d v="2025-04-23T00:00:00"/>
    <x v="16"/>
    <x v="13"/>
    <x v="16"/>
    <x v="123"/>
    <n v="0"/>
    <n v="1"/>
  </r>
  <r>
    <s v="001.376.967/0001-35"/>
    <x v="193"/>
    <s v="INCLUSAO  ANOT.INADIMPLENCIA"/>
    <d v="2025-04-23T00:00:00"/>
    <x v="29"/>
    <x v="13"/>
    <x v="29"/>
    <x v="193"/>
    <n v="0"/>
    <n v="1"/>
  </r>
  <r>
    <s v="004.962.112/0001-84"/>
    <x v="175"/>
    <s v="INCLUSAO  ANOT.INADIMPLENCIA"/>
    <d v="2025-04-23T00:00:00"/>
    <x v="0"/>
    <x v="13"/>
    <x v="0"/>
    <x v="175"/>
    <n v="0"/>
    <n v="1"/>
  </r>
  <r>
    <s v="020.024.081/0001-77"/>
    <x v="178"/>
    <s v="INCLUSAO  ANOT.INADIMPLENCIA"/>
    <d v="2025-04-23T00:00:00"/>
    <x v="16"/>
    <x v="13"/>
    <x v="16"/>
    <x v="178"/>
    <n v="0"/>
    <n v="1"/>
  </r>
  <r>
    <s v="020.309.962/0001-34"/>
    <x v="192"/>
    <s v="INCLUSAO  ANOT.INADIMPLENCIA"/>
    <d v="2025-04-23T00:00:00"/>
    <x v="20"/>
    <x v="13"/>
    <x v="20"/>
    <x v="192"/>
    <n v="0"/>
    <n v="1"/>
  </r>
  <r>
    <s v="027.180.131/0001-54"/>
    <x v="189"/>
    <s v="EXCLUSAO  ANOT.INADIMPLENCIA"/>
    <d v="2025-04-23T00:00:00"/>
    <x v="20"/>
    <x v="13"/>
    <x v="20"/>
    <x v="189"/>
    <n v="1"/>
    <n v="0"/>
  </r>
  <r>
    <s v="028.511.223/0001-32"/>
    <x v="190"/>
    <s v="INCLUSAO  ANOT.INADIMPLENCIA"/>
    <d v="2025-04-23T00:00:00"/>
    <x v="20"/>
    <x v="13"/>
    <x v="20"/>
    <x v="190"/>
    <n v="0"/>
    <n v="1"/>
  </r>
  <r>
    <s v="040.828.273/0001-43"/>
    <x v="187"/>
    <s v="INCLUSAO  ANOT.INADIMPLENCIA"/>
    <d v="2025-04-23T00:00:00"/>
    <x v="20"/>
    <x v="13"/>
    <x v="20"/>
    <x v="187"/>
    <n v="0"/>
    <n v="1"/>
  </r>
  <r>
    <s v="043.515.558/0001-12"/>
    <x v="177"/>
    <s v="INCLUSAO  ANOT.INADIMPLENCIA"/>
    <d v="2025-04-23T00:00:00"/>
    <x v="12"/>
    <x v="13"/>
    <x v="12"/>
    <x v="177"/>
    <n v="0"/>
    <n v="1"/>
  </r>
  <r>
    <s v="049.344.344/0001-07"/>
    <x v="194"/>
    <s v="EXCLUSAO  ANOT.INADIMPLENCIA"/>
    <d v="2025-04-23T00:00:00"/>
    <x v="11"/>
    <x v="13"/>
    <x v="11"/>
    <x v="194"/>
    <n v="1"/>
    <n v="0"/>
  </r>
  <r>
    <s v="016.772.642/0001-49"/>
    <x v="70"/>
    <s v="INCLUSAO  ANOT.INADIMPLENCIA"/>
    <d v="2025-04-24T00:00:00"/>
    <x v="0"/>
    <x v="13"/>
    <x v="0"/>
    <x v="70"/>
    <n v="0"/>
    <n v="1"/>
  </r>
  <r>
    <s v="024.271.279/0001-06"/>
    <x v="143"/>
    <s v="INCLUSAO  ANOT.INADIMPLENCIA"/>
    <d v="2025-04-24T00:00:00"/>
    <x v="0"/>
    <x v="13"/>
    <x v="0"/>
    <x v="143"/>
    <n v="0"/>
    <n v="1"/>
  </r>
  <r>
    <s v="050.164.951/0001-74"/>
    <x v="52"/>
    <s v="INCLUSAO  ANOT.INADIMPLENCIA"/>
    <d v="2025-04-24T00:00:00"/>
    <x v="0"/>
    <x v="13"/>
    <x v="0"/>
    <x v="52"/>
    <n v="0"/>
    <n v="1"/>
  </r>
  <r>
    <s v="000.688.793/0001-83"/>
    <x v="150"/>
    <s v="EXCLUSAO  ANOT.INADIMPLENCIA"/>
    <d v="2025-04-24T00:00:00"/>
    <x v="1"/>
    <x v="13"/>
    <x v="1"/>
    <x v="150"/>
    <n v="1"/>
    <n v="0"/>
  </r>
  <r>
    <s v="002.038.227/0001-51"/>
    <x v="56"/>
    <s v="EXCLUSAO  ANOT.INADIMPLENCIA"/>
    <d v="2025-04-24T00:00:00"/>
    <x v="1"/>
    <x v="13"/>
    <x v="1"/>
    <x v="56"/>
    <n v="1"/>
    <n v="0"/>
  </r>
  <r>
    <s v="007.102.721/0001-51"/>
    <x v="44"/>
    <s v="INCLUSAO  ANOT.INADIMPLENCIA"/>
    <d v="2025-04-24T00:00:00"/>
    <x v="15"/>
    <x v="13"/>
    <x v="15"/>
    <x v="44"/>
    <n v="0"/>
    <n v="1"/>
  </r>
  <r>
    <s v="044.888.871/0001-69"/>
    <x v="107"/>
    <s v="INCLUSAO  ANOT.INADIMPLENCIA"/>
    <d v="2025-04-24T00:00:00"/>
    <x v="15"/>
    <x v="13"/>
    <x v="15"/>
    <x v="107"/>
    <n v="0"/>
    <n v="1"/>
  </r>
  <r>
    <s v="034.821.586/0001-77"/>
    <x v="38"/>
    <s v="EXCLUSAO  ANOT.INADIMPLENCIA"/>
    <d v="2025-04-24T00:00:00"/>
    <x v="4"/>
    <x v="13"/>
    <x v="4"/>
    <x v="38"/>
    <n v="1"/>
    <n v="0"/>
  </r>
  <r>
    <s v="036.906.058/0001-46"/>
    <x v="76"/>
    <s v="EXCLUSAO  ANOT.INADIMPLENCIA"/>
    <d v="2025-04-24T00:00:00"/>
    <x v="6"/>
    <x v="13"/>
    <x v="6"/>
    <x v="76"/>
    <n v="1"/>
    <n v="0"/>
  </r>
  <r>
    <s v="088.978.606/0001-47"/>
    <x v="115"/>
    <s v="EXCLUSAO  ANOT.INADIMPLENCIA"/>
    <d v="2025-04-24T00:00:00"/>
    <x v="6"/>
    <x v="13"/>
    <x v="6"/>
    <x v="115"/>
    <n v="1"/>
    <n v="0"/>
  </r>
  <r>
    <s v="011.091.574/0001-39"/>
    <x v="26"/>
    <s v="ALTERACAO ENDERECO"/>
    <d v="2025-04-24T00:00:00"/>
    <x v="7"/>
    <x v="13"/>
    <x v="7"/>
    <x v="26"/>
    <n v="0"/>
    <n v="0"/>
  </r>
  <r>
    <s v="025.383.640/0001-59"/>
    <x v="159"/>
    <s v="EXCLUSAO  ANOT.INADIMPLENCIA"/>
    <d v="2025-04-24T00:00:00"/>
    <x v="7"/>
    <x v="13"/>
    <x v="7"/>
    <x v="159"/>
    <n v="1"/>
    <n v="0"/>
  </r>
  <r>
    <s v="028.477.685/0001-80"/>
    <x v="96"/>
    <s v="EXCLUSAO  ANOT.INADIMPLENCIA"/>
    <d v="2025-04-24T00:00:00"/>
    <x v="7"/>
    <x v="13"/>
    <x v="7"/>
    <x v="96"/>
    <n v="1"/>
    <n v="0"/>
  </r>
  <r>
    <s v="014.514.481/0001-68"/>
    <x v="74"/>
    <s v="INCLUSAO  ANOT.INADIMPLENCIA"/>
    <d v="2025-04-24T00:00:00"/>
    <x v="11"/>
    <x v="13"/>
    <x v="11"/>
    <x v="74"/>
    <n v="0"/>
    <n v="1"/>
  </r>
  <r>
    <s v="041.421.379/0001-90"/>
    <x v="138"/>
    <s v="INCLUSAO  ANOT.INADIMPLENCIA"/>
    <d v="2025-04-24T00:00:00"/>
    <x v="8"/>
    <x v="13"/>
    <x v="8"/>
    <x v="138"/>
    <n v="0"/>
    <n v="1"/>
  </r>
  <r>
    <s v="055.979.736/0001-45"/>
    <x v="64"/>
    <s v="INCLUSAO  ANOT.INADIMPLENCIA"/>
    <d v="2025-04-24T00:00:00"/>
    <x v="20"/>
    <x v="13"/>
    <x v="20"/>
    <x v="64"/>
    <n v="0"/>
    <n v="1"/>
  </r>
  <r>
    <s v="020.024.081/0001-77"/>
    <x v="178"/>
    <s v="EXCLUSAO  ANOT.INADIMPLENCIA"/>
    <d v="2025-04-24T00:00:00"/>
    <x v="16"/>
    <x v="13"/>
    <x v="16"/>
    <x v="178"/>
    <n v="1"/>
    <n v="0"/>
  </r>
  <r>
    <s v="028.511.223/0001-32"/>
    <x v="190"/>
    <s v="INCLUSAO  ANOT.INADIMPLENCIA"/>
    <d v="2025-04-24T00:00:00"/>
    <x v="20"/>
    <x v="13"/>
    <x v="20"/>
    <x v="190"/>
    <n v="0"/>
    <n v="1"/>
  </r>
  <r>
    <s v="040.828.273/0001-43"/>
    <x v="187"/>
    <s v="INCLUSAO  ANOT.INADIMPLENCIA"/>
    <d v="2025-04-24T00:00:00"/>
    <x v="20"/>
    <x v="13"/>
    <x v="20"/>
    <x v="187"/>
    <n v="0"/>
    <n v="1"/>
  </r>
  <r>
    <s v="050.164.951/0001-74"/>
    <x v="52"/>
    <s v="INCLUSAO  ANOT.INADIMPLENCIA"/>
    <d v="2025-04-25T00:00:00"/>
    <x v="0"/>
    <x v="13"/>
    <x v="0"/>
    <x v="52"/>
    <n v="0"/>
    <n v="1"/>
  </r>
  <r>
    <s v="001.831.532/0001-33"/>
    <x v="133"/>
    <s v="EXCLUSAO  ANOT.INADIMPLENCIA"/>
    <d v="2025-04-25T00:00:00"/>
    <x v="13"/>
    <x v="13"/>
    <x v="13"/>
    <x v="133"/>
    <n v="1"/>
    <n v="0"/>
  </r>
  <r>
    <s v="020.066.300/0001-80"/>
    <x v="2"/>
    <s v="EXCLUSAO  ANOT.INADIMPLENCIA"/>
    <d v="2025-04-25T00:00:00"/>
    <x v="1"/>
    <x v="13"/>
    <x v="1"/>
    <x v="2"/>
    <n v="1"/>
    <n v="0"/>
  </r>
  <r>
    <s v="007.102.721/0001-51"/>
    <x v="44"/>
    <s v="EXCLUSAO  ANOT.INADIMPLENCIA"/>
    <d v="2025-04-25T00:00:00"/>
    <x v="15"/>
    <x v="13"/>
    <x v="15"/>
    <x v="44"/>
    <n v="1"/>
    <n v="0"/>
  </r>
  <r>
    <s v="021.420.856/0001-96"/>
    <x v="130"/>
    <s v="EXCLUSAO  ANOT.INADIMPLENCIA"/>
    <d v="2025-04-25T00:00:00"/>
    <x v="24"/>
    <x v="13"/>
    <x v="24"/>
    <x v="130"/>
    <n v="1"/>
    <n v="0"/>
  </r>
  <r>
    <s v="019.450.138/0001-10"/>
    <x v="71"/>
    <s v="INCLUSAO  ANOT.INADIMPLENCIA"/>
    <d v="2025-04-25T00:00:00"/>
    <x v="22"/>
    <x v="13"/>
    <x v="22"/>
    <x v="71"/>
    <n v="0"/>
    <n v="1"/>
  </r>
  <r>
    <s v="025.825.654/0001-85"/>
    <x v="7"/>
    <s v="INCLUSAO  ANOT.INADIMPLENCIA"/>
    <d v="2025-04-25T00:00:00"/>
    <x v="4"/>
    <x v="13"/>
    <x v="4"/>
    <x v="7"/>
    <n v="0"/>
    <n v="1"/>
  </r>
  <r>
    <s v="035.165.246/0001-06"/>
    <x v="105"/>
    <s v="EXCLUSAO  ANOT.INADIMPLENCIA"/>
    <d v="2025-04-25T00:00:00"/>
    <x v="4"/>
    <x v="13"/>
    <x v="4"/>
    <x v="105"/>
    <n v="1"/>
    <n v="0"/>
  </r>
  <r>
    <s v="088.978.606/0001-47"/>
    <x v="115"/>
    <s v="INCLUSAO  ANOT.INADIMPLENCIA"/>
    <d v="2025-04-25T00:00:00"/>
    <x v="6"/>
    <x v="13"/>
    <x v="6"/>
    <x v="115"/>
    <n v="0"/>
    <n v="1"/>
  </r>
  <r>
    <s v="011.091.574/0001-39"/>
    <x v="26"/>
    <s v="EXCLUSAO  ANOT.INADIMPLENCIA"/>
    <d v="2025-04-25T00:00:00"/>
    <x v="7"/>
    <x v="13"/>
    <x v="7"/>
    <x v="26"/>
    <n v="1"/>
    <n v="0"/>
  </r>
  <r>
    <s v="028.477.685/0001-80"/>
    <x v="96"/>
    <s v="EXCLUSAO  ANOT.INADIMPLENCIA"/>
    <d v="2025-04-25T00:00:00"/>
    <x v="7"/>
    <x v="13"/>
    <x v="7"/>
    <x v="96"/>
    <n v="1"/>
    <n v="0"/>
  </r>
  <r>
    <s v="008.250.872/0001-10"/>
    <x v="122"/>
    <s v="INCLUSAO  ANOT.INADIMPLENCIA"/>
    <d v="2025-04-25T00:00:00"/>
    <x v="8"/>
    <x v="13"/>
    <x v="8"/>
    <x v="122"/>
    <n v="0"/>
    <n v="1"/>
  </r>
  <r>
    <s v="046.674.060/0001-90"/>
    <x v="141"/>
    <s v="EXCLUSAO  ANOT.INADIMPLENCIA"/>
    <d v="2025-04-25T00:00:00"/>
    <x v="16"/>
    <x v="13"/>
    <x v="16"/>
    <x v="141"/>
    <n v="1"/>
    <n v="0"/>
  </r>
  <r>
    <s v="040.582.798/0001-41"/>
    <x v="145"/>
    <s v="INCLUSAO  ANOT.INADIMPLENCIA"/>
    <d v="2025-04-25T00:00:00"/>
    <x v="20"/>
    <x v="13"/>
    <x v="20"/>
    <x v="145"/>
    <n v="0"/>
    <n v="1"/>
  </r>
  <r>
    <s v="004.962.112/0001-84"/>
    <x v="175"/>
    <s v="ALTERACAO ENDERECO"/>
    <d v="2025-04-25T00:00:00"/>
    <x v="0"/>
    <x v="13"/>
    <x v="0"/>
    <x v="175"/>
    <n v="0"/>
    <n v="0"/>
  </r>
  <r>
    <s v="006.236.494/0001-94"/>
    <x v="195"/>
    <s v="ALTERACAO RAZAO SOCIAL"/>
    <d v="2025-04-25T00:00:00"/>
    <x v="7"/>
    <x v="13"/>
    <x v="7"/>
    <x v="195"/>
    <n v="0"/>
    <n v="0"/>
  </r>
  <r>
    <s v="013.749.701/0001-70"/>
    <x v="196"/>
    <s v="EXCLUSAO  ANOT.INADIMPLENCIA"/>
    <d v="2025-04-25T00:00:00"/>
    <x v="8"/>
    <x v="13"/>
    <x v="8"/>
    <x v="196"/>
    <n v="1"/>
    <n v="0"/>
  </r>
  <r>
    <s v="020.024.081/0001-77"/>
    <x v="178"/>
    <s v="EXCLUSAO  ANOT.INADIMPLENCIA"/>
    <d v="2025-04-25T00:00:00"/>
    <x v="16"/>
    <x v="13"/>
    <x v="16"/>
    <x v="178"/>
    <n v="1"/>
    <n v="0"/>
  </r>
  <r>
    <s v="027.180.131/0001-54"/>
    <x v="189"/>
    <s v="EXCLUSAO  ANOT.INADIMPLENCIA"/>
    <d v="2025-04-25T00:00:00"/>
    <x v="20"/>
    <x v="13"/>
    <x v="20"/>
    <x v="189"/>
    <n v="1"/>
    <n v="0"/>
  </r>
  <r>
    <s v="028.511.223/0001-32"/>
    <x v="190"/>
    <s v="INCL/EXCL ANOT.INADIMPLENCIA"/>
    <d v="2025-04-25T00:00:00"/>
    <x v="20"/>
    <x v="13"/>
    <x v="20"/>
    <x v="190"/>
    <n v="0"/>
    <n v="0"/>
  </r>
  <r>
    <s v="002.038.227/0001-51"/>
    <x v="56"/>
    <s v="INCLUSAO  ANOT.INADIMPLENCIA"/>
    <d v="2025-04-26T00:00:00"/>
    <x v="1"/>
    <x v="13"/>
    <x v="1"/>
    <x v="56"/>
    <n v="0"/>
    <n v="1"/>
  </r>
  <r>
    <s v="036.726.274/0001-00"/>
    <x v="134"/>
    <s v="INCLUSAO  ANOT.INADIMPLENCIA"/>
    <d v="2025-04-26T00:00:00"/>
    <x v="1"/>
    <x v="13"/>
    <x v="1"/>
    <x v="134"/>
    <n v="0"/>
    <n v="1"/>
  </r>
  <r>
    <s v="016.757.535/0001-41"/>
    <x v="29"/>
    <s v="INCLUSAO  ANOT.INADIMPLENCIA"/>
    <d v="2025-04-26T00:00:00"/>
    <x v="14"/>
    <x v="13"/>
    <x v="14"/>
    <x v="29"/>
    <n v="0"/>
    <n v="1"/>
  </r>
  <r>
    <s v="001.636.335/0001-63"/>
    <x v="78"/>
    <s v="INCLUSAO  ANOT.INADIMPLENCIA"/>
    <d v="2025-04-26T00:00:00"/>
    <x v="15"/>
    <x v="13"/>
    <x v="15"/>
    <x v="78"/>
    <n v="0"/>
    <n v="1"/>
  </r>
  <r>
    <s v="007.102.721/0001-51"/>
    <x v="44"/>
    <s v="INCLUSAO  ANOT.INADIMPLENCIA"/>
    <d v="2025-04-26T00:00:00"/>
    <x v="15"/>
    <x v="13"/>
    <x v="15"/>
    <x v="44"/>
    <n v="0"/>
    <n v="1"/>
  </r>
  <r>
    <s v="007.561.436/0001-07"/>
    <x v="34"/>
    <s v="EXCLUSAO  ANOT.INADIMPLENCIA"/>
    <d v="2025-04-26T00:00:00"/>
    <x v="15"/>
    <x v="13"/>
    <x v="15"/>
    <x v="34"/>
    <n v="1"/>
    <n v="0"/>
  </r>
  <r>
    <s v="028.393.466/0001-13"/>
    <x v="168"/>
    <s v="INCLUSAO  ANOT.INADIMPLENCIA"/>
    <d v="2025-04-26T00:00:00"/>
    <x v="15"/>
    <x v="13"/>
    <x v="15"/>
    <x v="168"/>
    <n v="0"/>
    <n v="1"/>
  </r>
  <r>
    <s v="021.420.856/0001-96"/>
    <x v="130"/>
    <s v="INCLUSAO  ANOT.INADIMPLENCIA"/>
    <d v="2025-04-26T00:00:00"/>
    <x v="24"/>
    <x v="13"/>
    <x v="24"/>
    <x v="130"/>
    <n v="0"/>
    <n v="1"/>
  </r>
  <r>
    <s v="035.165.246/0001-06"/>
    <x v="105"/>
    <s v="INCLUSAO  ANOT.INADIMPLENCIA"/>
    <d v="2025-04-26T00:00:00"/>
    <x v="4"/>
    <x v="13"/>
    <x v="4"/>
    <x v="105"/>
    <n v="0"/>
    <n v="1"/>
  </r>
  <r>
    <s v="000.803.044/0001-50"/>
    <x v="45"/>
    <s v="INCLUSAO  ANOT.INADIMPLENCIA"/>
    <d v="2025-04-26T00:00:00"/>
    <x v="5"/>
    <x v="13"/>
    <x v="5"/>
    <x v="45"/>
    <n v="0"/>
    <n v="1"/>
  </r>
  <r>
    <s v="035.679.705/0001-61"/>
    <x v="172"/>
    <s v="INCLUSAO  ANOT.INADIMPLENCIA"/>
    <d v="2025-04-26T00:00:00"/>
    <x v="6"/>
    <x v="13"/>
    <x v="6"/>
    <x v="172"/>
    <n v="0"/>
    <n v="1"/>
  </r>
  <r>
    <s v="045.452.509/0001-03"/>
    <x v="173"/>
    <s v="INCLUSAO  ANOT.INADIMPLENCIA"/>
    <d v="2025-04-26T00:00:00"/>
    <x v="6"/>
    <x v="13"/>
    <x v="6"/>
    <x v="173"/>
    <n v="0"/>
    <n v="1"/>
  </r>
  <r>
    <s v="088.978.606/0001-47"/>
    <x v="115"/>
    <s v="INCLUSAO  ANOT.INADIMPLENCIA"/>
    <d v="2025-04-26T00:00:00"/>
    <x v="6"/>
    <x v="13"/>
    <x v="6"/>
    <x v="115"/>
    <n v="0"/>
    <n v="1"/>
  </r>
  <r>
    <s v="002.776.536/0001-29"/>
    <x v="169"/>
    <s v="INCLUSAO  ANOT.INADIMPLENCIA"/>
    <d v="2025-04-26T00:00:00"/>
    <x v="11"/>
    <x v="13"/>
    <x v="11"/>
    <x v="169"/>
    <n v="0"/>
    <n v="1"/>
  </r>
  <r>
    <s v="008.250.872/0001-10"/>
    <x v="122"/>
    <s v="INCLUSAO  ANOT.INADIMPLENCIA"/>
    <d v="2025-04-26T00:00:00"/>
    <x v="8"/>
    <x v="13"/>
    <x v="8"/>
    <x v="122"/>
    <n v="0"/>
    <n v="1"/>
  </r>
  <r>
    <s v="041.421.379/0001-90"/>
    <x v="138"/>
    <s v="INCLUSAO  ANOT.INADIMPLENCIA"/>
    <d v="2025-04-26T00:00:00"/>
    <x v="8"/>
    <x v="13"/>
    <x v="8"/>
    <x v="138"/>
    <n v="0"/>
    <n v="1"/>
  </r>
  <r>
    <s v="028.650.970/0001-51"/>
    <x v="167"/>
    <s v="INCLUSAO  ANOT.INADIMPLENCIA"/>
    <d v="2025-04-26T00:00:00"/>
    <x v="16"/>
    <x v="13"/>
    <x v="16"/>
    <x v="167"/>
    <n v="0"/>
    <n v="1"/>
  </r>
  <r>
    <s v="050.901.671/0001-00"/>
    <x v="127"/>
    <s v="INCLUSAO  ANOT.INADIMPLENCIA"/>
    <d v="2025-04-26T00:00:00"/>
    <x v="16"/>
    <x v="13"/>
    <x v="16"/>
    <x v="127"/>
    <n v="0"/>
    <n v="1"/>
  </r>
  <r>
    <s v="051.107.672/0001-31"/>
    <x v="32"/>
    <s v="INCLUSAO  ANOT.INADIMPLENCIA"/>
    <d v="2025-04-26T00:00:00"/>
    <x v="16"/>
    <x v="13"/>
    <x v="16"/>
    <x v="32"/>
    <n v="0"/>
    <n v="1"/>
  </r>
  <r>
    <s v="028.511.223/0001-32"/>
    <x v="190"/>
    <s v="INCLUSAO  ANOT.INADIMPLENCIA"/>
    <d v="2025-04-26T00:00:00"/>
    <x v="20"/>
    <x v="13"/>
    <x v="20"/>
    <x v="190"/>
    <n v="0"/>
    <n v="1"/>
  </r>
  <r>
    <s v="040.828.273/0001-43"/>
    <x v="187"/>
    <s v="INCLUSAO  ANOT.INADIMPLENCIA"/>
    <d v="2025-04-26T00:00:00"/>
    <x v="20"/>
    <x v="13"/>
    <x v="20"/>
    <x v="187"/>
    <n v="0"/>
    <n v="1"/>
  </r>
  <r>
    <s v="004.126.524/0001-84"/>
    <x v="49"/>
    <s v="EXCLUSAO  ANOT.INADIMPLENCIA"/>
    <d v="2025-04-29T00:00:00"/>
    <x v="13"/>
    <x v="13"/>
    <x v="13"/>
    <x v="49"/>
    <n v="1"/>
    <n v="0"/>
  </r>
  <r>
    <s v="021.734.108/0001-88"/>
    <x v="41"/>
    <s v="INCLUSAO  ANOT.INADIMPLENCIA"/>
    <d v="2025-04-29T00:00:00"/>
    <x v="13"/>
    <x v="13"/>
    <x v="13"/>
    <x v="41"/>
    <n v="0"/>
    <n v="1"/>
  </r>
  <r>
    <s v="003.590.360/0001-89"/>
    <x v="3"/>
    <s v="INCLUSAO  ANOT.INADIMPLENCIA"/>
    <d v="2025-04-29T00:00:00"/>
    <x v="1"/>
    <x v="13"/>
    <x v="1"/>
    <x v="3"/>
    <n v="0"/>
    <n v="1"/>
  </r>
  <r>
    <s v="016.757.535/0001-41"/>
    <x v="29"/>
    <s v="INCLUSAO  ANOT.INADIMPLENCIA"/>
    <d v="2025-04-29T00:00:00"/>
    <x v="14"/>
    <x v="13"/>
    <x v="14"/>
    <x v="29"/>
    <n v="0"/>
    <n v="1"/>
  </r>
  <r>
    <s v="049.218.819/0001-19"/>
    <x v="151"/>
    <s v="INCLUSAO  ANOT.INADIMPLENCIA"/>
    <d v="2025-04-29T00:00:00"/>
    <x v="14"/>
    <x v="13"/>
    <x v="14"/>
    <x v="151"/>
    <n v="0"/>
    <n v="1"/>
  </r>
  <r>
    <s v="001.165.357/0001-92"/>
    <x v="87"/>
    <s v="INCLUSAO  ANOT.INADIMPLENCIA"/>
    <d v="2025-04-29T00:00:00"/>
    <x v="15"/>
    <x v="13"/>
    <x v="15"/>
    <x v="87"/>
    <n v="0"/>
    <n v="1"/>
  </r>
  <r>
    <s v="002.377.675/0001-80"/>
    <x v="86"/>
    <s v="INCLUSAO  ANOT.INADIMPLENCIA"/>
    <d v="2025-04-29T00:00:00"/>
    <x v="15"/>
    <x v="13"/>
    <x v="15"/>
    <x v="86"/>
    <n v="0"/>
    <n v="1"/>
  </r>
  <r>
    <s v="007.102.721/0001-51"/>
    <x v="44"/>
    <s v="INCLUSAO  ANOT.INADIMPLENCIA"/>
    <d v="2025-04-29T00:00:00"/>
    <x v="15"/>
    <x v="13"/>
    <x v="15"/>
    <x v="44"/>
    <n v="0"/>
    <n v="1"/>
  </r>
  <r>
    <s v="007.561.436/0001-07"/>
    <x v="34"/>
    <s v="INCLUSAO  ANOT.INADIMPLENCIA"/>
    <d v="2025-04-29T00:00:00"/>
    <x v="15"/>
    <x v="13"/>
    <x v="15"/>
    <x v="34"/>
    <n v="0"/>
    <n v="1"/>
  </r>
  <r>
    <s v="024.331.138/0001-31"/>
    <x v="88"/>
    <s v="INCLUSAO  ANOT.INADIMPLENCIA"/>
    <d v="2025-04-29T00:00:00"/>
    <x v="15"/>
    <x v="13"/>
    <x v="15"/>
    <x v="88"/>
    <n v="0"/>
    <n v="1"/>
  </r>
  <r>
    <s v="028.393.466/0001-13"/>
    <x v="168"/>
    <s v="INCLUSAO  ANOT.INADIMPLENCIA"/>
    <d v="2025-04-29T00:00:00"/>
    <x v="15"/>
    <x v="13"/>
    <x v="15"/>
    <x v="168"/>
    <n v="0"/>
    <n v="1"/>
  </r>
  <r>
    <s v="008.991.603/0001-04"/>
    <x v="58"/>
    <s v="INCLUSAO  ANOT.INADIMPLENCIA"/>
    <d v="2025-04-29T00:00:00"/>
    <x v="4"/>
    <x v="13"/>
    <x v="4"/>
    <x v="58"/>
    <n v="0"/>
    <n v="1"/>
  </r>
  <r>
    <s v="034.821.586/0001-77"/>
    <x v="38"/>
    <s v="INCLUSAO  ANOT.INADIMPLENCIA"/>
    <d v="2025-04-29T00:00:00"/>
    <x v="4"/>
    <x v="13"/>
    <x v="4"/>
    <x v="38"/>
    <n v="0"/>
    <n v="1"/>
  </r>
  <r>
    <s v="035.165.246/0001-06"/>
    <x v="105"/>
    <s v="INCLUSAO  ANOT.INADIMPLENCIA"/>
    <d v="2025-04-29T00:00:00"/>
    <x v="4"/>
    <x v="13"/>
    <x v="4"/>
    <x v="105"/>
    <n v="0"/>
    <n v="1"/>
  </r>
  <r>
    <s v="000.803.044/0001-50"/>
    <x v="45"/>
    <s v="EXCLUSAO  ANOT.INADIMPLENCIA"/>
    <d v="2025-04-29T00:00:00"/>
    <x v="5"/>
    <x v="13"/>
    <x v="5"/>
    <x v="45"/>
    <n v="1"/>
    <n v="0"/>
  </r>
  <r>
    <s v="035.679.705/0001-61"/>
    <x v="172"/>
    <s v="INCLUSAO  ANOT.INADIMPLENCIA"/>
    <d v="2025-04-29T00:00:00"/>
    <x v="6"/>
    <x v="13"/>
    <x v="6"/>
    <x v="172"/>
    <n v="0"/>
    <n v="1"/>
  </r>
  <r>
    <s v="045.452.509/0001-03"/>
    <x v="173"/>
    <s v="INCLUSAO  ANOT.INADIMPLENCIA"/>
    <d v="2025-04-29T00:00:00"/>
    <x v="6"/>
    <x v="13"/>
    <x v="6"/>
    <x v="173"/>
    <n v="0"/>
    <n v="1"/>
  </r>
  <r>
    <s v="008.250.872/0001-10"/>
    <x v="122"/>
    <s v="EXCLUSAO  ANOT.INADIMPLENCIA"/>
    <d v="2025-04-29T00:00:00"/>
    <x v="8"/>
    <x v="13"/>
    <x v="8"/>
    <x v="122"/>
    <n v="1"/>
    <n v="0"/>
  </r>
  <r>
    <s v="038.110.780/0001-03"/>
    <x v="47"/>
    <s v="INCLUSAO  ANOT.INADIMPLENCIA"/>
    <d v="2025-04-29T00:00:00"/>
    <x v="8"/>
    <x v="13"/>
    <x v="8"/>
    <x v="47"/>
    <n v="0"/>
    <n v="1"/>
  </r>
  <r>
    <s v="028.650.970/0001-51"/>
    <x v="167"/>
    <s v="INCLUSAO  ANOT.INADIMPLENCIA"/>
    <d v="2025-04-29T00:00:00"/>
    <x v="16"/>
    <x v="13"/>
    <x v="16"/>
    <x v="167"/>
    <n v="0"/>
    <n v="1"/>
  </r>
  <r>
    <s v="050.901.671/0001-00"/>
    <x v="127"/>
    <s v="INCL/EXCL ANOT.INADIMPLENCIA"/>
    <d v="2025-04-29T00:00:00"/>
    <x v="16"/>
    <x v="13"/>
    <x v="16"/>
    <x v="127"/>
    <n v="0"/>
    <n v="0"/>
  </r>
  <r>
    <s v="020.024.081/0001-77"/>
    <x v="178"/>
    <s v="INCLUSAO  ANOT.INADIMPLENCIA"/>
    <d v="2025-04-29T00:00:00"/>
    <x v="16"/>
    <x v="13"/>
    <x v="16"/>
    <x v="178"/>
    <n v="0"/>
    <n v="1"/>
  </r>
  <r>
    <s v="043.515.558/0001-12"/>
    <x v="177"/>
    <s v="INCLUSAO  ANOT.INADIMPLENCIA"/>
    <d v="2025-04-29T00:00:00"/>
    <x v="12"/>
    <x v="13"/>
    <x v="12"/>
    <x v="177"/>
    <n v="0"/>
    <n v="1"/>
  </r>
  <r>
    <s v="044.126.379/0001-56"/>
    <x v="188"/>
    <s v="INCLUSAO  ANOT.INADIMPLENCIA"/>
    <d v="2025-04-29T00:00:00"/>
    <x v="1"/>
    <x v="13"/>
    <x v="1"/>
    <x v="188"/>
    <n v="0"/>
    <n v="1"/>
  </r>
  <r>
    <s v="049.344.344/0001-07"/>
    <x v="194"/>
    <s v="INCLUSAO  ANOT.INADIMPLENCIA"/>
    <d v="2025-04-29T00:00:00"/>
    <x v="11"/>
    <x v="13"/>
    <x v="11"/>
    <x v="194"/>
    <n v="0"/>
    <n v="1"/>
  </r>
  <r>
    <s v="092.279.363/0001-26"/>
    <x v="197"/>
    <s v="INCLUSAO  ANOT.INADIMPLENCIA"/>
    <d v="2025-04-29T00:00:00"/>
    <x v="6"/>
    <x v="13"/>
    <x v="6"/>
    <x v="197"/>
    <n v="0"/>
    <n v="1"/>
  </r>
  <r>
    <s v="012.520.791/0001-60"/>
    <x v="4"/>
    <s v="INCLUSAO  ANOT.INADIMPLENCIA"/>
    <d v="2025-04-30T00:00:00"/>
    <x v="1"/>
    <x v="13"/>
    <x v="1"/>
    <x v="4"/>
    <n v="0"/>
    <n v="1"/>
  </r>
  <r>
    <s v="016.757.535/0001-41"/>
    <x v="29"/>
    <s v="EXCLUSAO  ANOT.INADIMPLENCIA"/>
    <d v="2025-04-30T00:00:00"/>
    <x v="14"/>
    <x v="13"/>
    <x v="14"/>
    <x v="29"/>
    <n v="1"/>
    <n v="0"/>
  </r>
  <r>
    <s v="005.363.690/0001-67"/>
    <x v="91"/>
    <s v="EXCLUSAO  ANOT.INADIMPLENCIA"/>
    <d v="2025-04-30T00:00:00"/>
    <x v="15"/>
    <x v="13"/>
    <x v="15"/>
    <x v="91"/>
    <n v="1"/>
    <n v="0"/>
  </r>
  <r>
    <s v="007.561.436/0001-07"/>
    <x v="34"/>
    <s v="EXCLUSAO  ANOT.INADIMPLENCIA"/>
    <d v="2025-04-30T00:00:00"/>
    <x v="15"/>
    <x v="13"/>
    <x v="15"/>
    <x v="34"/>
    <n v="1"/>
    <n v="0"/>
  </r>
  <r>
    <s v="024.331.138/0001-31"/>
    <x v="88"/>
    <s v="INCLUSAO  ANOT.INADIMPLENCIA"/>
    <d v="2025-04-30T00:00:00"/>
    <x v="15"/>
    <x v="13"/>
    <x v="15"/>
    <x v="88"/>
    <n v="0"/>
    <n v="1"/>
  </r>
  <r>
    <s v="035.679.705/0001-61"/>
    <x v="172"/>
    <s v="INCL/EXCL ANOT.INADIMPLENCIA"/>
    <d v="2025-04-30T00:00:00"/>
    <x v="6"/>
    <x v="13"/>
    <x v="6"/>
    <x v="172"/>
    <n v="0"/>
    <n v="0"/>
  </r>
  <r>
    <s v="045.452.509/0001-03"/>
    <x v="173"/>
    <s v="INCLUSAO  ANOT.INADIMPLENCIA"/>
    <d v="2025-04-30T00:00:00"/>
    <x v="6"/>
    <x v="13"/>
    <x v="6"/>
    <x v="173"/>
    <n v="0"/>
    <n v="1"/>
  </r>
  <r>
    <s v="025.383.640/0001-59"/>
    <x v="159"/>
    <s v="EXCLUSAO  ANOT.INADIMPLENCIA"/>
    <d v="2025-04-30T00:00:00"/>
    <x v="7"/>
    <x v="13"/>
    <x v="7"/>
    <x v="159"/>
    <n v="1"/>
    <n v="0"/>
  </r>
  <r>
    <s v="037.828.375/0001-54"/>
    <x v="39"/>
    <s v="EXCLUSAO  ANOT.INADIMPLENCIA"/>
    <d v="2025-04-30T00:00:00"/>
    <x v="7"/>
    <x v="13"/>
    <x v="7"/>
    <x v="39"/>
    <n v="1"/>
    <n v="0"/>
  </r>
  <r>
    <s v="023.605.544/0001-82"/>
    <x v="21"/>
    <s v="INCLUSAO  ANOT.INADIMPLENCIA"/>
    <d v="2025-04-30T00:00:00"/>
    <x v="11"/>
    <x v="13"/>
    <x v="11"/>
    <x v="21"/>
    <n v="0"/>
    <n v="1"/>
  </r>
  <r>
    <s v="028.650.970/0001-51"/>
    <x v="167"/>
    <s v="INCLUSAO  ANOT.INADIMPLENCIA"/>
    <d v="2025-04-30T00:00:00"/>
    <x v="16"/>
    <x v="13"/>
    <x v="16"/>
    <x v="167"/>
    <n v="0"/>
    <n v="1"/>
  </r>
  <r>
    <s v="005.774.638/0001-01"/>
    <x v="198"/>
    <s v="EXCLUSAO  ANOT.INADIMPLENCIA"/>
    <d v="2025-04-30T00:00:00"/>
    <x v="30"/>
    <x v="13"/>
    <x v="30"/>
    <x v="198"/>
    <n v="1"/>
    <n v="0"/>
  </r>
  <r>
    <s v="027.180.131/0001-54"/>
    <x v="189"/>
    <s v="EXCLUSAO  ANOT.INADIMPLENCIA"/>
    <d v="2025-04-30T00:00:00"/>
    <x v="20"/>
    <x v="13"/>
    <x v="20"/>
    <x v="189"/>
    <n v="1"/>
    <n v="0"/>
  </r>
  <r>
    <s v="028.511.223/0001-32"/>
    <x v="190"/>
    <s v="INCL/EXCL ANOT.INADIMPLENCIA"/>
    <d v="2025-04-30T00:00:00"/>
    <x v="20"/>
    <x v="13"/>
    <x v="20"/>
    <x v="190"/>
    <n v="0"/>
    <n v="0"/>
  </r>
  <r>
    <s v="032.213.847/0001-40"/>
    <x v="199"/>
    <s v="INCLUSAO  ANOT.INADIMPLENCIA"/>
    <d v="2025-04-30T00:00:00"/>
    <x v="11"/>
    <x v="13"/>
    <x v="11"/>
    <x v="199"/>
    <n v="0"/>
    <n v="1"/>
  </r>
  <r>
    <s v="041.388.946/0001-54"/>
    <x v="176"/>
    <s v="INCLUSAO  ANOT.INADIMPLENCIA"/>
    <d v="2025-04-30T00:00:00"/>
    <x v="1"/>
    <x v="13"/>
    <x v="1"/>
    <x v="176"/>
    <n v="0"/>
    <n v="1"/>
  </r>
  <r>
    <s v="092.279.363/0001-26"/>
    <x v="197"/>
    <s v="EXCLUSAO  ANOT.INADIMPLENCIA"/>
    <d v="2025-04-30T00:00:00"/>
    <x v="6"/>
    <x v="13"/>
    <x v="6"/>
    <x v="197"/>
    <n v="1"/>
    <n v="0"/>
  </r>
  <r>
    <s v="013.749.701/0001-70"/>
    <x v="196"/>
    <s v="ALTERACAO QUADRO SOCIAL"/>
    <d v="2025-05-01T00:00:00"/>
    <x v="8"/>
    <x v="14"/>
    <x v="8"/>
    <x v="196"/>
    <n v="0"/>
    <n v="0"/>
  </r>
  <r>
    <s v="013.749.701/0001-70"/>
    <x v="196"/>
    <s v="ALTERACAO ADMINISTRADORES"/>
    <d v="2025-05-01T00:00:00"/>
    <x v="8"/>
    <x v="14"/>
    <x v="8"/>
    <x v="196"/>
    <n v="0"/>
    <n v="0"/>
  </r>
  <r>
    <s v="023.605.544/0001-82"/>
    <x v="21"/>
    <s v="ALTERACAO ADMINISTRADORES"/>
    <d v="2025-05-01T00:00:00"/>
    <x v="11"/>
    <x v="14"/>
    <x v="11"/>
    <x v="21"/>
    <n v="0"/>
    <n v="0"/>
  </r>
  <r>
    <s v="001.376.967/0001-35"/>
    <x v="193"/>
    <s v="INCLUSAO  ANOT.INADIMPLENCIA"/>
    <d v="2025-05-03T00:00:00"/>
    <x v="29"/>
    <x v="14"/>
    <x v="29"/>
    <x v="193"/>
    <n v="0"/>
    <n v="1"/>
  </r>
  <r>
    <s v="003.590.360/0001-89"/>
    <x v="3"/>
    <s v="EXCLUSAO  ANOT.INADIMPLENCIA"/>
    <d v="2025-05-03T00:00:00"/>
    <x v="1"/>
    <x v="14"/>
    <x v="1"/>
    <x v="3"/>
    <n v="1"/>
    <n v="0"/>
  </r>
  <r>
    <s v="007.102.721/0001-51"/>
    <x v="44"/>
    <s v="EXCLUSAO  ANOT.INADIMPLENCIA"/>
    <d v="2025-05-03T00:00:00"/>
    <x v="15"/>
    <x v="14"/>
    <x v="15"/>
    <x v="44"/>
    <n v="1"/>
    <n v="0"/>
  </r>
  <r>
    <s v="012.520.791/0001-60"/>
    <x v="4"/>
    <s v="INCLUSAO  ANOT.INADIMPLENCIA"/>
    <d v="2025-05-03T00:00:00"/>
    <x v="1"/>
    <x v="14"/>
    <x v="1"/>
    <x v="4"/>
    <n v="0"/>
    <n v="1"/>
  </r>
  <r>
    <s v="013.323.483/0001-07"/>
    <x v="200"/>
    <s v="EXCLUSAO  ANOT.INADIMPLENCIA"/>
    <d v="2025-05-03T00:00:00"/>
    <x v="30"/>
    <x v="14"/>
    <x v="30"/>
    <x v="200"/>
    <n v="1"/>
    <n v="0"/>
  </r>
  <r>
    <s v="014.090.422/0001-00"/>
    <x v="201"/>
    <s v="ALTERACAO ADMINISTRADORES"/>
    <d v="2025-05-03T00:00:00"/>
    <x v="25"/>
    <x v="14"/>
    <x v="25"/>
    <x v="201"/>
    <n v="0"/>
    <n v="0"/>
  </r>
  <r>
    <s v="016.757.535/0001-41"/>
    <x v="29"/>
    <s v="EXCLUSAO  ANOT.INADIMPLENCIA"/>
    <d v="2025-05-03T00:00:00"/>
    <x v="14"/>
    <x v="14"/>
    <x v="14"/>
    <x v="29"/>
    <n v="1"/>
    <n v="0"/>
  </r>
  <r>
    <s v="020.024.081/0001-77"/>
    <x v="178"/>
    <s v="EXCLUSAO  ANOT.INADIMPLENCIA"/>
    <d v="2025-05-03T00:00:00"/>
    <x v="16"/>
    <x v="14"/>
    <x v="16"/>
    <x v="178"/>
    <n v="1"/>
    <n v="0"/>
  </r>
  <r>
    <s v="020.066.300/0001-80"/>
    <x v="2"/>
    <s v="INCLUSAO  ANOT.INADIMPLENCIA"/>
    <d v="2025-05-03T00:00:00"/>
    <x v="1"/>
    <x v="14"/>
    <x v="1"/>
    <x v="2"/>
    <n v="0"/>
    <n v="1"/>
  </r>
  <r>
    <s v="021.420.856/0001-96"/>
    <x v="130"/>
    <s v="EXCLUSAO  ANOT.INADIMPLENCIA"/>
    <d v="2025-05-03T00:00:00"/>
    <x v="24"/>
    <x v="14"/>
    <x v="24"/>
    <x v="130"/>
    <n v="1"/>
    <n v="0"/>
  </r>
  <r>
    <s v="021.734.108/0001-88"/>
    <x v="41"/>
    <s v="INCLUSAO  ANOT.INADIMPLENCIA"/>
    <d v="2025-05-03T00:00:00"/>
    <x v="13"/>
    <x v="14"/>
    <x v="13"/>
    <x v="41"/>
    <n v="0"/>
    <n v="1"/>
  </r>
  <r>
    <s v="023.605.544/0001-82"/>
    <x v="21"/>
    <s v="INCLUSAO  ANOT.INADIMPLENCIA"/>
    <d v="2025-05-03T00:00:00"/>
    <x v="11"/>
    <x v="14"/>
    <x v="11"/>
    <x v="21"/>
    <n v="0"/>
    <n v="1"/>
  </r>
  <r>
    <s v="023.909.177/0001-00"/>
    <x v="103"/>
    <s v="INCLUSAO  ANOT.INADIMPLENCIA"/>
    <d v="2025-05-03T00:00:00"/>
    <x v="9"/>
    <x v="14"/>
    <x v="9"/>
    <x v="103"/>
    <n v="0"/>
    <n v="1"/>
  </r>
  <r>
    <s v="028.393.466/0001-13"/>
    <x v="168"/>
    <s v="EXCLUSAO  ANOT.INADIMPLENCIA"/>
    <d v="2025-05-03T00:00:00"/>
    <x v="15"/>
    <x v="14"/>
    <x v="15"/>
    <x v="168"/>
    <n v="1"/>
    <n v="0"/>
  </r>
  <r>
    <s v="028.511.223/0001-32"/>
    <x v="190"/>
    <s v="INCL/EXCL ANOT.INADIMPLENCIA"/>
    <d v="2025-05-03T00:00:00"/>
    <x v="20"/>
    <x v="14"/>
    <x v="20"/>
    <x v="190"/>
    <n v="0"/>
    <n v="0"/>
  </r>
  <r>
    <s v="028.650.970/0001-51"/>
    <x v="167"/>
    <s v="INCL/EXCL ANOT.INADIMPLENCIA"/>
    <d v="2025-05-03T00:00:00"/>
    <x v="16"/>
    <x v="14"/>
    <x v="16"/>
    <x v="167"/>
    <n v="0"/>
    <n v="0"/>
  </r>
  <r>
    <s v="035.679.705/0001-61"/>
    <x v="172"/>
    <s v="EXCLUSAO  ANOT.INADIMPLENCIA"/>
    <d v="2025-05-03T00:00:00"/>
    <x v="6"/>
    <x v="14"/>
    <x v="6"/>
    <x v="172"/>
    <n v="1"/>
    <n v="0"/>
  </r>
  <r>
    <s v="037.599.774/0001-90"/>
    <x v="202"/>
    <s v="INCLUSAO  ANOT.INADIMPLENCIA"/>
    <d v="2025-05-03T00:00:00"/>
    <x v="30"/>
    <x v="14"/>
    <x v="30"/>
    <x v="202"/>
    <n v="0"/>
    <n v="1"/>
  </r>
  <r>
    <s v="038.405.720/0001-00"/>
    <x v="203"/>
    <s v="EXCLUSAO  ANOT.INADIMPLENCIA"/>
    <d v="2025-05-03T00:00:00"/>
    <x v="20"/>
    <x v="14"/>
    <x v="20"/>
    <x v="203"/>
    <n v="1"/>
    <n v="0"/>
  </r>
  <r>
    <s v="043.515.558/0001-12"/>
    <x v="177"/>
    <s v="EXCLUSAO  ANOT.INADIMPLENCIA"/>
    <d v="2025-05-03T00:00:00"/>
    <x v="12"/>
    <x v="14"/>
    <x v="12"/>
    <x v="177"/>
    <n v="1"/>
    <n v="0"/>
  </r>
  <r>
    <s v="044.126.379/0001-56"/>
    <x v="188"/>
    <s v="INCL/EXCL ANOT.INADIMPLENCIA"/>
    <d v="2025-05-03T00:00:00"/>
    <x v="1"/>
    <x v="14"/>
    <x v="1"/>
    <x v="188"/>
    <n v="0"/>
    <n v="0"/>
  </r>
  <r>
    <s v="044.637.793/0001-20"/>
    <x v="147"/>
    <s v="INCLUSAO  ANOT.INADIMPLENCIA"/>
    <d v="2025-05-03T00:00:00"/>
    <x v="0"/>
    <x v="14"/>
    <x v="0"/>
    <x v="147"/>
    <n v="0"/>
    <n v="1"/>
  </r>
  <r>
    <s v="050.901.671/0001-00"/>
    <x v="127"/>
    <s v="EXCLUSAO  ANOT.INADIMPLENCIA"/>
    <d v="2025-05-03T00:00:00"/>
    <x v="16"/>
    <x v="14"/>
    <x v="16"/>
    <x v="127"/>
    <n v="1"/>
    <n v="0"/>
  </r>
  <r>
    <s v="000.803.044/0001-50"/>
    <x v="45"/>
    <s v="EXCLUSAO  ANOT.INADIMPLENCIA"/>
    <d v="2025-05-05T00:00:00"/>
    <x v="5"/>
    <x v="14"/>
    <x v="5"/>
    <x v="45"/>
    <n v="1"/>
    <n v="0"/>
  </r>
  <r>
    <s v="005.363.690/0001-67"/>
    <x v="91"/>
    <s v="EXCLUSAO  ANOT.INADIMPLENCIA"/>
    <d v="2025-05-05T00:00:00"/>
    <x v="15"/>
    <x v="14"/>
    <x v="15"/>
    <x v="91"/>
    <n v="1"/>
    <n v="0"/>
  </r>
  <r>
    <s v="005.997.418/0001-39"/>
    <x v="166"/>
    <s v="EXCLUSAO  ANOT.INADIMPLENCIA"/>
    <d v="2025-05-05T00:00:00"/>
    <x v="8"/>
    <x v="14"/>
    <x v="8"/>
    <x v="166"/>
    <n v="1"/>
    <n v="0"/>
  </r>
  <r>
    <s v="007.102.721/0001-51"/>
    <x v="44"/>
    <s v="EXCLUSAO  ANOT.INADIMPLENCIA"/>
    <d v="2025-05-05T00:00:00"/>
    <x v="15"/>
    <x v="14"/>
    <x v="15"/>
    <x v="44"/>
    <n v="1"/>
    <n v="0"/>
  </r>
  <r>
    <s v="007.561.436/0001-07"/>
    <x v="34"/>
    <s v="EXCLUSAO  ANOT.INADIMPLENCIA"/>
    <d v="2025-05-05T00:00:00"/>
    <x v="15"/>
    <x v="14"/>
    <x v="15"/>
    <x v="34"/>
    <n v="1"/>
    <n v="0"/>
  </r>
  <r>
    <s v="012.520.791/0001-60"/>
    <x v="4"/>
    <s v="INCLUSAO  ANOT.INADIMPLENCIA"/>
    <d v="2025-05-05T00:00:00"/>
    <x v="1"/>
    <x v="14"/>
    <x v="1"/>
    <x v="4"/>
    <n v="0"/>
    <n v="1"/>
  </r>
  <r>
    <s v="013.323.483/0001-07"/>
    <x v="200"/>
    <s v="EXCLUSAO  ANOT.INADIMPLENCIA"/>
    <d v="2025-05-05T00:00:00"/>
    <x v="30"/>
    <x v="14"/>
    <x v="30"/>
    <x v="200"/>
    <n v="1"/>
    <n v="0"/>
  </r>
  <r>
    <s v="020.024.081/0001-77"/>
    <x v="178"/>
    <s v="EXCLUSAO  ANOT.INADIMPLENCIA"/>
    <d v="2025-05-05T00:00:00"/>
    <x v="16"/>
    <x v="14"/>
    <x v="16"/>
    <x v="178"/>
    <n v="1"/>
    <n v="0"/>
  </r>
  <r>
    <s v="022.998.836/0001-60"/>
    <x v="24"/>
    <s v="EXCLUSAO  ANOT.INADIMPLENCIA"/>
    <d v="2025-05-05T00:00:00"/>
    <x v="0"/>
    <x v="14"/>
    <x v="0"/>
    <x v="24"/>
    <n v="1"/>
    <n v="0"/>
  </r>
  <r>
    <s v="024.331.138/0001-31"/>
    <x v="88"/>
    <s v="INCLUSAO  ANOT.INADIMPLENCIA"/>
    <d v="2025-05-05T00:00:00"/>
    <x v="15"/>
    <x v="14"/>
    <x v="15"/>
    <x v="88"/>
    <n v="0"/>
    <n v="1"/>
  </r>
  <r>
    <s v="028.477.685/0001-80"/>
    <x v="96"/>
    <s v="EXCLUSAO  ANOT.INADIMPLENCIA"/>
    <d v="2025-05-05T00:00:00"/>
    <x v="7"/>
    <x v="14"/>
    <x v="7"/>
    <x v="96"/>
    <n v="1"/>
    <n v="0"/>
  </r>
  <r>
    <s v="028.511.223/0001-32"/>
    <x v="190"/>
    <s v="INCL/EXCL ANOT.INADIMPLENCIA"/>
    <d v="2025-05-05T00:00:00"/>
    <x v="20"/>
    <x v="14"/>
    <x v="20"/>
    <x v="190"/>
    <n v="0"/>
    <n v="0"/>
  </r>
  <r>
    <s v="044.470.678/0001-03"/>
    <x v="204"/>
    <s v="EXCLUSAO  ANOT.INADIMPLENCIA"/>
    <d v="2025-05-05T00:00:00"/>
    <x v="20"/>
    <x v="14"/>
    <x v="20"/>
    <x v="204"/>
    <n v="1"/>
    <n v="0"/>
  </r>
  <r>
    <s v="046.140.062/0001-08"/>
    <x v="69"/>
    <s v="EXCLUSAO  ANOT.INADIMPLENCIA"/>
    <d v="2025-05-05T00:00:00"/>
    <x v="6"/>
    <x v="14"/>
    <x v="6"/>
    <x v="69"/>
    <n v="1"/>
    <n v="0"/>
  </r>
  <r>
    <s v="046.674.060/0001-90"/>
    <x v="141"/>
    <s v="EXCLUSAO  ANOT.INADIMPLENCIA"/>
    <d v="2025-05-05T00:00:00"/>
    <x v="16"/>
    <x v="14"/>
    <x v="16"/>
    <x v="141"/>
    <n v="1"/>
    <n v="0"/>
  </r>
  <r>
    <s v="093.274.124/0001-46"/>
    <x v="83"/>
    <s v="EXCLUSAO  ANOT.INADIMPLENCIA"/>
    <d v="2025-05-05T00:00:00"/>
    <x v="6"/>
    <x v="14"/>
    <x v="6"/>
    <x v="83"/>
    <n v="1"/>
    <n v="0"/>
  </r>
  <r>
    <s v="000.803.044/0001-50"/>
    <x v="45"/>
    <s v="EXCLUSAO  ANOT.INADIMPLENCIA"/>
    <d v="2025-05-06T00:00:00"/>
    <x v="5"/>
    <x v="14"/>
    <x v="5"/>
    <x v="45"/>
    <n v="1"/>
    <n v="0"/>
  </r>
  <r>
    <s v="007.102.721/0001-51"/>
    <x v="44"/>
    <s v="INCL/EXCL ANOT.INADIMPLENCIA"/>
    <d v="2025-05-06T00:00:00"/>
    <x v="15"/>
    <x v="14"/>
    <x v="15"/>
    <x v="44"/>
    <n v="0"/>
    <n v="0"/>
  </r>
  <r>
    <s v="008.250.872/0001-10"/>
    <x v="122"/>
    <s v="INCLUSAO  ANOT.INADIMPLENCIA"/>
    <d v="2025-05-06T00:00:00"/>
    <x v="8"/>
    <x v="14"/>
    <x v="8"/>
    <x v="122"/>
    <n v="0"/>
    <n v="1"/>
  </r>
  <r>
    <s v="012.520.791/0001-60"/>
    <x v="4"/>
    <s v="INCLUSAO  ANOT.INADIMPLENCIA"/>
    <d v="2025-05-06T00:00:00"/>
    <x v="1"/>
    <x v="14"/>
    <x v="1"/>
    <x v="4"/>
    <n v="0"/>
    <n v="1"/>
  </r>
  <r>
    <s v="016.757.535/0001-41"/>
    <x v="29"/>
    <s v="EXCLUSAO  ANOT.INADIMPLENCIA"/>
    <d v="2025-05-06T00:00:00"/>
    <x v="14"/>
    <x v="14"/>
    <x v="14"/>
    <x v="29"/>
    <n v="1"/>
    <n v="0"/>
  </r>
  <r>
    <s v="018.868.117/0001-57"/>
    <x v="164"/>
    <s v="INCLUSAO  ANOT.INADIMPLENCIA"/>
    <d v="2025-05-06T00:00:00"/>
    <x v="7"/>
    <x v="14"/>
    <x v="7"/>
    <x v="164"/>
    <n v="0"/>
    <n v="1"/>
  </r>
  <r>
    <s v="019.450.138/0001-10"/>
    <x v="71"/>
    <s v="EXCLUSAO  ANOT.INADIMPLENCIA"/>
    <d v="2025-05-06T00:00:00"/>
    <x v="22"/>
    <x v="14"/>
    <x v="22"/>
    <x v="71"/>
    <n v="1"/>
    <n v="0"/>
  </r>
  <r>
    <s v="020.024.081/0001-77"/>
    <x v="178"/>
    <s v="EXCLUSAO  ANOT.INADIMPLENCIA"/>
    <d v="2025-05-06T00:00:00"/>
    <x v="16"/>
    <x v="14"/>
    <x v="16"/>
    <x v="178"/>
    <n v="1"/>
    <n v="0"/>
  </r>
  <r>
    <s v="021.420.856/0001-96"/>
    <x v="130"/>
    <s v="INCL/EXCL ANOT.INADIMPLENCIA"/>
    <d v="2025-05-06T00:00:00"/>
    <x v="24"/>
    <x v="14"/>
    <x v="24"/>
    <x v="130"/>
    <n v="0"/>
    <n v="0"/>
  </r>
  <r>
    <s v="024.331.138/0001-31"/>
    <x v="88"/>
    <s v="INCLUSAO  ANOT.INADIMPLENCIA"/>
    <d v="2025-05-06T00:00:00"/>
    <x v="15"/>
    <x v="14"/>
    <x v="15"/>
    <x v="88"/>
    <n v="0"/>
    <n v="1"/>
  </r>
  <r>
    <s v="028.393.466/0001-13"/>
    <x v="168"/>
    <s v="INCLUSAO  ANOT.INADIMPLENCIA"/>
    <d v="2025-05-06T00:00:00"/>
    <x v="15"/>
    <x v="14"/>
    <x v="15"/>
    <x v="168"/>
    <n v="0"/>
    <n v="1"/>
  </r>
  <r>
    <s v="028.511.223/0001-32"/>
    <x v="190"/>
    <s v="INCL/EXCL ANOT.INADIMPLENCIA"/>
    <d v="2025-05-06T00:00:00"/>
    <x v="20"/>
    <x v="14"/>
    <x v="20"/>
    <x v="190"/>
    <n v="0"/>
    <n v="0"/>
  </r>
  <r>
    <s v="035.165.246/0001-06"/>
    <x v="105"/>
    <s v="INCLUSAO  ANOT.INADIMPLENCIA"/>
    <d v="2025-05-06T00:00:00"/>
    <x v="4"/>
    <x v="14"/>
    <x v="4"/>
    <x v="105"/>
    <n v="0"/>
    <n v="1"/>
  </r>
  <r>
    <s v="035.679.705/0001-61"/>
    <x v="172"/>
    <s v="INCLUSAO  ANOT.INADIMPLENCIA"/>
    <d v="2025-05-06T00:00:00"/>
    <x v="6"/>
    <x v="14"/>
    <x v="6"/>
    <x v="172"/>
    <n v="0"/>
    <n v="1"/>
  </r>
  <r>
    <s v="037.828.375/0001-54"/>
    <x v="39"/>
    <s v="INCLUSAO  ANOT.INADIMPLENCIA"/>
    <d v="2025-05-06T00:00:00"/>
    <x v="7"/>
    <x v="14"/>
    <x v="7"/>
    <x v="39"/>
    <n v="0"/>
    <n v="1"/>
  </r>
  <r>
    <s v="043.515.558/0001-12"/>
    <x v="177"/>
    <s v="INCLUSAO  ANOT.INADIMPLENCIA"/>
    <d v="2025-05-06T00:00:00"/>
    <x v="12"/>
    <x v="14"/>
    <x v="12"/>
    <x v="177"/>
    <n v="0"/>
    <n v="1"/>
  </r>
  <r>
    <s v="045.452.509/0001-03"/>
    <x v="173"/>
    <s v="INCLUSAO  ANOT.INADIMPLENCIA"/>
    <d v="2025-05-06T00:00:00"/>
    <x v="6"/>
    <x v="14"/>
    <x v="6"/>
    <x v="173"/>
    <n v="0"/>
    <n v="1"/>
  </r>
  <r>
    <s v="055.979.736/0001-45"/>
    <x v="64"/>
    <s v="INCLUSAO  ANOT.INADIMPLENCIA"/>
    <d v="2025-05-06T00:00:00"/>
    <x v="20"/>
    <x v="14"/>
    <x v="20"/>
    <x v="64"/>
    <n v="0"/>
    <n v="1"/>
  </r>
  <r>
    <s v="056.146.561/0001-58"/>
    <x v="205"/>
    <s v="INCLUSAO  ANOT.INADIMPLENCIA"/>
    <d v="2025-05-06T00:00:00"/>
    <x v="1"/>
    <x v="14"/>
    <x v="1"/>
    <x v="205"/>
    <n v="0"/>
    <n v="1"/>
  </r>
  <r>
    <s v="004.126.524/0001-84"/>
    <x v="49"/>
    <s v="INCLUSAO  ANOT.INADIMPLENCIA"/>
    <d v="2025-05-07T00:00:00"/>
    <x v="13"/>
    <x v="14"/>
    <x v="13"/>
    <x v="49"/>
    <n v="0"/>
    <n v="1"/>
  </r>
  <r>
    <s v="007.102.721/0001-51"/>
    <x v="44"/>
    <s v="INCLUSAO  ANOT.INADIMPLENCIA"/>
    <d v="2025-05-07T00:00:00"/>
    <x v="15"/>
    <x v="14"/>
    <x v="15"/>
    <x v="44"/>
    <n v="0"/>
    <n v="1"/>
  </r>
  <r>
    <s v="012.520.791/0001-60"/>
    <x v="4"/>
    <s v="INCLUSAO  ANOT.INADIMPLENCIA"/>
    <d v="2025-05-07T00:00:00"/>
    <x v="1"/>
    <x v="14"/>
    <x v="1"/>
    <x v="4"/>
    <n v="0"/>
    <n v="1"/>
  </r>
  <r>
    <s v="016.772.642/0001-49"/>
    <x v="70"/>
    <s v="EXCLUSAO  ANOT.INADIMPLENCIA"/>
    <d v="2025-05-07T00:00:00"/>
    <x v="0"/>
    <x v="14"/>
    <x v="0"/>
    <x v="70"/>
    <n v="1"/>
    <n v="0"/>
  </r>
  <r>
    <s v="018.868.117/0001-57"/>
    <x v="164"/>
    <s v="INCLUSAO  ANOT.INADIMPLENCIA"/>
    <d v="2025-05-07T00:00:00"/>
    <x v="7"/>
    <x v="14"/>
    <x v="7"/>
    <x v="164"/>
    <n v="0"/>
    <n v="1"/>
  </r>
  <r>
    <s v="020.066.300/0001-80"/>
    <x v="2"/>
    <s v="INCLUSAO  ANOT.INADIMPLENCIA"/>
    <d v="2025-05-07T00:00:00"/>
    <x v="1"/>
    <x v="14"/>
    <x v="1"/>
    <x v="2"/>
    <n v="0"/>
    <n v="1"/>
  </r>
  <r>
    <s v="021.382.943/0001-04"/>
    <x v="206"/>
    <s v="INCLUSAO  ANOT.INADIMPLENCIA"/>
    <d v="2025-05-07T00:00:00"/>
    <x v="0"/>
    <x v="14"/>
    <x v="0"/>
    <x v="206"/>
    <n v="0"/>
    <n v="1"/>
  </r>
  <r>
    <s v="021.420.856/0001-96"/>
    <x v="130"/>
    <s v="INCLUSAO  ANOT.INADIMPLENCIA"/>
    <d v="2025-05-07T00:00:00"/>
    <x v="24"/>
    <x v="14"/>
    <x v="24"/>
    <x v="130"/>
    <n v="0"/>
    <n v="1"/>
  </r>
  <r>
    <s v="023.605.544/0001-82"/>
    <x v="21"/>
    <s v="INCLUSAO  ANOT.INADIMPLENCIA"/>
    <d v="2025-05-07T00:00:00"/>
    <x v="11"/>
    <x v="14"/>
    <x v="11"/>
    <x v="21"/>
    <n v="0"/>
    <n v="1"/>
  </r>
  <r>
    <s v="023.909.177/0001-00"/>
    <x v="103"/>
    <s v="INCLUSAO  ANOT.INADIMPLENCIA"/>
    <d v="2025-05-07T00:00:00"/>
    <x v="9"/>
    <x v="14"/>
    <x v="9"/>
    <x v="103"/>
    <n v="0"/>
    <n v="1"/>
  </r>
  <r>
    <s v="025.825.654/0001-85"/>
    <x v="7"/>
    <s v="INCLUSAO  ANOT.INADIMPLENCIA"/>
    <d v="2025-05-07T00:00:00"/>
    <x v="4"/>
    <x v="14"/>
    <x v="4"/>
    <x v="7"/>
    <n v="0"/>
    <n v="1"/>
  </r>
  <r>
    <s v="027.180.131/0001-54"/>
    <x v="189"/>
    <s v="EXCLUSAO  ANOT.INADIMPLENCIA"/>
    <d v="2025-05-07T00:00:00"/>
    <x v="20"/>
    <x v="14"/>
    <x v="20"/>
    <x v="189"/>
    <n v="1"/>
    <n v="0"/>
  </r>
  <r>
    <s v="028.393.466/0001-13"/>
    <x v="168"/>
    <s v="INCL/EXCL ANOT.INADIMPLENCIA"/>
    <d v="2025-05-07T00:00:00"/>
    <x v="15"/>
    <x v="14"/>
    <x v="15"/>
    <x v="168"/>
    <n v="0"/>
    <n v="0"/>
  </r>
  <r>
    <s v="028.511.223/0001-32"/>
    <x v="190"/>
    <s v="INCL/EXCL ANOT.INADIMPLENCIA"/>
    <d v="2025-05-07T00:00:00"/>
    <x v="20"/>
    <x v="14"/>
    <x v="20"/>
    <x v="190"/>
    <n v="0"/>
    <n v="0"/>
  </r>
  <r>
    <s v="028.650.970/0001-51"/>
    <x v="167"/>
    <s v="INCLUSAO  ANOT.INADIMPLENCIA"/>
    <d v="2025-05-07T00:00:00"/>
    <x v="16"/>
    <x v="14"/>
    <x v="16"/>
    <x v="167"/>
    <n v="0"/>
    <n v="1"/>
  </r>
  <r>
    <s v="032.213.847/0001-40"/>
    <x v="199"/>
    <s v="EXCLUSAO  ANOT.INADIMPLENCIA"/>
    <d v="2025-05-07T00:00:00"/>
    <x v="11"/>
    <x v="14"/>
    <x v="11"/>
    <x v="199"/>
    <n v="1"/>
    <n v="0"/>
  </r>
  <r>
    <s v="055.466.241/0001-12"/>
    <x v="182"/>
    <s v="INCLUSAO  ANOT.INADIMPLENCIA"/>
    <d v="2025-05-07T00:00:00"/>
    <x v="28"/>
    <x v="14"/>
    <x v="28"/>
    <x v="182"/>
    <n v="0"/>
    <n v="1"/>
  </r>
  <r>
    <s v="057.698.087/0001-30"/>
    <x v="207"/>
    <s v="INCLUSAO  ANOT.INADIMPLENCIA"/>
    <d v="2025-05-07T00:00:00"/>
    <x v="1"/>
    <x v="14"/>
    <x v="1"/>
    <x v="207"/>
    <n v="0"/>
    <n v="1"/>
  </r>
  <r>
    <s v="086.490.885/0001-70"/>
    <x v="208"/>
    <s v="INCLUSAO  ANOT.INADIMPLENCIA"/>
    <d v="2025-05-07T00:00:00"/>
    <x v="8"/>
    <x v="14"/>
    <x v="8"/>
    <x v="208"/>
    <n v="0"/>
    <n v="1"/>
  </r>
  <r>
    <s v="007.102.721/0001-51"/>
    <x v="44"/>
    <s v="EXCLUSAO  ANOT.INADIMPLENCIA"/>
    <d v="2025-05-08T00:00:00"/>
    <x v="15"/>
    <x v="14"/>
    <x v="15"/>
    <x v="44"/>
    <n v="1"/>
    <n v="0"/>
  </r>
  <r>
    <s v="016.772.642/0001-49"/>
    <x v="70"/>
    <s v="INCLUSAO  ANOT.INADIMPLENCIA"/>
    <d v="2025-05-08T00:00:00"/>
    <x v="0"/>
    <x v="14"/>
    <x v="0"/>
    <x v="70"/>
    <n v="0"/>
    <n v="1"/>
  </r>
  <r>
    <s v="018.868.117/0001-57"/>
    <x v="164"/>
    <s v="EXCLUSAO  ANOT.INADIMPLENCIA"/>
    <d v="2025-05-08T00:00:00"/>
    <x v="7"/>
    <x v="14"/>
    <x v="7"/>
    <x v="164"/>
    <n v="1"/>
    <n v="0"/>
  </r>
  <r>
    <s v="020.066.300/0001-80"/>
    <x v="2"/>
    <s v="INCLUSAO  ANOT.INADIMPLENCIA"/>
    <d v="2025-05-08T00:00:00"/>
    <x v="1"/>
    <x v="14"/>
    <x v="1"/>
    <x v="2"/>
    <n v="0"/>
    <n v="1"/>
  </r>
  <r>
    <s v="021.382.943/0001-04"/>
    <x v="206"/>
    <s v="INCLUSAO  ANOT.INADIMPLENCIA"/>
    <d v="2025-05-08T00:00:00"/>
    <x v="0"/>
    <x v="14"/>
    <x v="0"/>
    <x v="206"/>
    <n v="0"/>
    <n v="1"/>
  </r>
  <r>
    <s v="021.420.856/0001-96"/>
    <x v="130"/>
    <s v="EXCLUSAO  ANOT.INADIMPLENCIA"/>
    <d v="2025-05-08T00:00:00"/>
    <x v="24"/>
    <x v="14"/>
    <x v="24"/>
    <x v="130"/>
    <n v="1"/>
    <n v="0"/>
  </r>
  <r>
    <s v="028.511.223/0001-32"/>
    <x v="190"/>
    <s v="INCLUSAO  ANOT.INADIMPLENCIA"/>
    <d v="2025-05-08T00:00:00"/>
    <x v="20"/>
    <x v="14"/>
    <x v="20"/>
    <x v="190"/>
    <n v="0"/>
    <n v="1"/>
  </r>
  <r>
    <s v="028.556.973/0001-20"/>
    <x v="119"/>
    <s v="INCLUSAO  ANOT.INADIMPLENCIA"/>
    <d v="2025-05-08T00:00:00"/>
    <x v="1"/>
    <x v="14"/>
    <x v="1"/>
    <x v="119"/>
    <n v="0"/>
    <n v="1"/>
  </r>
  <r>
    <s v="028.650.970/0001-51"/>
    <x v="167"/>
    <s v="INCLUSAO  ANOT.INADIMPLENCIA"/>
    <d v="2025-05-08T00:00:00"/>
    <x v="16"/>
    <x v="14"/>
    <x v="16"/>
    <x v="167"/>
    <n v="0"/>
    <n v="1"/>
  </r>
  <r>
    <s v="048.956.491/0001-75"/>
    <x v="180"/>
    <s v="INCLUSAO  ANOT.INADIMPLENCIA"/>
    <d v="2025-05-08T00:00:00"/>
    <x v="28"/>
    <x v="14"/>
    <x v="28"/>
    <x v="180"/>
    <n v="0"/>
    <n v="1"/>
  </r>
  <r>
    <s v="056.146.561/0001-58"/>
    <x v="205"/>
    <s v="EXCLUSAO  ANOT.INADIMPLENCIA"/>
    <d v="2025-05-08T00:00:00"/>
    <x v="1"/>
    <x v="14"/>
    <x v="1"/>
    <x v="205"/>
    <n v="1"/>
    <n v="0"/>
  </r>
  <r>
    <s v="004.067.472/0001-12"/>
    <x v="160"/>
    <s v="INCLUSAO  ANOT.INADIMPLENCIA"/>
    <d v="2025-05-09T00:00:00"/>
    <x v="11"/>
    <x v="14"/>
    <x v="11"/>
    <x v="160"/>
    <n v="0"/>
    <n v="1"/>
  </r>
  <r>
    <s v="007.561.436/0001-07"/>
    <x v="34"/>
    <s v="EXCLUSAO  ANOT.INADIMPLENCIA"/>
    <d v="2025-05-09T00:00:00"/>
    <x v="15"/>
    <x v="14"/>
    <x v="15"/>
    <x v="34"/>
    <n v="1"/>
    <n v="0"/>
  </r>
  <r>
    <s v="016.772.642/0001-49"/>
    <x v="70"/>
    <s v="EXCLUSAO  ANOT.INADIMPLENCIA"/>
    <d v="2025-05-09T00:00:00"/>
    <x v="0"/>
    <x v="14"/>
    <x v="0"/>
    <x v="70"/>
    <n v="1"/>
    <n v="0"/>
  </r>
  <r>
    <s v="020.024.081/0001-77"/>
    <x v="178"/>
    <s v="INCLUSAO  ANOT.INADIMPLENCIA"/>
    <d v="2025-05-09T00:00:00"/>
    <x v="16"/>
    <x v="14"/>
    <x v="16"/>
    <x v="178"/>
    <n v="0"/>
    <n v="1"/>
  </r>
  <r>
    <s v="020.066.300/0001-80"/>
    <x v="2"/>
    <s v="INCLUSAO  ANOT.INADIMPLENCIA"/>
    <d v="2025-05-09T00:00:00"/>
    <x v="1"/>
    <x v="14"/>
    <x v="1"/>
    <x v="2"/>
    <n v="0"/>
    <n v="1"/>
  </r>
  <r>
    <s v="021.420.856/0001-96"/>
    <x v="130"/>
    <s v="EXCLUSAO  ANOT.INADIMPLENCIA"/>
    <d v="2025-05-09T00:00:00"/>
    <x v="24"/>
    <x v="14"/>
    <x v="24"/>
    <x v="130"/>
    <n v="1"/>
    <n v="0"/>
  </r>
  <r>
    <s v="021.734.108/0001-88"/>
    <x v="41"/>
    <s v="EXCLUSAO  ANOT.INADIMPLENCIA"/>
    <d v="2025-05-09T00:00:00"/>
    <x v="13"/>
    <x v="14"/>
    <x v="13"/>
    <x v="41"/>
    <n v="1"/>
    <n v="0"/>
  </r>
  <r>
    <s v="023.605.544/0001-82"/>
    <x v="21"/>
    <s v="INCLUSAO  ANOT.INADIMPLENCIA"/>
    <d v="2025-05-09T00:00:00"/>
    <x v="11"/>
    <x v="14"/>
    <x v="11"/>
    <x v="21"/>
    <n v="0"/>
    <n v="1"/>
  </r>
  <r>
    <s v="028.477.685/0001-80"/>
    <x v="96"/>
    <s v="EXCLUSAO  ANOT.INADIMPLENCIA"/>
    <d v="2025-05-09T00:00:00"/>
    <x v="7"/>
    <x v="14"/>
    <x v="7"/>
    <x v="96"/>
    <n v="1"/>
    <n v="0"/>
  </r>
  <r>
    <s v="040.582.798/0001-41"/>
    <x v="145"/>
    <s v="EXCLUSAO  ANOT.INADIMPLENCIA"/>
    <d v="2025-05-09T00:00:00"/>
    <x v="20"/>
    <x v="14"/>
    <x v="20"/>
    <x v="145"/>
    <n v="1"/>
    <n v="0"/>
  </r>
  <r>
    <s v="050.164.951/0001-74"/>
    <x v="52"/>
    <s v="EXCLUSAO  ANOT.INADIMPLENCIA"/>
    <d v="2025-05-09T00:00:00"/>
    <x v="0"/>
    <x v="14"/>
    <x v="0"/>
    <x v="52"/>
    <n v="1"/>
    <n v="0"/>
  </r>
  <r>
    <s v="007.102.721/0001-51"/>
    <x v="44"/>
    <s v="INCLUSAO  ANOT.INADIMPLENCIA"/>
    <d v="2025-05-10T00:00:00"/>
    <x v="15"/>
    <x v="14"/>
    <x v="15"/>
    <x v="44"/>
    <n v="0"/>
    <n v="1"/>
  </r>
  <r>
    <s v="045.452.509/0001-03"/>
    <x v="173"/>
    <s v="INCLUSAO  ANOT.INADIMPLENCIA"/>
    <d v="2025-05-10T00:00:00"/>
    <x v="6"/>
    <x v="14"/>
    <x v="6"/>
    <x v="173"/>
    <n v="0"/>
    <n v="1"/>
  </r>
  <r>
    <s v="039.572.608/0001-26"/>
    <x v="209"/>
    <s v="EXCLUSAO  ANOT.INADIMPLENCIA"/>
    <d v="2025-05-10T00:00:00"/>
    <x v="0"/>
    <x v="14"/>
    <x v="0"/>
    <x v="209"/>
    <n v="1"/>
    <n v="0"/>
  </r>
  <r>
    <s v="037.828.375/0001-54"/>
    <x v="39"/>
    <s v="EXCLUSAO  ANOT.INADIMPLENCIA"/>
    <d v="2025-05-10T00:00:00"/>
    <x v="7"/>
    <x v="14"/>
    <x v="7"/>
    <x v="39"/>
    <n v="1"/>
    <n v="0"/>
  </r>
  <r>
    <s v="036.726.274/0001-00"/>
    <x v="134"/>
    <s v="INCLUSAO  ANOT.INADIMPLENCIA"/>
    <d v="2025-05-10T00:00:00"/>
    <x v="1"/>
    <x v="14"/>
    <x v="1"/>
    <x v="134"/>
    <n v="0"/>
    <n v="1"/>
  </r>
  <r>
    <s v="035.679.705/0001-61"/>
    <x v="172"/>
    <s v="INCLUSAO  ANOT.INADIMPLENCIA"/>
    <d v="2025-05-10T00:00:00"/>
    <x v="6"/>
    <x v="14"/>
    <x v="6"/>
    <x v="172"/>
    <n v="0"/>
    <n v="1"/>
  </r>
  <r>
    <s v="034.821.586/0001-77"/>
    <x v="38"/>
    <s v="INCLUSAO  ANOT.INADIMPLENCIA"/>
    <d v="2025-05-10T00:00:00"/>
    <x v="4"/>
    <x v="14"/>
    <x v="4"/>
    <x v="38"/>
    <n v="0"/>
    <n v="1"/>
  </r>
  <r>
    <s v="028.650.970/0001-51"/>
    <x v="167"/>
    <s v="INCLUSAO  ANOT.INADIMPLENCIA"/>
    <d v="2025-05-10T00:00:00"/>
    <x v="16"/>
    <x v="14"/>
    <x v="16"/>
    <x v="167"/>
    <n v="0"/>
    <n v="1"/>
  </r>
  <r>
    <s v="028.556.973/0001-20"/>
    <x v="119"/>
    <s v="EXCLUSAO  ANOT.INADIMPLENCIA"/>
    <d v="2025-05-10T00:00:00"/>
    <x v="1"/>
    <x v="14"/>
    <x v="1"/>
    <x v="119"/>
    <n v="1"/>
    <n v="0"/>
  </r>
  <r>
    <s v="028.511.223/0001-32"/>
    <x v="190"/>
    <s v="INCLUSAO  ANOT.INADIMPLENCIA"/>
    <d v="2025-05-10T00:00:00"/>
    <x v="20"/>
    <x v="14"/>
    <x v="20"/>
    <x v="190"/>
    <n v="0"/>
    <n v="1"/>
  </r>
  <r>
    <s v="028.393.466/0001-13"/>
    <x v="168"/>
    <s v="INCLUSAO  ANOT.INADIMPLENCIA"/>
    <d v="2025-05-10T00:00:00"/>
    <x v="15"/>
    <x v="14"/>
    <x v="15"/>
    <x v="168"/>
    <n v="0"/>
    <n v="1"/>
  </r>
  <r>
    <s v="025.825.654/0001-85"/>
    <x v="7"/>
    <s v="INCLUSAO  ANOT.INADIMPLENCIA"/>
    <d v="2025-05-10T00:00:00"/>
    <x v="4"/>
    <x v="14"/>
    <x v="4"/>
    <x v="7"/>
    <n v="0"/>
    <n v="1"/>
  </r>
  <r>
    <s v="023.605.544/0001-82"/>
    <x v="21"/>
    <s v="INCLUSAO  ANOT.INADIMPLENCIA"/>
    <d v="2025-05-10T00:00:00"/>
    <x v="11"/>
    <x v="14"/>
    <x v="11"/>
    <x v="21"/>
    <n v="0"/>
    <n v="1"/>
  </r>
  <r>
    <s v="020.242.216/0001-70"/>
    <x v="210"/>
    <s v="INCLUSAO  ANOT.INADIMPLENCIA"/>
    <d v="2025-05-10T00:00:00"/>
    <x v="31"/>
    <x v="14"/>
    <x v="31"/>
    <x v="210"/>
    <n v="0"/>
    <n v="1"/>
  </r>
  <r>
    <s v="020.066.300/0001-80"/>
    <x v="2"/>
    <s v="INCLUSAO  ANOT.INADIMPLENCIA"/>
    <d v="2025-05-10T00:00:00"/>
    <x v="1"/>
    <x v="14"/>
    <x v="1"/>
    <x v="2"/>
    <n v="0"/>
    <n v="1"/>
  </r>
  <r>
    <s v="020.024.081/0001-77"/>
    <x v="178"/>
    <s v="INCLUSAO  ANOT.INADIMPLENCIA"/>
    <d v="2025-05-10T00:00:00"/>
    <x v="16"/>
    <x v="14"/>
    <x v="16"/>
    <x v="178"/>
    <n v="0"/>
    <n v="1"/>
  </r>
  <r>
    <s v="016.772.642/0001-49"/>
    <x v="70"/>
    <s v="INCLUSAO  ANOT.INADIMPLENCIA"/>
    <d v="2025-05-10T00:00:00"/>
    <x v="0"/>
    <x v="14"/>
    <x v="0"/>
    <x v="70"/>
    <n v="0"/>
    <n v="1"/>
  </r>
  <r>
    <s v="008.250.872/0001-10"/>
    <x v="122"/>
    <s v="INCLUSAO  ANOT.INADIMPLENCIA"/>
    <d v="2025-05-10T00:00:00"/>
    <x v="8"/>
    <x v="14"/>
    <x v="8"/>
    <x v="122"/>
    <n v="0"/>
    <n v="1"/>
  </r>
  <r>
    <s v="048.956.491/0001-75"/>
    <x v="180"/>
    <s v="EXCLUSAO  ANOT.INADIMPLENCIA"/>
    <d v="2025-05-10T00:00:00"/>
    <x v="28"/>
    <x v="14"/>
    <x v="28"/>
    <x v="180"/>
    <n v="1"/>
    <n v="0"/>
  </r>
  <r>
    <s v="071.350.797/0001-03"/>
    <x v="48"/>
    <s v="INCLUSAO  ANOT.INADIMPLENCIA"/>
    <d v="2025-05-10T00:00:00"/>
    <x v="16"/>
    <x v="14"/>
    <x v="16"/>
    <x v="48"/>
    <n v="0"/>
    <n v="1"/>
  </r>
  <r>
    <s v="000.803.044/0001-50"/>
    <x v="45"/>
    <s v="EXCLUSAO  ANOT.INADIMPLENCIA"/>
    <d v="2025-05-13T00:00:00"/>
    <x v="5"/>
    <x v="14"/>
    <x v="5"/>
    <x v="45"/>
    <n v="1"/>
    <n v="0"/>
  </r>
  <r>
    <s v="050.901.671/0001-00"/>
    <x v="127"/>
    <s v="INCLUSAO  ANOT.INADIMPLENCIA"/>
    <d v="2025-05-13T00:00:00"/>
    <x v="16"/>
    <x v="14"/>
    <x v="16"/>
    <x v="127"/>
    <n v="0"/>
    <n v="1"/>
  </r>
  <r>
    <s v="049.344.344/0001-07"/>
    <x v="194"/>
    <s v="EXCLUSAO  ANOT.INADIMPLENCIA"/>
    <d v="2025-05-13T00:00:00"/>
    <x v="11"/>
    <x v="14"/>
    <x v="11"/>
    <x v="194"/>
    <n v="1"/>
    <n v="0"/>
  </r>
  <r>
    <s v="049.218.819/0001-19"/>
    <x v="151"/>
    <s v="INCLUSAO  ANOT.INADIMPLENCIA"/>
    <d v="2025-05-13T00:00:00"/>
    <x v="14"/>
    <x v="14"/>
    <x v="14"/>
    <x v="151"/>
    <n v="0"/>
    <n v="1"/>
  </r>
  <r>
    <s v="048.956.491/0001-75"/>
    <x v="180"/>
    <s v="EXCLUSAO  ANOT.INADIMPLENCIA"/>
    <d v="2025-05-13T00:00:00"/>
    <x v="28"/>
    <x v="14"/>
    <x v="28"/>
    <x v="180"/>
    <n v="1"/>
    <n v="0"/>
  </r>
  <r>
    <s v="046.778.324/0001-56"/>
    <x v="211"/>
    <s v="INCLUSAO  ANOT.INADIMPLENCIA"/>
    <d v="2025-05-13T00:00:00"/>
    <x v="32"/>
    <x v="14"/>
    <x v="32"/>
    <x v="211"/>
    <n v="0"/>
    <n v="1"/>
  </r>
  <r>
    <s v="045.452.509/0001-03"/>
    <x v="173"/>
    <s v="INCLUSAO  ANOT.INADIMPLENCIA"/>
    <d v="2025-05-13T00:00:00"/>
    <x v="6"/>
    <x v="14"/>
    <x v="6"/>
    <x v="173"/>
    <n v="0"/>
    <n v="1"/>
  </r>
  <r>
    <s v="043.515.558/0001-12"/>
    <x v="177"/>
    <s v="INCLUSAO  ANOT.INADIMPLENCIA"/>
    <d v="2025-05-13T00:00:00"/>
    <x v="12"/>
    <x v="14"/>
    <x v="12"/>
    <x v="177"/>
    <n v="0"/>
    <n v="1"/>
  </r>
  <r>
    <s v="035.679.705/0001-61"/>
    <x v="172"/>
    <s v="INCLUSAO  ANOT.INADIMPLENCIA"/>
    <d v="2025-05-13T00:00:00"/>
    <x v="6"/>
    <x v="14"/>
    <x v="6"/>
    <x v="172"/>
    <n v="0"/>
    <n v="1"/>
  </r>
  <r>
    <s v="032.552.159/0001-05"/>
    <x v="212"/>
    <s v="INCLUSAO  ANOT.INADIMPLENCIA"/>
    <d v="2025-05-13T00:00:00"/>
    <x v="31"/>
    <x v="14"/>
    <x v="31"/>
    <x v="212"/>
    <n v="0"/>
    <n v="1"/>
  </r>
  <r>
    <s v="051.980.425/0001-45"/>
    <x v="174"/>
    <s v="INCLUSAO  ANOT.INADIMPLENCIA"/>
    <d v="2025-05-13T00:00:00"/>
    <x v="16"/>
    <x v="14"/>
    <x v="16"/>
    <x v="174"/>
    <n v="0"/>
    <n v="1"/>
  </r>
  <r>
    <s v="028.511.223/0001-32"/>
    <x v="190"/>
    <s v="INCLUSAO  ANOT.INADIMPLENCIA"/>
    <d v="2025-05-13T00:00:00"/>
    <x v="20"/>
    <x v="14"/>
    <x v="20"/>
    <x v="190"/>
    <n v="0"/>
    <n v="1"/>
  </r>
  <r>
    <s v="023.605.544/0001-82"/>
    <x v="21"/>
    <s v="INCLUSAO  ANOT.INADIMPLENCIA"/>
    <d v="2025-05-13T00:00:00"/>
    <x v="11"/>
    <x v="14"/>
    <x v="11"/>
    <x v="21"/>
    <n v="0"/>
    <n v="1"/>
  </r>
  <r>
    <s v="021.382.943/0001-04"/>
    <x v="206"/>
    <s v="INCLUSAO  ANOT.INADIMPLENCIA"/>
    <d v="2025-05-13T00:00:00"/>
    <x v="0"/>
    <x v="14"/>
    <x v="0"/>
    <x v="206"/>
    <n v="0"/>
    <n v="1"/>
  </r>
  <r>
    <s v="020.242.216/0001-70"/>
    <x v="210"/>
    <s v="INCLUSAO  ANOT.INADIMPLENCIA"/>
    <d v="2025-05-13T00:00:00"/>
    <x v="31"/>
    <x v="14"/>
    <x v="31"/>
    <x v="210"/>
    <n v="0"/>
    <n v="1"/>
  </r>
  <r>
    <s v="020.024.081/0001-77"/>
    <x v="178"/>
    <s v="INCLUSAO  ANOT.INADIMPLENCIA"/>
    <d v="2025-05-13T00:00:00"/>
    <x v="16"/>
    <x v="14"/>
    <x v="16"/>
    <x v="178"/>
    <n v="0"/>
    <n v="1"/>
  </r>
  <r>
    <s v="016.772.642/0001-49"/>
    <x v="70"/>
    <s v="INCLUSAO  ANOT.INADIMPLENCIA"/>
    <d v="2025-05-13T00:00:00"/>
    <x v="0"/>
    <x v="14"/>
    <x v="0"/>
    <x v="70"/>
    <n v="0"/>
    <n v="1"/>
  </r>
  <r>
    <s v="012.520.791/0001-60"/>
    <x v="4"/>
    <s v="INCLUSAO  ANOT.INADIMPLENCIA"/>
    <d v="2025-05-13T00:00:00"/>
    <x v="1"/>
    <x v="14"/>
    <x v="1"/>
    <x v="4"/>
    <n v="0"/>
    <n v="1"/>
  </r>
  <r>
    <s v="011.091.574/0001-39"/>
    <x v="26"/>
    <s v="EXCLUSAO  ANOT.INADIMPLENCIA"/>
    <d v="2025-05-13T00:00:00"/>
    <x v="7"/>
    <x v="14"/>
    <x v="7"/>
    <x v="26"/>
    <n v="1"/>
    <n v="0"/>
  </r>
  <r>
    <s v="007.102.721/0001-51"/>
    <x v="44"/>
    <s v="INCLUSAO  ANOT.INADIMPLENCIA"/>
    <d v="2025-05-13T00:00:00"/>
    <x v="15"/>
    <x v="14"/>
    <x v="15"/>
    <x v="44"/>
    <n v="0"/>
    <n v="1"/>
  </r>
  <r>
    <s v="003.590.360/0001-89"/>
    <x v="3"/>
    <s v="EXCLUSAO  ANOT.INADIMPLENCIA"/>
    <d v="2025-05-13T00:00:00"/>
    <x v="1"/>
    <x v="14"/>
    <x v="1"/>
    <x v="3"/>
    <n v="1"/>
    <n v="0"/>
  </r>
  <r>
    <s v="028.393.466/0001-13"/>
    <x v="168"/>
    <s v="INCLUSAO  ANOT.INADIMPLENCIA"/>
    <d v="2025-05-13T00:00:00"/>
    <x v="15"/>
    <x v="14"/>
    <x v="15"/>
    <x v="168"/>
    <n v="0"/>
    <n v="1"/>
  </r>
  <r>
    <s v="071.350.797/0001-03"/>
    <x v="48"/>
    <s v="INCLUSAO  ANOT.INADIMPLENCIA"/>
    <d v="2025-05-13T00:00:00"/>
    <x v="16"/>
    <x v="14"/>
    <x v="16"/>
    <x v="48"/>
    <n v="0"/>
    <n v="1"/>
  </r>
  <r>
    <s v="000.688.793/0001-83"/>
    <x v="150"/>
    <s v="INCLUSAO  ANOT.INADIMPLENCIA"/>
    <d v="2025-05-14T00:00:00"/>
    <x v="1"/>
    <x v="14"/>
    <x v="1"/>
    <x v="150"/>
    <n v="0"/>
    <n v="1"/>
  </r>
  <r>
    <s v="050.164.951/0001-74"/>
    <x v="52"/>
    <s v="INCLUSAO  ANOT.INADIMPLENCIA"/>
    <d v="2025-05-14T00:00:00"/>
    <x v="0"/>
    <x v="14"/>
    <x v="0"/>
    <x v="52"/>
    <n v="0"/>
    <n v="1"/>
  </r>
  <r>
    <s v="049.218.819/0001-19"/>
    <x v="151"/>
    <s v="INCLUSAO  ANOT.INADIMPLENCIA"/>
    <d v="2025-05-14T00:00:00"/>
    <x v="14"/>
    <x v="14"/>
    <x v="14"/>
    <x v="151"/>
    <n v="0"/>
    <n v="1"/>
  </r>
  <r>
    <s v="048.956.491/0001-75"/>
    <x v="180"/>
    <s v="INCLUSAO  ANOT.INADIMPLENCIA"/>
    <d v="2025-05-14T00:00:00"/>
    <x v="28"/>
    <x v="14"/>
    <x v="28"/>
    <x v="180"/>
    <n v="0"/>
    <n v="1"/>
  </r>
  <r>
    <s v="045.452.509/0001-03"/>
    <x v="173"/>
    <s v="INCLUSAO  ANOT.INADIMPLENCIA"/>
    <d v="2025-05-14T00:00:00"/>
    <x v="6"/>
    <x v="14"/>
    <x v="6"/>
    <x v="173"/>
    <n v="0"/>
    <n v="1"/>
  </r>
  <r>
    <s v="043.515.558/0001-12"/>
    <x v="177"/>
    <s v="INCLUSAO  ANOT.INADIMPLENCIA"/>
    <d v="2025-05-14T00:00:00"/>
    <x v="12"/>
    <x v="14"/>
    <x v="12"/>
    <x v="177"/>
    <n v="0"/>
    <n v="1"/>
  </r>
  <r>
    <s v="037.599.774/0001-90"/>
    <x v="202"/>
    <s v="EXCLUSAO  ANOT.INADIMPLENCIA"/>
    <d v="2025-05-14T00:00:00"/>
    <x v="30"/>
    <x v="14"/>
    <x v="30"/>
    <x v="202"/>
    <n v="1"/>
    <n v="0"/>
  </r>
  <r>
    <s v="035.679.705/0001-61"/>
    <x v="172"/>
    <s v="INCLUSAO  ANOT.INADIMPLENCIA"/>
    <d v="2025-05-14T00:00:00"/>
    <x v="6"/>
    <x v="14"/>
    <x v="6"/>
    <x v="172"/>
    <n v="0"/>
    <n v="1"/>
  </r>
  <r>
    <s v="035.165.246/0001-06"/>
    <x v="105"/>
    <s v="INCL/EXCL ANOT.INADIMPLENCIA"/>
    <d v="2025-05-14T00:00:00"/>
    <x v="4"/>
    <x v="14"/>
    <x v="4"/>
    <x v="105"/>
    <n v="0"/>
    <n v="0"/>
  </r>
  <r>
    <s v="033.611.837/0001-26"/>
    <x v="213"/>
    <s v="INCLUSAO  ANOT.INADIMPLENCIA"/>
    <d v="2025-05-14T00:00:00"/>
    <x v="16"/>
    <x v="14"/>
    <x v="16"/>
    <x v="213"/>
    <n v="0"/>
    <n v="1"/>
  </r>
  <r>
    <s v="028.511.223/0001-32"/>
    <x v="190"/>
    <s v="INCLUSAO  ANOT.INADIMPLENCIA"/>
    <d v="2025-05-14T00:00:00"/>
    <x v="20"/>
    <x v="14"/>
    <x v="20"/>
    <x v="190"/>
    <n v="0"/>
    <n v="1"/>
  </r>
  <r>
    <s v="028.393.466/0001-13"/>
    <x v="168"/>
    <s v="INCLUSAO  ANOT.INADIMPLENCIA"/>
    <d v="2025-05-14T00:00:00"/>
    <x v="15"/>
    <x v="14"/>
    <x v="15"/>
    <x v="168"/>
    <n v="0"/>
    <n v="1"/>
  </r>
  <r>
    <s v="027.180.131/0001-54"/>
    <x v="189"/>
    <s v="EXCLUSAO  ANOT.INADIMPLENCIA"/>
    <d v="2025-05-14T00:00:00"/>
    <x v="20"/>
    <x v="14"/>
    <x v="20"/>
    <x v="189"/>
    <n v="1"/>
    <n v="0"/>
  </r>
  <r>
    <s v="025.094.292/0001-08"/>
    <x v="214"/>
    <s v="INCLUSAO  ANOT.INADIMPLENCIA"/>
    <d v="2025-05-14T00:00:00"/>
    <x v="28"/>
    <x v="14"/>
    <x v="28"/>
    <x v="214"/>
    <n v="0"/>
    <n v="1"/>
  </r>
  <r>
    <s v="023.605.544/0001-82"/>
    <x v="21"/>
    <s v="INCLUSAO  ANOT.INADIMPLENCIA"/>
    <d v="2025-05-14T00:00:00"/>
    <x v="11"/>
    <x v="14"/>
    <x v="11"/>
    <x v="21"/>
    <n v="0"/>
    <n v="1"/>
  </r>
  <r>
    <s v="020.024.081/0001-77"/>
    <x v="178"/>
    <s v="INCL/EXCL ANOT.INADIMPLENCIA"/>
    <d v="2025-05-14T00:00:00"/>
    <x v="16"/>
    <x v="14"/>
    <x v="16"/>
    <x v="178"/>
    <n v="0"/>
    <n v="0"/>
  </r>
  <r>
    <s v="016.757.535/0001-41"/>
    <x v="29"/>
    <s v="INCLUSAO  ANOT.INADIMPLENCIA"/>
    <d v="2025-05-14T00:00:00"/>
    <x v="14"/>
    <x v="14"/>
    <x v="14"/>
    <x v="29"/>
    <n v="0"/>
    <n v="1"/>
  </r>
  <r>
    <s v="014.202.427/0001-87"/>
    <x v="215"/>
    <s v="INCLUSAO  ANOT.INADIMPLENCIA"/>
    <d v="2025-05-14T00:00:00"/>
    <x v="30"/>
    <x v="14"/>
    <x v="30"/>
    <x v="215"/>
    <n v="0"/>
    <n v="1"/>
  </r>
  <r>
    <s v="013.749.701/0001-70"/>
    <x v="196"/>
    <s v="INCLUSAO  ANOT.INADIMPLENCIA"/>
    <d v="2025-05-14T00:00:00"/>
    <x v="8"/>
    <x v="14"/>
    <x v="8"/>
    <x v="196"/>
    <n v="0"/>
    <n v="1"/>
  </r>
  <r>
    <s v="012.804.762/0001-20"/>
    <x v="68"/>
    <s v="EXCLUSAO  ANOT.INADIMPLENCIA"/>
    <d v="2025-05-14T00:00:00"/>
    <x v="21"/>
    <x v="14"/>
    <x v="21"/>
    <x v="68"/>
    <n v="1"/>
    <n v="0"/>
  </r>
  <r>
    <s v="012.520.791/0001-60"/>
    <x v="4"/>
    <s v="INCLUSAO  ANOT.INADIMPLENCIA"/>
    <d v="2025-05-14T00:00:00"/>
    <x v="1"/>
    <x v="14"/>
    <x v="1"/>
    <x v="4"/>
    <n v="0"/>
    <n v="1"/>
  </r>
  <r>
    <s v="011.091.574/0001-39"/>
    <x v="26"/>
    <s v="INCLUSAO  ANOT.INADIMPLENCIA"/>
    <d v="2025-05-14T00:00:00"/>
    <x v="7"/>
    <x v="14"/>
    <x v="7"/>
    <x v="26"/>
    <n v="0"/>
    <n v="1"/>
  </r>
  <r>
    <s v="008.250.872/0001-10"/>
    <x v="122"/>
    <s v="INCLUSAO  ANOT.INADIMPLENCIA"/>
    <d v="2025-05-14T00:00:00"/>
    <x v="8"/>
    <x v="14"/>
    <x v="8"/>
    <x v="122"/>
    <n v="0"/>
    <n v="1"/>
  </r>
  <r>
    <s v="007.102.721/0001-51"/>
    <x v="44"/>
    <s v="INCLUSAO  ANOT.INADIMPLENCIA"/>
    <d v="2025-05-14T00:00:00"/>
    <x v="15"/>
    <x v="14"/>
    <x v="15"/>
    <x v="44"/>
    <n v="0"/>
    <n v="1"/>
  </r>
  <r>
    <s v="005.774.638/0001-01"/>
    <x v="198"/>
    <s v="INCLUSAO  ANOT.INADIMPLENCIA"/>
    <d v="2025-05-14T00:00:00"/>
    <x v="30"/>
    <x v="14"/>
    <x v="30"/>
    <x v="198"/>
    <n v="0"/>
    <n v="1"/>
  </r>
  <r>
    <s v="004.622.554/0001-81"/>
    <x v="67"/>
    <s v="EXCLUSAO  ANOT.INADIMPLENCIA"/>
    <d v="2025-05-14T00:00:00"/>
    <x v="6"/>
    <x v="14"/>
    <x v="6"/>
    <x v="67"/>
    <n v="1"/>
    <n v="0"/>
  </r>
  <r>
    <s v="055.979.736/0001-45"/>
    <x v="64"/>
    <s v="EXCLUSAO  ANOT.INADIMPLENCIA"/>
    <d v="2025-05-14T00:00:00"/>
    <x v="20"/>
    <x v="14"/>
    <x v="20"/>
    <x v="64"/>
    <n v="1"/>
    <n v="0"/>
  </r>
  <r>
    <s v="057.698.087/0001-30"/>
    <x v="207"/>
    <s v="EXCLUSAO  ANOT.INADIMPLENCIA"/>
    <d v="2025-05-14T00:00:00"/>
    <x v="1"/>
    <x v="14"/>
    <x v="1"/>
    <x v="207"/>
    <n v="1"/>
    <n v="0"/>
  </r>
  <r>
    <s v="003.590.360/0001-89"/>
    <x v="3"/>
    <s v="INCLUSAO  ANOT.INADIMPLENCIA"/>
    <d v="2025-05-15T00:00:00"/>
    <x v="1"/>
    <x v="14"/>
    <x v="1"/>
    <x v="3"/>
    <n v="0"/>
    <n v="1"/>
  </r>
  <r>
    <s v="007.102.721/0001-51"/>
    <x v="44"/>
    <s v="EXCLUSAO  ANOT.INADIMPLENCIA"/>
    <d v="2025-05-15T00:00:00"/>
    <x v="15"/>
    <x v="14"/>
    <x v="15"/>
    <x v="44"/>
    <n v="1"/>
    <n v="0"/>
  </r>
  <r>
    <s v="008.250.872/0001-10"/>
    <x v="122"/>
    <s v="INCLUSAO  ANOT.INADIMPLENCIA"/>
    <d v="2025-05-15T00:00:00"/>
    <x v="8"/>
    <x v="14"/>
    <x v="8"/>
    <x v="122"/>
    <n v="0"/>
    <n v="1"/>
  </r>
  <r>
    <s v="011.122.552/0001-99"/>
    <x v="60"/>
    <s v="INCLUSAO  ANOT.INADIMPLENCIA"/>
    <d v="2025-05-15T00:00:00"/>
    <x v="8"/>
    <x v="14"/>
    <x v="8"/>
    <x v="60"/>
    <n v="0"/>
    <n v="1"/>
  </r>
  <r>
    <s v="012.520.791/0001-60"/>
    <x v="4"/>
    <s v="INCLUSAO  ANOT.INADIMPLENCIA"/>
    <d v="2025-05-15T00:00:00"/>
    <x v="1"/>
    <x v="14"/>
    <x v="1"/>
    <x v="4"/>
    <n v="0"/>
    <n v="1"/>
  </r>
  <r>
    <s v="018.608.055/0001-44"/>
    <x v="132"/>
    <s v="INCLUSAO  ANOT.INADIMPLENCIA"/>
    <d v="2025-05-15T00:00:00"/>
    <x v="4"/>
    <x v="14"/>
    <x v="4"/>
    <x v="132"/>
    <n v="0"/>
    <n v="1"/>
  </r>
  <r>
    <s v="020.024.081/0001-77"/>
    <x v="178"/>
    <s v="INCLUSAO  ANOT.INADIMPLENCIA"/>
    <d v="2025-05-15T00:00:00"/>
    <x v="16"/>
    <x v="14"/>
    <x v="16"/>
    <x v="178"/>
    <n v="0"/>
    <n v="1"/>
  </r>
  <r>
    <s v="020.242.216/0001-70"/>
    <x v="210"/>
    <s v="INCLUSAO  ANOT.INADIMPLENCIA"/>
    <d v="2025-05-15T00:00:00"/>
    <x v="31"/>
    <x v="14"/>
    <x v="31"/>
    <x v="210"/>
    <n v="0"/>
    <n v="1"/>
  </r>
  <r>
    <s v="023.605.544/0001-82"/>
    <x v="21"/>
    <s v="EXCLUSAO  ANOT.INADIMPLENCIA"/>
    <d v="2025-05-15T00:00:00"/>
    <x v="11"/>
    <x v="14"/>
    <x v="11"/>
    <x v="21"/>
    <n v="1"/>
    <n v="0"/>
  </r>
  <r>
    <s v="023.637.987/0001-55"/>
    <x v="20"/>
    <s v="INCLUSAO  ANOT.INADIMPLENCIA"/>
    <d v="2025-05-15T00:00:00"/>
    <x v="7"/>
    <x v="14"/>
    <x v="7"/>
    <x v="20"/>
    <n v="0"/>
    <n v="1"/>
  </r>
  <r>
    <s v="028.393.466/0001-13"/>
    <x v="168"/>
    <s v="INCLUSAO  ANOT.INADIMPLENCIA"/>
    <d v="2025-05-15T00:00:00"/>
    <x v="15"/>
    <x v="14"/>
    <x v="15"/>
    <x v="168"/>
    <n v="0"/>
    <n v="1"/>
  </r>
  <r>
    <s v="028.511.223/0001-32"/>
    <x v="190"/>
    <s v="INCLUSAO  ANOT.INADIMPLENCIA"/>
    <d v="2025-05-15T00:00:00"/>
    <x v="20"/>
    <x v="14"/>
    <x v="20"/>
    <x v="190"/>
    <n v="0"/>
    <n v="1"/>
  </r>
  <r>
    <s v="038.405.720/0001-00"/>
    <x v="203"/>
    <s v="INCLUSAO  ANOT.INADIMPLENCIA"/>
    <d v="2025-05-15T00:00:00"/>
    <x v="20"/>
    <x v="14"/>
    <x v="20"/>
    <x v="203"/>
    <n v="0"/>
    <n v="1"/>
  </r>
  <r>
    <s v="044.032.421/0001-70"/>
    <x v="112"/>
    <s v="INCLUSAO  ANOT.INADIMPLENCIA"/>
    <d v="2025-05-15T00:00:00"/>
    <x v="0"/>
    <x v="14"/>
    <x v="0"/>
    <x v="112"/>
    <n v="0"/>
    <n v="1"/>
  </r>
  <r>
    <s v="044.126.379/0001-56"/>
    <x v="188"/>
    <s v="EXCLUSAO  ANOT.INADIMPLENCIA"/>
    <d v="2025-05-15T00:00:00"/>
    <x v="1"/>
    <x v="14"/>
    <x v="1"/>
    <x v="188"/>
    <n v="1"/>
    <n v="0"/>
  </r>
  <r>
    <s v="049.218.819/0001-19"/>
    <x v="151"/>
    <s v="INCLUSAO  ANOT.INADIMPLENCIA"/>
    <d v="2025-05-15T00:00:00"/>
    <x v="14"/>
    <x v="14"/>
    <x v="14"/>
    <x v="151"/>
    <n v="0"/>
    <n v="1"/>
  </r>
  <r>
    <s v="002.038.227/0001-51"/>
    <x v="56"/>
    <s v="INCLUSAO  ANOT.INADIMPLENCIA"/>
    <d v="2025-05-16T00:00:00"/>
    <x v="1"/>
    <x v="15"/>
    <x v="1"/>
    <x v="56"/>
    <n v="0"/>
    <n v="1"/>
  </r>
  <r>
    <s v="038.405.720/0001-00"/>
    <x v="203"/>
    <s v="INCLUSAO  ANOT.INADIMPLENCIA"/>
    <d v="2025-05-16T00:00:00"/>
    <x v="20"/>
    <x v="15"/>
    <x v="20"/>
    <x v="203"/>
    <n v="0"/>
    <n v="1"/>
  </r>
  <r>
    <s v="037.828.375/0001-54"/>
    <x v="39"/>
    <s v="EXCLUSAO  ANOT.INADIMPLENCIA"/>
    <d v="2025-05-16T00:00:00"/>
    <x v="7"/>
    <x v="15"/>
    <x v="7"/>
    <x v="39"/>
    <n v="1"/>
    <n v="0"/>
  </r>
  <r>
    <s v="033.611.837/0001-26"/>
    <x v="213"/>
    <s v="EXCLUSAO  ANOT.INADIMPLENCIA"/>
    <d v="2025-05-16T00:00:00"/>
    <x v="16"/>
    <x v="15"/>
    <x v="16"/>
    <x v="213"/>
    <n v="1"/>
    <n v="0"/>
  </r>
  <r>
    <s v="032.781.707/0001-79"/>
    <x v="216"/>
    <s v="INCLUSAO  ANOT.INADIMPLENCIA"/>
    <d v="2025-05-16T00:00:00"/>
    <x v="29"/>
    <x v="15"/>
    <x v="29"/>
    <x v="216"/>
    <n v="0"/>
    <n v="1"/>
  </r>
  <r>
    <s v="028.511.223/0001-32"/>
    <x v="190"/>
    <s v="EXCLUSAO  ANOT.INADIMPLENCIA"/>
    <d v="2025-05-16T00:00:00"/>
    <x v="20"/>
    <x v="15"/>
    <x v="20"/>
    <x v="190"/>
    <n v="1"/>
    <n v="0"/>
  </r>
  <r>
    <s v="028.393.466/0001-13"/>
    <x v="168"/>
    <s v="INCLUSAO  ANOT.INADIMPLENCIA"/>
    <d v="2025-05-16T00:00:00"/>
    <x v="15"/>
    <x v="15"/>
    <x v="15"/>
    <x v="168"/>
    <n v="0"/>
    <n v="1"/>
  </r>
  <r>
    <s v="027.508.008/0001-10"/>
    <x v="217"/>
    <s v="INCLUSAO  ANOT.INADIMPLENCIA"/>
    <d v="2025-05-16T00:00:00"/>
    <x v="33"/>
    <x v="15"/>
    <x v="33"/>
    <x v="217"/>
    <n v="0"/>
    <n v="1"/>
  </r>
  <r>
    <s v="023.637.987/0001-55"/>
    <x v="20"/>
    <s v="EXCLUSAO  ANOT.INADIMPLENCIA"/>
    <d v="2025-05-16T00:00:00"/>
    <x v="7"/>
    <x v="15"/>
    <x v="7"/>
    <x v="20"/>
    <n v="1"/>
    <n v="0"/>
  </r>
  <r>
    <s v="020.242.216/0001-70"/>
    <x v="210"/>
    <s v="INCLUSAO  ANOT.INADIMPLENCIA"/>
    <d v="2025-05-16T00:00:00"/>
    <x v="31"/>
    <x v="15"/>
    <x v="31"/>
    <x v="210"/>
    <n v="0"/>
    <n v="1"/>
  </r>
  <r>
    <s v="020.066.300/0001-80"/>
    <x v="2"/>
    <s v="INCLUSAO  ANOT.INADIMPLENCIA"/>
    <d v="2025-05-16T00:00:00"/>
    <x v="1"/>
    <x v="15"/>
    <x v="1"/>
    <x v="2"/>
    <n v="0"/>
    <n v="1"/>
  </r>
  <r>
    <s v="012.645.814/0001-62"/>
    <x v="218"/>
    <s v="INCLUSAO  ANOT.INADIMPLENCIA"/>
    <d v="2025-05-16T00:00:00"/>
    <x v="30"/>
    <x v="15"/>
    <x v="30"/>
    <x v="218"/>
    <n v="0"/>
    <n v="1"/>
  </r>
  <r>
    <s v="011.122.552/0001-99"/>
    <x v="60"/>
    <s v="INCLUSAO  ANOT.INADIMPLENCIA"/>
    <d v="2025-05-16T00:00:00"/>
    <x v="8"/>
    <x v="15"/>
    <x v="8"/>
    <x v="60"/>
    <n v="0"/>
    <n v="1"/>
  </r>
  <r>
    <s v="008.991.603/0001-04"/>
    <x v="58"/>
    <s v="INCLUSAO  ANOT.INADIMPLENCIA"/>
    <d v="2025-05-16T00:00:00"/>
    <x v="4"/>
    <x v="15"/>
    <x v="4"/>
    <x v="58"/>
    <n v="0"/>
    <n v="1"/>
  </r>
  <r>
    <s v="007.102.721/0001-51"/>
    <x v="44"/>
    <s v="INCLUSAO  ANOT.INADIMPLENCIA"/>
    <d v="2025-05-16T00:00:00"/>
    <x v="15"/>
    <x v="15"/>
    <x v="15"/>
    <x v="44"/>
    <n v="0"/>
    <n v="1"/>
  </r>
  <r>
    <s v="005.363.690/0001-67"/>
    <x v="91"/>
    <s v="EXCLUSAO  ANOT.INADIMPLENCIA"/>
    <d v="2025-05-16T00:00:00"/>
    <x v="15"/>
    <x v="15"/>
    <x v="15"/>
    <x v="91"/>
    <n v="1"/>
    <n v="0"/>
  </r>
  <r>
    <s v="041.921.772/0001-43"/>
    <x v="219"/>
    <s v="ALTERACAO RAZAO SOCIAL"/>
    <d v="2025-05-16T00:00:00"/>
    <x v="28"/>
    <x v="15"/>
    <x v="28"/>
    <x v="219"/>
    <n v="0"/>
    <n v="0"/>
  </r>
  <r>
    <s v="043.515.558/0001-12"/>
    <x v="177"/>
    <s v="EXCLUSAO  ANOT.INADIMPLENCIA"/>
    <d v="2025-05-16T00:00:00"/>
    <x v="12"/>
    <x v="15"/>
    <x v="12"/>
    <x v="177"/>
    <n v="1"/>
    <n v="0"/>
  </r>
  <r>
    <s v="000.688.793/0001-83"/>
    <x v="150"/>
    <s v="INCLUSAO  ANOT.INADIMPLENCIA"/>
    <d v="2025-05-17T00:00:00"/>
    <x v="1"/>
    <x v="15"/>
    <x v="1"/>
    <x v="150"/>
    <n v="0"/>
    <n v="1"/>
  </r>
  <r>
    <s v="045.501.529/0001-27"/>
    <x v="163"/>
    <s v="EXCLUSAO  ANOT.INADIMPLENCIA"/>
    <d v="2025-05-17T00:00:00"/>
    <x v="15"/>
    <x v="15"/>
    <x v="15"/>
    <x v="163"/>
    <n v="1"/>
    <n v="0"/>
  </r>
  <r>
    <s v="044.637.793/0001-20"/>
    <x v="147"/>
    <s v="INCLUSAO  ANOT.INADIMPLENCIA"/>
    <d v="2025-05-17T00:00:00"/>
    <x v="0"/>
    <x v="15"/>
    <x v="0"/>
    <x v="147"/>
    <n v="0"/>
    <n v="1"/>
  </r>
  <r>
    <s v="043.515.558/0001-12"/>
    <x v="177"/>
    <s v="EXCLUSAO  ANOT.INADIMPLENCIA"/>
    <d v="2025-05-17T00:00:00"/>
    <x v="12"/>
    <x v="15"/>
    <x v="12"/>
    <x v="177"/>
    <n v="1"/>
    <n v="0"/>
  </r>
  <r>
    <s v="037.828.375/0001-54"/>
    <x v="39"/>
    <s v="INCLUSAO  ANOT.INADIMPLENCIA"/>
    <d v="2025-05-17T00:00:00"/>
    <x v="7"/>
    <x v="15"/>
    <x v="7"/>
    <x v="39"/>
    <n v="0"/>
    <n v="1"/>
  </r>
  <r>
    <s v="035.679.705/0001-61"/>
    <x v="172"/>
    <s v="INCLUSAO  ANOT.INADIMPLENCIA"/>
    <d v="2025-05-17T00:00:00"/>
    <x v="6"/>
    <x v="15"/>
    <x v="6"/>
    <x v="172"/>
    <n v="0"/>
    <n v="1"/>
  </r>
  <r>
    <s v="032.552.159/0001-05"/>
    <x v="212"/>
    <s v="EXCLUSAO  ANOT.INADIMPLENCIA"/>
    <d v="2025-05-17T00:00:00"/>
    <x v="31"/>
    <x v="15"/>
    <x v="31"/>
    <x v="212"/>
    <n v="1"/>
    <n v="0"/>
  </r>
  <r>
    <s v="032.552.159/0001-05"/>
    <x v="212"/>
    <s v="ALTERACAO ENDERECO"/>
    <d v="2025-05-17T00:00:00"/>
    <x v="31"/>
    <x v="15"/>
    <x v="31"/>
    <x v="212"/>
    <n v="0"/>
    <n v="0"/>
  </r>
  <r>
    <s v="028.511.223/0001-32"/>
    <x v="190"/>
    <s v="INCLUSAO  ANOT.INADIMPLENCIA"/>
    <d v="2025-05-17T00:00:00"/>
    <x v="20"/>
    <x v="15"/>
    <x v="20"/>
    <x v="190"/>
    <n v="0"/>
    <n v="1"/>
  </r>
  <r>
    <s v="028.393.466/0001-13"/>
    <x v="168"/>
    <s v="INCLUSAO  ANOT.INADIMPLENCIA"/>
    <d v="2025-05-17T00:00:00"/>
    <x v="15"/>
    <x v="15"/>
    <x v="15"/>
    <x v="168"/>
    <n v="0"/>
    <n v="1"/>
  </r>
  <r>
    <s v="026.416.177/0001-67"/>
    <x v="131"/>
    <s v="INCLUSAO  ANOT.INADIMPLENCIA"/>
    <d v="2025-05-17T00:00:00"/>
    <x v="4"/>
    <x v="15"/>
    <x v="4"/>
    <x v="131"/>
    <n v="0"/>
    <n v="1"/>
  </r>
  <r>
    <s v="025.825.654/0001-85"/>
    <x v="7"/>
    <s v="INCLUSAO  ANOT.INADIMPLENCIA"/>
    <d v="2025-05-17T00:00:00"/>
    <x v="4"/>
    <x v="15"/>
    <x v="4"/>
    <x v="7"/>
    <n v="0"/>
    <n v="1"/>
  </r>
  <r>
    <s v="023.605.544/0001-82"/>
    <x v="21"/>
    <s v="INCLUSAO  ANOT.INADIMPLENCIA"/>
    <d v="2025-05-17T00:00:00"/>
    <x v="11"/>
    <x v="15"/>
    <x v="11"/>
    <x v="21"/>
    <n v="0"/>
    <n v="1"/>
  </r>
  <r>
    <s v="021.734.108/0001-88"/>
    <x v="41"/>
    <s v="INCLUSAO  ANOT.INADIMPLENCIA"/>
    <d v="2025-05-17T00:00:00"/>
    <x v="13"/>
    <x v="15"/>
    <x v="13"/>
    <x v="41"/>
    <n v="0"/>
    <n v="1"/>
  </r>
  <r>
    <s v="021.382.943/0001-04"/>
    <x v="206"/>
    <s v="INCLUSAO  ANOT.INADIMPLENCIA"/>
    <d v="2025-05-17T00:00:00"/>
    <x v="0"/>
    <x v="15"/>
    <x v="0"/>
    <x v="206"/>
    <n v="0"/>
    <n v="1"/>
  </r>
  <r>
    <s v="020.242.216/0001-70"/>
    <x v="210"/>
    <s v="INCLUSAO  ANOT.INADIMPLENCIA"/>
    <d v="2025-05-17T00:00:00"/>
    <x v="31"/>
    <x v="15"/>
    <x v="31"/>
    <x v="210"/>
    <n v="0"/>
    <n v="1"/>
  </r>
  <r>
    <s v="020.066.300/0001-80"/>
    <x v="2"/>
    <s v="INCLUSAO  ANOT.INADIMPLENCIA"/>
    <d v="2025-05-17T00:00:00"/>
    <x v="1"/>
    <x v="15"/>
    <x v="1"/>
    <x v="2"/>
    <n v="0"/>
    <n v="1"/>
  </r>
  <r>
    <s v="018.868.117/0001-57"/>
    <x v="164"/>
    <s v="EXCLUSAO  ANOT.INADIMPLENCIA"/>
    <d v="2025-05-17T00:00:00"/>
    <x v="7"/>
    <x v="15"/>
    <x v="7"/>
    <x v="164"/>
    <n v="1"/>
    <n v="0"/>
  </r>
  <r>
    <s v="016.757.535/0001-41"/>
    <x v="29"/>
    <s v="INCLUSAO  ANOT.INADIMPLENCIA"/>
    <d v="2025-05-17T00:00:00"/>
    <x v="14"/>
    <x v="15"/>
    <x v="14"/>
    <x v="29"/>
    <n v="0"/>
    <n v="1"/>
  </r>
  <r>
    <s v="014.829.598/0001-30"/>
    <x v="31"/>
    <s v="INCLUSAO  ANOT.INADIMPLENCIA"/>
    <d v="2025-05-17T00:00:00"/>
    <x v="11"/>
    <x v="15"/>
    <x v="11"/>
    <x v="31"/>
    <n v="0"/>
    <n v="1"/>
  </r>
  <r>
    <s v="011.122.552/0001-99"/>
    <x v="60"/>
    <s v="INCLUSAO  ANOT.INADIMPLENCIA"/>
    <d v="2025-05-17T00:00:00"/>
    <x v="8"/>
    <x v="15"/>
    <x v="8"/>
    <x v="60"/>
    <n v="0"/>
    <n v="1"/>
  </r>
  <r>
    <s v="011.091.574/0001-39"/>
    <x v="26"/>
    <s v="ALTERACAO ENDERECO"/>
    <d v="2025-05-17T00:00:00"/>
    <x v="7"/>
    <x v="15"/>
    <x v="7"/>
    <x v="26"/>
    <n v="0"/>
    <n v="0"/>
  </r>
  <r>
    <s v="008.991.603/0001-04"/>
    <x v="58"/>
    <s v="INCLUSAO  ANOT.INADIMPLENCIA"/>
    <d v="2025-05-17T00:00:00"/>
    <x v="4"/>
    <x v="15"/>
    <x v="4"/>
    <x v="58"/>
    <n v="0"/>
    <n v="1"/>
  </r>
  <r>
    <s v="008.250.872/0001-10"/>
    <x v="122"/>
    <s v="INCLUSAO  ANOT.INADIMPLENCIA"/>
    <d v="2025-05-17T00:00:00"/>
    <x v="8"/>
    <x v="15"/>
    <x v="8"/>
    <x v="122"/>
    <n v="0"/>
    <n v="1"/>
  </r>
  <r>
    <s v="049.344.344/0001-07"/>
    <x v="194"/>
    <s v="EXCLUSAO  ANOT.INADIMPLENCIA"/>
    <d v="2025-05-17T00:00:00"/>
    <x v="11"/>
    <x v="15"/>
    <x v="11"/>
    <x v="194"/>
    <n v="1"/>
    <n v="0"/>
  </r>
  <r>
    <s v="057.696.093/0001-58"/>
    <x v="220"/>
    <s v="INCLUSAO  ANOT.INADIMPLENCIA"/>
    <d v="2025-05-17T00:00:00"/>
    <x v="1"/>
    <x v="15"/>
    <x v="1"/>
    <x v="220"/>
    <n v="0"/>
    <n v="1"/>
  </r>
  <r>
    <s v="006.315.490/0001-00"/>
    <x v="221"/>
    <s v="ALTERACAO RAZAO SOCIAL"/>
    <d v="2025-05-19T00:00:00"/>
    <x v="28"/>
    <x v="15"/>
    <x v="28"/>
    <x v="221"/>
    <n v="0"/>
    <n v="0"/>
  </r>
  <r>
    <s v="006.315.490/0001-00"/>
    <x v="221"/>
    <s v="ALTERACAO ENDERECO"/>
    <d v="2025-05-19T00:00:00"/>
    <x v="28"/>
    <x v="15"/>
    <x v="28"/>
    <x v="221"/>
    <n v="0"/>
    <n v="0"/>
  </r>
  <r>
    <s v="050.893.355/0001-25"/>
    <x v="157"/>
    <s v="ALTERACAO ENDERECO"/>
    <d v="2025-05-19T00:00:00"/>
    <x v="26"/>
    <x v="15"/>
    <x v="26"/>
    <x v="157"/>
    <n v="0"/>
    <n v="0"/>
  </r>
  <r>
    <s v="000.803.044/0001-50"/>
    <x v="45"/>
    <s v="EXCLUSAO  ANOT.INADIMPLENCIA"/>
    <d v="2025-05-20T00:00:00"/>
    <x v="5"/>
    <x v="15"/>
    <x v="5"/>
    <x v="45"/>
    <n v="1"/>
    <n v="0"/>
  </r>
  <r>
    <s v="025.825.654/0001-85"/>
    <x v="7"/>
    <s v="INCLUSAO  ANOT.INADIMPLENCIA"/>
    <d v="2025-05-20T00:00:00"/>
    <x v="4"/>
    <x v="15"/>
    <x v="4"/>
    <x v="7"/>
    <n v="0"/>
    <n v="1"/>
  </r>
  <r>
    <s v="026.416.177/0001-67"/>
    <x v="131"/>
    <s v="EXCLUSAO  ANOT.INADIMPLENCIA"/>
    <d v="2025-05-20T00:00:00"/>
    <x v="4"/>
    <x v="15"/>
    <x v="4"/>
    <x v="131"/>
    <n v="1"/>
    <n v="0"/>
  </r>
  <r>
    <s v="028.393.466/0001-13"/>
    <x v="168"/>
    <s v="INCLUSAO  ANOT.INADIMPLENCIA"/>
    <d v="2025-05-20T00:00:00"/>
    <x v="15"/>
    <x v="15"/>
    <x v="15"/>
    <x v="168"/>
    <n v="0"/>
    <n v="1"/>
  </r>
  <r>
    <s v="028.511.223/0001-32"/>
    <x v="190"/>
    <s v="EXCLUSAO  ANOT.INADIMPLENCIA"/>
    <d v="2025-05-20T00:00:00"/>
    <x v="20"/>
    <x v="15"/>
    <x v="20"/>
    <x v="190"/>
    <n v="1"/>
    <n v="0"/>
  </r>
  <r>
    <s v="029.246.128/0001-11"/>
    <x v="128"/>
    <s v="INCLUSAO  ANOT.INADIMPLENCIA"/>
    <d v="2025-05-20T00:00:00"/>
    <x v="11"/>
    <x v="15"/>
    <x v="11"/>
    <x v="128"/>
    <n v="0"/>
    <n v="1"/>
  </r>
  <r>
    <s v="032.552.159/0001-05"/>
    <x v="212"/>
    <s v="EXCLUSAO  ANOT.INADIMPLENCIA"/>
    <d v="2025-05-20T00:00:00"/>
    <x v="31"/>
    <x v="15"/>
    <x v="31"/>
    <x v="212"/>
    <n v="1"/>
    <n v="0"/>
  </r>
  <r>
    <s v="025.094.292/0001-08"/>
    <x v="214"/>
    <s v="INCLUSAO  ANOT.INADIMPLENCIA"/>
    <d v="2025-05-20T00:00:00"/>
    <x v="28"/>
    <x v="15"/>
    <x v="28"/>
    <x v="214"/>
    <n v="0"/>
    <n v="1"/>
  </r>
  <r>
    <s v="035.679.705/0001-61"/>
    <x v="172"/>
    <s v="INCLUSAO  ANOT.INADIMPLENCIA"/>
    <d v="2025-05-20T00:00:00"/>
    <x v="6"/>
    <x v="15"/>
    <x v="6"/>
    <x v="172"/>
    <n v="0"/>
    <n v="1"/>
  </r>
  <r>
    <s v="038.110.780/0001-03"/>
    <x v="47"/>
    <s v="INCLUSAO  ANOT.INADIMPLENCIA"/>
    <d v="2025-05-20T00:00:00"/>
    <x v="8"/>
    <x v="15"/>
    <x v="8"/>
    <x v="47"/>
    <n v="0"/>
    <n v="1"/>
  </r>
  <r>
    <s v="043.515.558/0001-12"/>
    <x v="177"/>
    <s v="EXCLUSAO  ANOT.INADIMPLENCIA"/>
    <d v="2025-05-20T00:00:00"/>
    <x v="12"/>
    <x v="15"/>
    <x v="12"/>
    <x v="177"/>
    <n v="1"/>
    <n v="0"/>
  </r>
  <r>
    <s v="045.452.509/0001-03"/>
    <x v="173"/>
    <s v="INCLUSAO  ANOT.INADIMPLENCIA"/>
    <d v="2025-05-20T00:00:00"/>
    <x v="6"/>
    <x v="15"/>
    <x v="6"/>
    <x v="173"/>
    <n v="0"/>
    <n v="1"/>
  </r>
  <r>
    <s v="049.344.344/0001-07"/>
    <x v="194"/>
    <s v="EXCLUSAO  ANOT.INADIMPLENCIA"/>
    <d v="2025-05-20T00:00:00"/>
    <x v="11"/>
    <x v="15"/>
    <x v="11"/>
    <x v="194"/>
    <n v="1"/>
    <n v="0"/>
  </r>
  <r>
    <s v="057.696.093/0001-58"/>
    <x v="220"/>
    <s v="INCLUSAO  ANOT.INADIMPLENCIA"/>
    <d v="2025-05-20T00:00:00"/>
    <x v="1"/>
    <x v="15"/>
    <x v="1"/>
    <x v="220"/>
    <n v="0"/>
    <n v="1"/>
  </r>
  <r>
    <s v="057.698.087/0001-30"/>
    <x v="207"/>
    <s v="INCLUSAO  ANOT.INADIMPLENCIA"/>
    <d v="2025-05-20T00:00:00"/>
    <x v="1"/>
    <x v="15"/>
    <x v="1"/>
    <x v="207"/>
    <n v="0"/>
    <n v="1"/>
  </r>
  <r>
    <s v="037.828.375/0001-54"/>
    <x v="39"/>
    <s v="INCLUSAO  ANOT.INADIMPLENCIA"/>
    <d v="2025-05-20T00:00:00"/>
    <x v="7"/>
    <x v="15"/>
    <x v="7"/>
    <x v="39"/>
    <n v="0"/>
    <n v="1"/>
  </r>
  <r>
    <s v="071.350.797/0001-03"/>
    <x v="48"/>
    <s v="INCL/EXCL ANOT.INADIMPLENCIA"/>
    <d v="2025-05-20T00:00:00"/>
    <x v="16"/>
    <x v="15"/>
    <x v="16"/>
    <x v="48"/>
    <n v="0"/>
    <n v="0"/>
  </r>
  <r>
    <s v="024.331.138/0001-31"/>
    <x v="88"/>
    <s v="INCLUSAO  ANOT.INADIMPLENCIA"/>
    <d v="2025-05-20T00:00:00"/>
    <x v="15"/>
    <x v="15"/>
    <x v="15"/>
    <x v="88"/>
    <n v="0"/>
    <n v="1"/>
  </r>
  <r>
    <s v="023.605.544/0001-82"/>
    <x v="21"/>
    <s v="INCLUSAO  ANOT.INADIMPLENCIA"/>
    <d v="2025-05-20T00:00:00"/>
    <x v="11"/>
    <x v="15"/>
    <x v="11"/>
    <x v="21"/>
    <n v="0"/>
    <n v="1"/>
  </r>
  <r>
    <s v="001.535.822/0001-30"/>
    <x v="171"/>
    <s v="INCLUSAO  ANOT.INADIMPLENCIA"/>
    <d v="2025-05-20T00:00:00"/>
    <x v="15"/>
    <x v="15"/>
    <x v="15"/>
    <x v="171"/>
    <n v="0"/>
    <n v="1"/>
  </r>
  <r>
    <s v="002.862.437/0001-60"/>
    <x v="222"/>
    <s v="EXCLUSAO  ANOT.INADIMPLENCIA"/>
    <d v="2025-05-20T00:00:00"/>
    <x v="30"/>
    <x v="15"/>
    <x v="30"/>
    <x v="222"/>
    <n v="1"/>
    <n v="0"/>
  </r>
  <r>
    <s v="004.067.472/0001-12"/>
    <x v="160"/>
    <s v="EXCLUSAO  ANOT.INADIMPLENCIA"/>
    <d v="2025-05-20T00:00:00"/>
    <x v="11"/>
    <x v="15"/>
    <x v="11"/>
    <x v="160"/>
    <n v="1"/>
    <n v="0"/>
  </r>
  <r>
    <s v="004.323.643/0001-27"/>
    <x v="223"/>
    <s v="INCL/EXCL ANOT.INADIMPLENCIA"/>
    <d v="2025-05-20T00:00:00"/>
    <x v="0"/>
    <x v="15"/>
    <x v="0"/>
    <x v="223"/>
    <n v="0"/>
    <n v="0"/>
  </r>
  <r>
    <s v="005.374.432/0001-86"/>
    <x v="224"/>
    <s v="INCLUSAO  ANOT.INADIMPLENCIA"/>
    <d v="2025-05-20T00:00:00"/>
    <x v="33"/>
    <x v="15"/>
    <x v="33"/>
    <x v="224"/>
    <n v="0"/>
    <n v="1"/>
  </r>
  <r>
    <s v="007.102.721/0001-51"/>
    <x v="44"/>
    <s v="INCLUSAO  ANOT.INADIMPLENCIA"/>
    <d v="2025-05-20T00:00:00"/>
    <x v="15"/>
    <x v="15"/>
    <x v="15"/>
    <x v="44"/>
    <n v="0"/>
    <n v="1"/>
  </r>
  <r>
    <s v="023.637.987/0001-55"/>
    <x v="20"/>
    <s v="INCLUSAO  ANOT.INADIMPLENCIA"/>
    <d v="2025-05-20T00:00:00"/>
    <x v="7"/>
    <x v="15"/>
    <x v="7"/>
    <x v="20"/>
    <n v="0"/>
    <n v="1"/>
  </r>
  <r>
    <s v="007.561.436/0001-07"/>
    <x v="34"/>
    <s v="INCLUSAO  ANOT.INADIMPLENCIA"/>
    <d v="2025-05-20T00:00:00"/>
    <x v="15"/>
    <x v="15"/>
    <x v="15"/>
    <x v="34"/>
    <n v="0"/>
    <n v="1"/>
  </r>
  <r>
    <s v="009.171.140/0001-05"/>
    <x v="33"/>
    <s v="EXCLUSAO  ANOT.INADIMPLENCIA"/>
    <d v="2025-05-20T00:00:00"/>
    <x v="17"/>
    <x v="15"/>
    <x v="17"/>
    <x v="33"/>
    <n v="1"/>
    <n v="0"/>
  </r>
  <r>
    <s v="012.520.791/0001-60"/>
    <x v="4"/>
    <s v="INCLUSAO  ANOT.INADIMPLENCIA"/>
    <d v="2025-05-20T00:00:00"/>
    <x v="1"/>
    <x v="15"/>
    <x v="1"/>
    <x v="4"/>
    <n v="0"/>
    <n v="1"/>
  </r>
  <r>
    <s v="020.024.081/0001-77"/>
    <x v="178"/>
    <s v="EXCLUSAO  ANOT.INADIMPLENCIA"/>
    <d v="2025-05-20T00:00:00"/>
    <x v="16"/>
    <x v="15"/>
    <x v="16"/>
    <x v="178"/>
    <n v="1"/>
    <n v="0"/>
  </r>
  <r>
    <s v="020.242.216/0001-70"/>
    <x v="210"/>
    <s v="INCLUSAO  ANOT.INADIMPLENCIA"/>
    <d v="2025-05-20T00:00:00"/>
    <x v="31"/>
    <x v="15"/>
    <x v="31"/>
    <x v="210"/>
    <n v="0"/>
    <n v="1"/>
  </r>
  <r>
    <s v="021.382.943/0001-04"/>
    <x v="206"/>
    <s v="INCLUSAO  ANOT.INADIMPLENCIA"/>
    <d v="2025-05-20T00:00:00"/>
    <x v="0"/>
    <x v="15"/>
    <x v="0"/>
    <x v="206"/>
    <n v="0"/>
    <n v="1"/>
  </r>
  <r>
    <s v="021.734.108/0001-88"/>
    <x v="41"/>
    <s v="INCLUSAO  ANOT.INADIMPLENCIA"/>
    <d v="2025-05-20T00:00:00"/>
    <x v="13"/>
    <x v="15"/>
    <x v="13"/>
    <x v="41"/>
    <n v="0"/>
    <n v="1"/>
  </r>
  <r>
    <s v="008.250.872/0001-10"/>
    <x v="122"/>
    <s v="INCLUSAO  ANOT.INADIMPLENCIA"/>
    <d v="2025-05-20T00:00:00"/>
    <x v="8"/>
    <x v="15"/>
    <x v="8"/>
    <x v="122"/>
    <n v="0"/>
    <n v="1"/>
  </r>
  <r>
    <s v="092.279.363/0001-26"/>
    <x v="197"/>
    <s v="INCLUSAO  ANOT.INADIMPLENCIA"/>
    <d v="2025-05-20T00:00:00"/>
    <x v="6"/>
    <x v="15"/>
    <x v="6"/>
    <x v="197"/>
    <n v="0"/>
    <n v="1"/>
  </r>
  <r>
    <s v="000.803.044/0001-50"/>
    <x v="45"/>
    <s v="EXCLUSAO  ANOT.INADIMPLENCIA"/>
    <d v="2025-05-21T00:00:00"/>
    <x v="5"/>
    <x v="15"/>
    <x v="5"/>
    <x v="45"/>
    <n v="1"/>
    <n v="0"/>
  </r>
  <r>
    <s v="045.452.509/0001-03"/>
    <x v="173"/>
    <s v="INCLUSAO  ANOT.INADIMPLENCIA"/>
    <d v="2025-05-21T00:00:00"/>
    <x v="6"/>
    <x v="15"/>
    <x v="6"/>
    <x v="173"/>
    <n v="0"/>
    <n v="1"/>
  </r>
  <r>
    <s v="043.515.558/0001-12"/>
    <x v="177"/>
    <s v="EXCLUSAO  ANOT.INADIMPLENCIA"/>
    <d v="2025-05-21T00:00:00"/>
    <x v="12"/>
    <x v="15"/>
    <x v="12"/>
    <x v="177"/>
    <n v="1"/>
    <n v="0"/>
  </r>
  <r>
    <s v="037.828.375/0001-54"/>
    <x v="39"/>
    <s v="EXCLUSAO  ANOT.INADIMPLENCIA"/>
    <d v="2025-05-21T00:00:00"/>
    <x v="7"/>
    <x v="15"/>
    <x v="7"/>
    <x v="39"/>
    <n v="1"/>
    <n v="0"/>
  </r>
  <r>
    <s v="035.679.705/0001-61"/>
    <x v="172"/>
    <s v="INCLUSAO  ANOT.INADIMPLENCIA"/>
    <d v="2025-05-21T00:00:00"/>
    <x v="6"/>
    <x v="15"/>
    <x v="6"/>
    <x v="172"/>
    <n v="0"/>
    <n v="1"/>
  </r>
  <r>
    <s v="032.552.159/0001-05"/>
    <x v="212"/>
    <s v="EXCLUSAO  ANOT.INADIMPLENCIA"/>
    <d v="2025-05-21T00:00:00"/>
    <x v="31"/>
    <x v="15"/>
    <x v="31"/>
    <x v="212"/>
    <n v="1"/>
    <n v="0"/>
  </r>
  <r>
    <s v="028.511.223/0001-32"/>
    <x v="190"/>
    <s v="INCLUSAO  ANOT.INADIMPLENCIA"/>
    <d v="2025-05-21T00:00:00"/>
    <x v="20"/>
    <x v="15"/>
    <x v="20"/>
    <x v="190"/>
    <n v="0"/>
    <n v="1"/>
  </r>
  <r>
    <s v="028.393.466/0001-13"/>
    <x v="168"/>
    <s v="INCLUSAO  ANOT.INADIMPLENCIA"/>
    <d v="2025-05-21T00:00:00"/>
    <x v="15"/>
    <x v="15"/>
    <x v="15"/>
    <x v="168"/>
    <n v="0"/>
    <n v="1"/>
  </r>
  <r>
    <s v="025.383.640/0001-59"/>
    <x v="159"/>
    <s v="EXCLUSAO  ANOT.INADIMPLENCIA"/>
    <d v="2025-05-21T00:00:00"/>
    <x v="7"/>
    <x v="15"/>
    <x v="7"/>
    <x v="159"/>
    <n v="1"/>
    <n v="0"/>
  </r>
  <r>
    <s v="024.331.138/0001-31"/>
    <x v="88"/>
    <s v="INCLUSAO  ANOT.INADIMPLENCIA"/>
    <d v="2025-05-21T00:00:00"/>
    <x v="15"/>
    <x v="15"/>
    <x v="15"/>
    <x v="88"/>
    <n v="0"/>
    <n v="1"/>
  </r>
  <r>
    <s v="023.909.177/0001-00"/>
    <x v="103"/>
    <s v="INCLUSAO  ANOT.INADIMPLENCIA"/>
    <d v="2025-05-21T00:00:00"/>
    <x v="9"/>
    <x v="15"/>
    <x v="9"/>
    <x v="103"/>
    <n v="0"/>
    <n v="1"/>
  </r>
  <r>
    <s v="021.734.108/0001-88"/>
    <x v="41"/>
    <s v="INCLUSAO  ANOT.INADIMPLENCIA"/>
    <d v="2025-05-21T00:00:00"/>
    <x v="13"/>
    <x v="15"/>
    <x v="13"/>
    <x v="41"/>
    <n v="0"/>
    <n v="1"/>
  </r>
  <r>
    <s v="021.420.856/0001-96"/>
    <x v="130"/>
    <s v="EXCLUSAO  ANOT.INADIMPLENCIA"/>
    <d v="2025-05-21T00:00:00"/>
    <x v="24"/>
    <x v="15"/>
    <x v="24"/>
    <x v="130"/>
    <n v="1"/>
    <n v="0"/>
  </r>
  <r>
    <s v="020.309.962/0001-34"/>
    <x v="192"/>
    <s v="INCLUSAO  ANOT.INADIMPLENCIA"/>
    <d v="2025-05-21T00:00:00"/>
    <x v="20"/>
    <x v="15"/>
    <x v="20"/>
    <x v="192"/>
    <n v="0"/>
    <n v="1"/>
  </r>
  <r>
    <s v="020.242.216/0001-70"/>
    <x v="210"/>
    <s v="INCL/EXCL ANOT.INADIMPLENCIA"/>
    <d v="2025-05-21T00:00:00"/>
    <x v="31"/>
    <x v="15"/>
    <x v="31"/>
    <x v="210"/>
    <n v="0"/>
    <n v="0"/>
  </r>
  <r>
    <s v="020.066.300/0001-80"/>
    <x v="2"/>
    <s v="INCLUSAO  ANOT.INADIMPLENCIA"/>
    <d v="2025-05-21T00:00:00"/>
    <x v="1"/>
    <x v="15"/>
    <x v="1"/>
    <x v="2"/>
    <n v="0"/>
    <n v="1"/>
  </r>
  <r>
    <s v="020.024.081/0001-77"/>
    <x v="178"/>
    <s v="INCLUSAO  ANOT.INADIMPLENCIA"/>
    <d v="2025-05-21T00:00:00"/>
    <x v="16"/>
    <x v="15"/>
    <x v="16"/>
    <x v="178"/>
    <n v="0"/>
    <n v="1"/>
  </r>
  <r>
    <s v="018.608.055/0001-44"/>
    <x v="132"/>
    <s v="INCLUSAO  ANOT.INADIMPLENCIA"/>
    <d v="2025-05-21T00:00:00"/>
    <x v="4"/>
    <x v="15"/>
    <x v="4"/>
    <x v="132"/>
    <n v="0"/>
    <n v="1"/>
  </r>
  <r>
    <s v="016.772.642/0001-49"/>
    <x v="70"/>
    <s v="INCLUSAO  ANOT.INADIMPLENCIA"/>
    <d v="2025-05-21T00:00:00"/>
    <x v="0"/>
    <x v="15"/>
    <x v="0"/>
    <x v="70"/>
    <n v="0"/>
    <n v="1"/>
  </r>
  <r>
    <s v="008.250.872/0001-10"/>
    <x v="122"/>
    <s v="INCLUSAO  ANOT.INADIMPLENCIA"/>
    <d v="2025-05-21T00:00:00"/>
    <x v="8"/>
    <x v="15"/>
    <x v="8"/>
    <x v="122"/>
    <n v="0"/>
    <n v="1"/>
  </r>
  <r>
    <s v="007.561.436/0001-07"/>
    <x v="34"/>
    <s v="INCLUSAO  ANOT.INADIMPLENCIA"/>
    <d v="2025-05-21T00:00:00"/>
    <x v="15"/>
    <x v="15"/>
    <x v="15"/>
    <x v="34"/>
    <n v="0"/>
    <n v="1"/>
  </r>
  <r>
    <s v="007.102.721/0001-51"/>
    <x v="44"/>
    <s v="EXCLUSAO  ANOT.INADIMPLENCIA"/>
    <d v="2025-05-21T00:00:00"/>
    <x v="15"/>
    <x v="15"/>
    <x v="15"/>
    <x v="44"/>
    <n v="1"/>
    <n v="0"/>
  </r>
  <r>
    <s v="004.323.643/0001-27"/>
    <x v="223"/>
    <s v="EXCLUSAO  ANOT.INADIMPLENCIA"/>
    <d v="2025-05-21T00:00:00"/>
    <x v="0"/>
    <x v="15"/>
    <x v="0"/>
    <x v="223"/>
    <n v="1"/>
    <n v="0"/>
  </r>
  <r>
    <s v="004.041.192/0001-35"/>
    <x v="37"/>
    <s v="INCLUSAO  ANOT.INADIMPLENCIA"/>
    <d v="2025-05-21T00:00:00"/>
    <x v="0"/>
    <x v="15"/>
    <x v="0"/>
    <x v="37"/>
    <n v="0"/>
    <n v="1"/>
  </r>
  <r>
    <s v="047.635.671/0001-92"/>
    <x v="144"/>
    <s v="ALTERACAO RAZAO SOCIAL"/>
    <d v="2025-05-21T00:00:00"/>
    <x v="1"/>
    <x v="15"/>
    <x v="1"/>
    <x v="144"/>
    <n v="0"/>
    <n v="0"/>
  </r>
  <r>
    <s v="049.344.344/0001-07"/>
    <x v="194"/>
    <s v="EXCLUSAO  ANOT.INADIMPLENCIA"/>
    <d v="2025-05-21T00:00:00"/>
    <x v="11"/>
    <x v="15"/>
    <x v="11"/>
    <x v="194"/>
    <n v="1"/>
    <n v="0"/>
  </r>
  <r>
    <s v="001.376.967/0001-35"/>
    <x v="193"/>
    <s v="INCLUSAO  ANOT.INADIMPLENCIA"/>
    <d v="2025-05-22T00:00:00"/>
    <x v="29"/>
    <x v="15"/>
    <x v="29"/>
    <x v="193"/>
    <n v="0"/>
    <n v="1"/>
  </r>
  <r>
    <s v="049.218.819/0001-19"/>
    <x v="151"/>
    <s v="EXCLUSAO  ANOT.INADIMPLENCIA"/>
    <d v="2025-05-22T00:00:00"/>
    <x v="14"/>
    <x v="15"/>
    <x v="14"/>
    <x v="151"/>
    <n v="1"/>
    <n v="0"/>
  </r>
  <r>
    <s v="048.956.491/0001-75"/>
    <x v="180"/>
    <s v="EXCLUSAO  ANOT.INADIMPLENCIA"/>
    <d v="2025-05-22T00:00:00"/>
    <x v="28"/>
    <x v="15"/>
    <x v="28"/>
    <x v="180"/>
    <n v="1"/>
    <n v="0"/>
  </r>
  <r>
    <s v="046.778.324/0001-56"/>
    <x v="211"/>
    <s v="EXCLUSAO  ANOT.INADIMPLENCIA"/>
    <d v="2025-05-22T00:00:00"/>
    <x v="32"/>
    <x v="15"/>
    <x v="32"/>
    <x v="211"/>
    <n v="1"/>
    <n v="0"/>
  </r>
  <r>
    <s v="044.320.551/0001-08"/>
    <x v="75"/>
    <s v="ALTERACAO ADMINISTRADORES"/>
    <d v="2025-05-22T00:00:00"/>
    <x v="0"/>
    <x v="15"/>
    <x v="0"/>
    <x v="75"/>
    <n v="0"/>
    <n v="0"/>
  </r>
  <r>
    <s v="038.110.780/0001-03"/>
    <x v="47"/>
    <s v="EXCLUSAO  ANOT.INADIMPLENCIA"/>
    <d v="2025-05-22T00:00:00"/>
    <x v="8"/>
    <x v="15"/>
    <x v="8"/>
    <x v="47"/>
    <n v="1"/>
    <n v="0"/>
  </r>
  <r>
    <s v="037.828.375/0001-54"/>
    <x v="39"/>
    <s v="INCLUSAO  ANOT.INADIMPLENCIA"/>
    <d v="2025-05-22T00:00:00"/>
    <x v="7"/>
    <x v="15"/>
    <x v="7"/>
    <x v="39"/>
    <n v="0"/>
    <n v="1"/>
  </r>
  <r>
    <s v="028.511.223/0001-32"/>
    <x v="190"/>
    <s v="INCLUSAO  ANOT.INADIMPLENCIA"/>
    <d v="2025-05-22T00:00:00"/>
    <x v="20"/>
    <x v="15"/>
    <x v="20"/>
    <x v="190"/>
    <n v="0"/>
    <n v="1"/>
  </r>
  <r>
    <s v="027.180.131/0001-54"/>
    <x v="189"/>
    <s v="INCLUSAO  ANOT.INADIMPLENCIA"/>
    <d v="2025-05-22T00:00:00"/>
    <x v="20"/>
    <x v="15"/>
    <x v="20"/>
    <x v="189"/>
    <n v="0"/>
    <n v="1"/>
  </r>
  <r>
    <s v="024.331.138/0001-31"/>
    <x v="88"/>
    <s v="EXCLUSAO  ANOT.INADIMPLENCIA"/>
    <d v="2025-05-22T00:00:00"/>
    <x v="15"/>
    <x v="15"/>
    <x v="15"/>
    <x v="88"/>
    <n v="1"/>
    <n v="0"/>
  </r>
  <r>
    <s v="023.605.544/0001-82"/>
    <x v="21"/>
    <s v="INCLUSAO  ANOT.INADIMPLENCIA"/>
    <d v="2025-05-22T00:00:00"/>
    <x v="11"/>
    <x v="15"/>
    <x v="11"/>
    <x v="21"/>
    <n v="0"/>
    <n v="1"/>
  </r>
  <r>
    <s v="021.458.691/0001-41"/>
    <x v="225"/>
    <s v="INCLUSAO  ANOT.INADIMPLENCIA"/>
    <d v="2025-05-22T00:00:00"/>
    <x v="29"/>
    <x v="15"/>
    <x v="29"/>
    <x v="225"/>
    <n v="0"/>
    <n v="1"/>
  </r>
  <r>
    <s v="021.382.943/0001-04"/>
    <x v="206"/>
    <s v="INCLUSAO  ANOT.INADIMPLENCIA"/>
    <d v="2025-05-22T00:00:00"/>
    <x v="0"/>
    <x v="15"/>
    <x v="0"/>
    <x v="206"/>
    <n v="0"/>
    <n v="1"/>
  </r>
  <r>
    <s v="020.242.216/0001-70"/>
    <x v="210"/>
    <s v="INCLUSAO  ANOT.INADIMPLENCIA"/>
    <d v="2025-05-22T00:00:00"/>
    <x v="31"/>
    <x v="15"/>
    <x v="31"/>
    <x v="210"/>
    <n v="0"/>
    <n v="1"/>
  </r>
  <r>
    <s v="020.024.081/0001-77"/>
    <x v="178"/>
    <s v="EXCLUSAO  ANOT.INADIMPLENCIA"/>
    <d v="2025-05-22T00:00:00"/>
    <x v="16"/>
    <x v="15"/>
    <x v="16"/>
    <x v="178"/>
    <n v="1"/>
    <n v="0"/>
  </r>
  <r>
    <s v="011.122.552/0001-99"/>
    <x v="60"/>
    <s v="INCLUSAO  ANOT.INADIMPLENCIA"/>
    <d v="2025-05-22T00:00:00"/>
    <x v="8"/>
    <x v="15"/>
    <x v="8"/>
    <x v="60"/>
    <n v="0"/>
    <n v="1"/>
  </r>
  <r>
    <s v="010.354.613/0001-80"/>
    <x v="226"/>
    <s v="ALTERACAO ENDERECO"/>
    <d v="2025-05-22T00:00:00"/>
    <x v="31"/>
    <x v="15"/>
    <x v="31"/>
    <x v="226"/>
    <n v="0"/>
    <n v="0"/>
  </r>
  <r>
    <s v="005.281.194/0001-64"/>
    <x v="227"/>
    <s v="INCLUSAO  ANOT.INADIMPLENCIA"/>
    <d v="2025-05-22T00:00:00"/>
    <x v="33"/>
    <x v="15"/>
    <x v="33"/>
    <x v="227"/>
    <n v="0"/>
    <n v="1"/>
  </r>
  <r>
    <s v="049.344.344/0001-07"/>
    <x v="194"/>
    <s v="EXCLUSAO  ANOT.INADIMPLENCIA"/>
    <d v="2025-05-22T00:00:00"/>
    <x v="11"/>
    <x v="15"/>
    <x v="11"/>
    <x v="194"/>
    <n v="1"/>
    <n v="0"/>
  </r>
  <r>
    <s v="092.279.363/0001-26"/>
    <x v="197"/>
    <s v="EXCLUSAO  ANOT.INADIMPLENCIA"/>
    <d v="2025-05-22T00:00:00"/>
    <x v="6"/>
    <x v="15"/>
    <x v="6"/>
    <x v="197"/>
    <n v="1"/>
    <n v="0"/>
  </r>
  <r>
    <s v="001.535.822/0001-30"/>
    <x v="171"/>
    <s v="EXCLUSAO  ANOT.INADIMPLENCIA"/>
    <d v="2025-05-23T00:00:00"/>
    <x v="15"/>
    <x v="15"/>
    <x v="15"/>
    <x v="171"/>
    <n v="1"/>
    <n v="0"/>
  </r>
  <r>
    <s v="048.956.491/0001-75"/>
    <x v="180"/>
    <s v="EXCLUSAO  ANOT.INADIMPLENCIA"/>
    <d v="2025-05-23T00:00:00"/>
    <x v="28"/>
    <x v="15"/>
    <x v="28"/>
    <x v="180"/>
    <n v="1"/>
    <n v="0"/>
  </r>
  <r>
    <s v="044.032.421/0001-70"/>
    <x v="112"/>
    <s v="EXCLUSAO  ANOT.INADIMPLENCIA"/>
    <d v="2025-05-23T00:00:00"/>
    <x v="0"/>
    <x v="15"/>
    <x v="0"/>
    <x v="112"/>
    <n v="1"/>
    <n v="0"/>
  </r>
  <r>
    <s v="039.535.425/0001-30"/>
    <x v="121"/>
    <s v="INCLUSAO  ANOT.INADIMPLENCIA"/>
    <d v="2025-05-23T00:00:00"/>
    <x v="8"/>
    <x v="15"/>
    <x v="8"/>
    <x v="121"/>
    <n v="0"/>
    <n v="1"/>
  </r>
  <r>
    <s v="038.405.720/0001-00"/>
    <x v="203"/>
    <s v="INCLUSAO  ANOT.INADIMPLENCIA"/>
    <d v="2025-05-23T00:00:00"/>
    <x v="20"/>
    <x v="15"/>
    <x v="20"/>
    <x v="203"/>
    <n v="0"/>
    <n v="1"/>
  </r>
  <r>
    <s v="038.110.780/0001-03"/>
    <x v="47"/>
    <s v="ALTERACAO ENDERECO"/>
    <d v="2025-05-23T00:00:00"/>
    <x v="8"/>
    <x v="15"/>
    <x v="8"/>
    <x v="47"/>
    <n v="0"/>
    <n v="0"/>
  </r>
  <r>
    <s v="035.165.246/0001-06"/>
    <x v="105"/>
    <s v="INCLUSAO  ANOT.INADIMPLENCIA"/>
    <d v="2025-05-23T00:00:00"/>
    <x v="4"/>
    <x v="15"/>
    <x v="4"/>
    <x v="105"/>
    <n v="0"/>
    <n v="1"/>
  </r>
  <r>
    <s v="034.821.586/0001-77"/>
    <x v="38"/>
    <s v="INCLUSAO  ANOT.INADIMPLENCIA"/>
    <d v="2025-05-23T00:00:00"/>
    <x v="4"/>
    <x v="15"/>
    <x v="4"/>
    <x v="38"/>
    <n v="0"/>
    <n v="1"/>
  </r>
  <r>
    <s v="032.552.159/0001-05"/>
    <x v="212"/>
    <s v="EXCLUSAO  ANOT.INADIMPLENCIA"/>
    <d v="2025-05-23T00:00:00"/>
    <x v="31"/>
    <x v="15"/>
    <x v="31"/>
    <x v="212"/>
    <n v="1"/>
    <n v="0"/>
  </r>
  <r>
    <s v="029.246.128/0001-11"/>
    <x v="128"/>
    <s v="EXCLUSAO  ANOT.INADIMPLENCIA"/>
    <d v="2025-05-23T00:00:00"/>
    <x v="11"/>
    <x v="15"/>
    <x v="11"/>
    <x v="128"/>
    <n v="1"/>
    <n v="0"/>
  </r>
  <r>
    <s v="028.511.223/0001-32"/>
    <x v="190"/>
    <s v="EXCLUSAO  ANOT.INADIMPLENCIA"/>
    <d v="2025-05-23T00:00:00"/>
    <x v="20"/>
    <x v="15"/>
    <x v="20"/>
    <x v="190"/>
    <n v="1"/>
    <n v="0"/>
  </r>
  <r>
    <s v="025.825.654/0001-85"/>
    <x v="7"/>
    <s v="INCLUSAO  ANOT.INADIMPLENCIA"/>
    <d v="2025-05-23T00:00:00"/>
    <x v="4"/>
    <x v="15"/>
    <x v="4"/>
    <x v="7"/>
    <n v="0"/>
    <n v="1"/>
  </r>
  <r>
    <s v="025.383.640/0001-59"/>
    <x v="159"/>
    <s v="EXCLUSAO  ANOT.INADIMPLENCIA"/>
    <d v="2025-05-23T00:00:00"/>
    <x v="7"/>
    <x v="15"/>
    <x v="7"/>
    <x v="159"/>
    <n v="1"/>
    <n v="0"/>
  </r>
  <r>
    <s v="021.382.943/0001-04"/>
    <x v="206"/>
    <s v="EXCLUSAO  ANOT.INADIMPLENCIA"/>
    <d v="2025-05-23T00:00:00"/>
    <x v="0"/>
    <x v="15"/>
    <x v="0"/>
    <x v="206"/>
    <n v="1"/>
    <n v="0"/>
  </r>
  <r>
    <s v="020.242.216/0001-70"/>
    <x v="210"/>
    <s v="INCLUSAO  ANOT.INADIMPLENCIA"/>
    <d v="2025-05-23T00:00:00"/>
    <x v="31"/>
    <x v="15"/>
    <x v="31"/>
    <x v="210"/>
    <n v="0"/>
    <n v="1"/>
  </r>
  <r>
    <s v="020.066.300/0001-80"/>
    <x v="2"/>
    <s v="INCLUSAO  ANOT.INADIMPLENCIA"/>
    <d v="2025-05-23T00:00:00"/>
    <x v="1"/>
    <x v="15"/>
    <x v="1"/>
    <x v="2"/>
    <n v="0"/>
    <n v="1"/>
  </r>
  <r>
    <s v="020.024.081/0001-77"/>
    <x v="178"/>
    <s v="EXCLUSAO  ANOT.INADIMPLENCIA"/>
    <d v="2025-05-23T00:00:00"/>
    <x v="16"/>
    <x v="15"/>
    <x v="16"/>
    <x v="178"/>
    <n v="1"/>
    <n v="0"/>
  </r>
  <r>
    <s v="018.498.459/0001-22"/>
    <x v="228"/>
    <s v="INCLUSAO  ANOT.INADIMPLENCIA"/>
    <d v="2025-05-23T00:00:00"/>
    <x v="11"/>
    <x v="15"/>
    <x v="11"/>
    <x v="228"/>
    <n v="0"/>
    <n v="1"/>
  </r>
  <r>
    <s v="016.772.642/0001-49"/>
    <x v="70"/>
    <s v="INCLUSAO  ANOT.INADIMPLENCIA"/>
    <d v="2025-05-23T00:00:00"/>
    <x v="0"/>
    <x v="15"/>
    <x v="0"/>
    <x v="70"/>
    <n v="0"/>
    <n v="1"/>
  </r>
  <r>
    <s v="016.757.535/0001-41"/>
    <x v="29"/>
    <s v="EXCLUSAO  ANOT.INADIMPLENCIA"/>
    <d v="2025-05-23T00:00:00"/>
    <x v="14"/>
    <x v="15"/>
    <x v="14"/>
    <x v="29"/>
    <n v="1"/>
    <n v="0"/>
  </r>
  <r>
    <s v="014.202.427/0001-87"/>
    <x v="215"/>
    <s v="EXCLUSAO  ANOT.INADIMPLENCIA"/>
    <d v="2025-05-23T00:00:00"/>
    <x v="30"/>
    <x v="15"/>
    <x v="30"/>
    <x v="215"/>
    <n v="1"/>
    <n v="0"/>
  </r>
  <r>
    <s v="011.173.099/0001-40"/>
    <x v="229"/>
    <s v="EXCLUSAO  ANOT.INADIMPLENCIA"/>
    <d v="2025-05-23T00:00:00"/>
    <x v="30"/>
    <x v="15"/>
    <x v="30"/>
    <x v="229"/>
    <n v="1"/>
    <n v="0"/>
  </r>
  <r>
    <s v="011.091.574/0001-39"/>
    <x v="26"/>
    <s v="EXCLUSAO  ANOT.INADIMPLENCIA"/>
    <d v="2025-05-23T00:00:00"/>
    <x v="7"/>
    <x v="15"/>
    <x v="7"/>
    <x v="26"/>
    <n v="1"/>
    <n v="0"/>
  </r>
  <r>
    <s v="010.672.840/0001-54"/>
    <x v="230"/>
    <s v="INCLUSAO  ANOT.INADIMPLENCIA"/>
    <d v="2025-05-23T00:00:00"/>
    <x v="30"/>
    <x v="15"/>
    <x v="30"/>
    <x v="230"/>
    <n v="0"/>
    <n v="1"/>
  </r>
  <r>
    <s v="007.102.721/0001-51"/>
    <x v="44"/>
    <s v="INCLUSAO  ANOT.INADIMPLENCIA"/>
    <d v="2025-05-23T00:00:00"/>
    <x v="15"/>
    <x v="15"/>
    <x v="15"/>
    <x v="44"/>
    <n v="0"/>
    <n v="1"/>
  </r>
  <r>
    <s v="004.323.643/0001-27"/>
    <x v="223"/>
    <s v="ALTERACAO ENDERECO"/>
    <d v="2025-05-23T00:00:00"/>
    <x v="0"/>
    <x v="15"/>
    <x v="0"/>
    <x v="223"/>
    <n v="0"/>
    <n v="0"/>
  </r>
  <r>
    <s v="051.980.425/0001-45"/>
    <x v="174"/>
    <s v="EXCLUSAO  ANOT.INADIMPLENCIA"/>
    <d v="2025-05-23T00:00:00"/>
    <x v="16"/>
    <x v="15"/>
    <x v="16"/>
    <x v="174"/>
    <n v="1"/>
    <n v="0"/>
  </r>
  <r>
    <s v="057.696.093/0001-58"/>
    <x v="220"/>
    <s v="EXCLUSAO  ANOT.INADIMPLENCIA"/>
    <d v="2025-05-23T00:00:00"/>
    <x v="1"/>
    <x v="15"/>
    <x v="1"/>
    <x v="220"/>
    <n v="1"/>
    <n v="0"/>
  </r>
  <r>
    <s v="002.038.227/0001-51"/>
    <x v="56"/>
    <s v="INCLUSAO  ANOT.INADIMPLENCIA"/>
    <d v="2025-05-24T00:00:00"/>
    <x v="1"/>
    <x v="15"/>
    <x v="1"/>
    <x v="56"/>
    <n v="0"/>
    <n v="1"/>
  </r>
  <r>
    <s v="007.102.721/0001-51"/>
    <x v="44"/>
    <s v="INCL/EXCL ANOT.INADIMPLENCIA"/>
    <d v="2025-05-24T00:00:00"/>
    <x v="15"/>
    <x v="15"/>
    <x v="15"/>
    <x v="44"/>
    <n v="0"/>
    <n v="0"/>
  </r>
  <r>
    <s v="008.250.872/0001-10"/>
    <x v="122"/>
    <s v="INCLUSAO  ANOT.INADIMPLENCIA"/>
    <d v="2025-05-24T00:00:00"/>
    <x v="8"/>
    <x v="15"/>
    <x v="8"/>
    <x v="122"/>
    <n v="0"/>
    <n v="1"/>
  </r>
  <r>
    <s v="021.382.943/0001-04"/>
    <x v="206"/>
    <s v="INCL/EXCL ANOT.INADIMPLENCIA"/>
    <d v="2025-05-24T00:00:00"/>
    <x v="0"/>
    <x v="15"/>
    <x v="0"/>
    <x v="206"/>
    <n v="0"/>
    <n v="0"/>
  </r>
  <r>
    <s v="025.236.865/0001-82"/>
    <x v="51"/>
    <s v="EXCLUSAO  ANOT.INADIMPLENCIA"/>
    <d v="2025-05-24T00:00:00"/>
    <x v="1"/>
    <x v="15"/>
    <x v="1"/>
    <x v="51"/>
    <n v="1"/>
    <n v="0"/>
  </r>
  <r>
    <s v="025.825.654/0001-85"/>
    <x v="7"/>
    <s v="INCLUSAO  ANOT.INADIMPLENCIA"/>
    <d v="2025-05-24T00:00:00"/>
    <x v="4"/>
    <x v="15"/>
    <x v="4"/>
    <x v="7"/>
    <n v="0"/>
    <n v="1"/>
  </r>
  <r>
    <s v="028.511.223/0001-32"/>
    <x v="190"/>
    <s v="INCLUSAO  ANOT.INADIMPLENCIA"/>
    <d v="2025-05-24T00:00:00"/>
    <x v="20"/>
    <x v="15"/>
    <x v="20"/>
    <x v="190"/>
    <n v="0"/>
    <n v="1"/>
  </r>
  <r>
    <s v="028.650.970/0001-51"/>
    <x v="167"/>
    <s v="INCLUSAO  ANOT.INADIMPLENCIA"/>
    <d v="2025-05-24T00:00:00"/>
    <x v="16"/>
    <x v="15"/>
    <x v="16"/>
    <x v="167"/>
    <n v="0"/>
    <n v="1"/>
  </r>
  <r>
    <s v="038.110.780/0001-03"/>
    <x v="47"/>
    <s v="EXCLUSAO  ANOT.INADIMPLENCIA"/>
    <d v="2025-05-24T00:00:00"/>
    <x v="8"/>
    <x v="15"/>
    <x v="8"/>
    <x v="47"/>
    <n v="1"/>
    <n v="0"/>
  </r>
  <r>
    <s v="038.634.242/0001-00"/>
    <x v="92"/>
    <s v="INCLUSAO  ANOT.INADIMPLENCIA"/>
    <d v="2025-05-24T00:00:00"/>
    <x v="16"/>
    <x v="15"/>
    <x v="16"/>
    <x v="92"/>
    <n v="0"/>
    <n v="1"/>
  </r>
  <r>
    <s v="040.938.741/0001-32"/>
    <x v="162"/>
    <s v="EXCLUSAO  ANOT.INADIMPLENCIA"/>
    <d v="2025-05-24T00:00:00"/>
    <x v="15"/>
    <x v="15"/>
    <x v="15"/>
    <x v="162"/>
    <n v="1"/>
    <n v="0"/>
  </r>
  <r>
    <s v="043.515.558/0001-12"/>
    <x v="177"/>
    <s v="EXCLUSAO  ANOT.INADIMPLENCIA"/>
    <d v="2025-05-24T00:00:00"/>
    <x v="12"/>
    <x v="15"/>
    <x v="12"/>
    <x v="177"/>
    <n v="1"/>
    <n v="0"/>
  </r>
  <r>
    <s v="045.452.509/0001-03"/>
    <x v="173"/>
    <s v="INCLUSAO  ANOT.INADIMPLENCIA"/>
    <d v="2025-05-24T00:00:00"/>
    <x v="6"/>
    <x v="15"/>
    <x v="6"/>
    <x v="173"/>
    <n v="0"/>
    <n v="1"/>
  </r>
  <r>
    <s v="057.698.087/0001-30"/>
    <x v="207"/>
    <s v="EXCLUSAO  ANOT.INADIMPLENCIA"/>
    <d v="2025-05-24T00:00:00"/>
    <x v="1"/>
    <x v="15"/>
    <x v="1"/>
    <x v="207"/>
    <n v="1"/>
    <n v="0"/>
  </r>
  <r>
    <s v="003.524.760/0001-96"/>
    <x v="231"/>
    <s v="INCLUSAO  ANOT.INADIMPLENCIA"/>
    <d v="2025-05-27T00:00:00"/>
    <x v="34"/>
    <x v="15"/>
    <x v="34"/>
    <x v="231"/>
    <n v="0"/>
    <n v="1"/>
  </r>
  <r>
    <s v="051.980.425/0001-45"/>
    <x v="174"/>
    <s v="INCLUSAO  ANOT.INADIMPLENCIA"/>
    <d v="2025-05-27T00:00:00"/>
    <x v="16"/>
    <x v="15"/>
    <x v="16"/>
    <x v="174"/>
    <n v="0"/>
    <n v="1"/>
  </r>
  <r>
    <s v="044.637.793/0001-20"/>
    <x v="147"/>
    <s v="EXCLUSAO  ANOT.INADIMPLENCIA"/>
    <d v="2025-05-27T00:00:00"/>
    <x v="0"/>
    <x v="15"/>
    <x v="0"/>
    <x v="147"/>
    <n v="1"/>
    <n v="0"/>
  </r>
  <r>
    <s v="043.515.558/0001-12"/>
    <x v="177"/>
    <s v="INCLUSAO  ANOT.INADIMPLENCIA"/>
    <d v="2025-05-27T00:00:00"/>
    <x v="12"/>
    <x v="15"/>
    <x v="12"/>
    <x v="177"/>
    <n v="0"/>
    <n v="1"/>
  </r>
  <r>
    <s v="038.110.780/0001-03"/>
    <x v="47"/>
    <s v="INCLUSAO  ANOT.INADIMPLENCIA"/>
    <d v="2025-05-27T00:00:00"/>
    <x v="8"/>
    <x v="15"/>
    <x v="8"/>
    <x v="47"/>
    <n v="0"/>
    <n v="1"/>
  </r>
  <r>
    <s v="037.828.375/0001-54"/>
    <x v="39"/>
    <s v="INCL/EXCL ANOT.INADIMPLENCIA"/>
    <d v="2025-05-27T00:00:00"/>
    <x v="7"/>
    <x v="15"/>
    <x v="7"/>
    <x v="39"/>
    <n v="0"/>
    <n v="0"/>
  </r>
  <r>
    <s v="036.726.274/0001-00"/>
    <x v="134"/>
    <s v="EXCLUSAO  ANOT.INADIMPLENCIA"/>
    <d v="2025-05-27T00:00:00"/>
    <x v="1"/>
    <x v="15"/>
    <x v="1"/>
    <x v="134"/>
    <n v="1"/>
    <n v="0"/>
  </r>
  <r>
    <s v="035.679.705/0001-61"/>
    <x v="172"/>
    <s v="INCLUSAO  ANOT.INADIMPLENCIA"/>
    <d v="2025-05-27T00:00:00"/>
    <x v="6"/>
    <x v="15"/>
    <x v="6"/>
    <x v="172"/>
    <n v="0"/>
    <n v="1"/>
  </r>
  <r>
    <s v="028.650.970/0001-51"/>
    <x v="167"/>
    <s v="INCLUSAO  ANOT.INADIMPLENCIA"/>
    <d v="2025-05-27T00:00:00"/>
    <x v="16"/>
    <x v="15"/>
    <x v="16"/>
    <x v="167"/>
    <n v="0"/>
    <n v="1"/>
  </r>
  <r>
    <s v="028.511.223/0001-32"/>
    <x v="190"/>
    <s v="INCLUSAO  ANOT.INADIMPLENCIA"/>
    <d v="2025-05-27T00:00:00"/>
    <x v="20"/>
    <x v="15"/>
    <x v="20"/>
    <x v="190"/>
    <n v="0"/>
    <n v="1"/>
  </r>
  <r>
    <s v="028.393.466/0001-13"/>
    <x v="168"/>
    <s v="INCLUSAO  ANOT.INADIMPLENCIA"/>
    <d v="2025-05-27T00:00:00"/>
    <x v="15"/>
    <x v="15"/>
    <x v="15"/>
    <x v="168"/>
    <n v="0"/>
    <n v="1"/>
  </r>
  <r>
    <s v="027.180.131/0001-54"/>
    <x v="189"/>
    <s v="INCLUSAO  ANOT.INADIMPLENCIA"/>
    <d v="2025-05-27T00:00:00"/>
    <x v="20"/>
    <x v="15"/>
    <x v="20"/>
    <x v="189"/>
    <n v="0"/>
    <n v="1"/>
  </r>
  <r>
    <s v="025.825.654/0001-85"/>
    <x v="7"/>
    <s v="INCLUSAO  ANOT.INADIMPLENCIA"/>
    <d v="2025-05-27T00:00:00"/>
    <x v="4"/>
    <x v="15"/>
    <x v="4"/>
    <x v="7"/>
    <n v="0"/>
    <n v="1"/>
  </r>
  <r>
    <s v="025.383.640/0001-59"/>
    <x v="159"/>
    <s v="EXCLUSAO  ANOT.INADIMPLENCIA"/>
    <d v="2025-05-27T00:00:00"/>
    <x v="7"/>
    <x v="15"/>
    <x v="7"/>
    <x v="159"/>
    <n v="1"/>
    <n v="0"/>
  </r>
  <r>
    <s v="023.605.544/0001-82"/>
    <x v="21"/>
    <s v="INCLUSAO  ANOT.INADIMPLENCIA"/>
    <d v="2025-05-27T00:00:00"/>
    <x v="11"/>
    <x v="15"/>
    <x v="11"/>
    <x v="21"/>
    <n v="0"/>
    <n v="1"/>
  </r>
  <r>
    <s v="021.285.266/0001-06"/>
    <x v="232"/>
    <s v="INCLUSAO  ANOT.INADIMPLENCIA"/>
    <d v="2025-05-27T00:00:00"/>
    <x v="31"/>
    <x v="15"/>
    <x v="31"/>
    <x v="232"/>
    <n v="0"/>
    <n v="1"/>
  </r>
  <r>
    <s v="020.242.216/0001-70"/>
    <x v="210"/>
    <s v="INCLUSAO  ANOT.INADIMPLENCIA"/>
    <d v="2025-05-27T00:00:00"/>
    <x v="31"/>
    <x v="15"/>
    <x v="31"/>
    <x v="210"/>
    <n v="0"/>
    <n v="1"/>
  </r>
  <r>
    <s v="020.066.300/0001-80"/>
    <x v="2"/>
    <s v="INCLUSAO  ANOT.INADIMPLENCIA"/>
    <d v="2025-05-27T00:00:00"/>
    <x v="1"/>
    <x v="15"/>
    <x v="1"/>
    <x v="2"/>
    <n v="0"/>
    <n v="1"/>
  </r>
  <r>
    <s v="016.772.642/0001-49"/>
    <x v="70"/>
    <s v="INCLUSAO  ANOT.INADIMPLENCIA"/>
    <d v="2025-05-27T00:00:00"/>
    <x v="0"/>
    <x v="15"/>
    <x v="0"/>
    <x v="70"/>
    <n v="0"/>
    <n v="1"/>
  </r>
  <r>
    <s v="016.757.535/0001-41"/>
    <x v="29"/>
    <s v="INCLUSAO  ANOT.INADIMPLENCIA"/>
    <d v="2025-05-27T00:00:00"/>
    <x v="14"/>
    <x v="15"/>
    <x v="14"/>
    <x v="29"/>
    <n v="0"/>
    <n v="1"/>
  </r>
  <r>
    <s v="014.829.598/0001-30"/>
    <x v="31"/>
    <s v="EXCLUSAO  ANOT.INADIMPLENCIA"/>
    <d v="2025-05-27T00:00:00"/>
    <x v="11"/>
    <x v="15"/>
    <x v="11"/>
    <x v="31"/>
    <n v="1"/>
    <n v="0"/>
  </r>
  <r>
    <s v="012.645.814/0001-62"/>
    <x v="218"/>
    <s v="INCLUSAO  ANOT.INADIMPLENCIA"/>
    <d v="2025-05-27T00:00:00"/>
    <x v="30"/>
    <x v="15"/>
    <x v="30"/>
    <x v="218"/>
    <n v="0"/>
    <n v="1"/>
  </r>
  <r>
    <s v="012.520.791/0001-60"/>
    <x v="4"/>
    <s v="EXCLUSAO  ANOT.INADIMPLENCIA"/>
    <d v="2025-05-27T00:00:00"/>
    <x v="1"/>
    <x v="15"/>
    <x v="1"/>
    <x v="4"/>
    <n v="1"/>
    <n v="0"/>
  </r>
  <r>
    <s v="008.250.872/0001-10"/>
    <x v="122"/>
    <s v="INCLUSAO  ANOT.INADIMPLENCIA"/>
    <d v="2025-05-27T00:00:00"/>
    <x v="8"/>
    <x v="15"/>
    <x v="8"/>
    <x v="122"/>
    <n v="0"/>
    <n v="1"/>
  </r>
  <r>
    <s v="007.102.721/0001-51"/>
    <x v="44"/>
    <s v="INCL/EXCL ANOT.INADIMPLENCIA"/>
    <d v="2025-05-27T00:00:00"/>
    <x v="15"/>
    <x v="15"/>
    <x v="15"/>
    <x v="44"/>
    <n v="0"/>
    <n v="0"/>
  </r>
  <r>
    <s v="005.774.638/0001-01"/>
    <x v="198"/>
    <s v="INCLUSAO  ANOT.INADIMPLENCIA"/>
    <d v="2025-05-27T00:00:00"/>
    <x v="30"/>
    <x v="15"/>
    <x v="30"/>
    <x v="198"/>
    <n v="0"/>
    <n v="1"/>
  </r>
  <r>
    <s v="005.374.432/0001-86"/>
    <x v="224"/>
    <s v="INCLUSAO  ANOT.INADIMPLENCIA"/>
    <d v="2025-05-27T00:00:00"/>
    <x v="33"/>
    <x v="15"/>
    <x v="33"/>
    <x v="224"/>
    <n v="0"/>
    <n v="1"/>
  </r>
  <r>
    <s v="004.126.524/0001-84"/>
    <x v="49"/>
    <s v="EXCLUSAO  ANOT.INADIMPLENCIA"/>
    <d v="2025-05-27T00:00:00"/>
    <x v="13"/>
    <x v="15"/>
    <x v="13"/>
    <x v="49"/>
    <n v="1"/>
    <n v="0"/>
  </r>
  <r>
    <s v="057.696.093/0001-58"/>
    <x v="220"/>
    <s v="INCLUSAO  ANOT.INADIMPLENCIA"/>
    <d v="2025-05-27T00:00:00"/>
    <x v="1"/>
    <x v="15"/>
    <x v="1"/>
    <x v="220"/>
    <n v="0"/>
    <n v="1"/>
  </r>
  <r>
    <s v="057.698.087/0001-30"/>
    <x v="207"/>
    <s v="INCLUSAO  ANOT.INADIMPLENCIA"/>
    <d v="2025-05-27T00:00:00"/>
    <x v="1"/>
    <x v="15"/>
    <x v="1"/>
    <x v="207"/>
    <n v="0"/>
    <n v="1"/>
  </r>
  <r>
    <s v="000.803.044/0001-50"/>
    <x v="45"/>
    <s v="EXCLUSAO  ANOT.INADIMPLENCIA"/>
    <d v="2025-05-28T00:00:00"/>
    <x v="5"/>
    <x v="15"/>
    <x v="5"/>
    <x v="45"/>
    <n v="1"/>
    <n v="0"/>
  </r>
  <r>
    <s v="047.635.671/0001-92"/>
    <x v="144"/>
    <s v="INCLUSAO  ANOT.INADIMPLENCIA"/>
    <d v="2025-05-28T00:00:00"/>
    <x v="1"/>
    <x v="15"/>
    <x v="1"/>
    <x v="144"/>
    <n v="0"/>
    <n v="1"/>
  </r>
  <r>
    <s v="043.515.558/0001-12"/>
    <x v="177"/>
    <s v="INCLUSAO  ANOT.INADIMPLENCIA"/>
    <d v="2025-05-28T00:00:00"/>
    <x v="12"/>
    <x v="15"/>
    <x v="12"/>
    <x v="177"/>
    <n v="0"/>
    <n v="1"/>
  </r>
  <r>
    <s v="038.110.780/0001-03"/>
    <x v="47"/>
    <s v="EXCLUSAO  ANOT.INADIMPLENCIA"/>
    <d v="2025-05-28T00:00:00"/>
    <x v="8"/>
    <x v="15"/>
    <x v="8"/>
    <x v="47"/>
    <n v="1"/>
    <n v="0"/>
  </r>
  <r>
    <s v="037.599.774/0001-90"/>
    <x v="202"/>
    <s v="INCLUSAO  ANOT.INADIMPLENCIA"/>
    <d v="2025-05-28T00:00:00"/>
    <x v="30"/>
    <x v="15"/>
    <x v="30"/>
    <x v="202"/>
    <n v="0"/>
    <n v="1"/>
  </r>
  <r>
    <s v="035.679.705/0001-61"/>
    <x v="172"/>
    <s v="INCLUSAO  ANOT.INADIMPLENCIA"/>
    <d v="2025-05-28T00:00:00"/>
    <x v="6"/>
    <x v="15"/>
    <x v="6"/>
    <x v="172"/>
    <n v="0"/>
    <n v="1"/>
  </r>
  <r>
    <s v="028.393.466/0001-13"/>
    <x v="168"/>
    <s v="INCLUSAO  ANOT.INADIMPLENCIA"/>
    <d v="2025-05-28T00:00:00"/>
    <x v="15"/>
    <x v="15"/>
    <x v="15"/>
    <x v="168"/>
    <n v="0"/>
    <n v="1"/>
  </r>
  <r>
    <s v="027.180.131/0001-54"/>
    <x v="189"/>
    <s v="INCLUSAO  ANOT.INADIMPLENCIA"/>
    <d v="2025-05-28T00:00:00"/>
    <x v="20"/>
    <x v="15"/>
    <x v="20"/>
    <x v="189"/>
    <n v="0"/>
    <n v="1"/>
  </r>
  <r>
    <s v="025.825.654/0001-85"/>
    <x v="7"/>
    <s v="INCLUSAO  ANOT.INADIMPLENCIA"/>
    <d v="2025-05-28T00:00:00"/>
    <x v="4"/>
    <x v="15"/>
    <x v="4"/>
    <x v="7"/>
    <n v="0"/>
    <n v="1"/>
  </r>
  <r>
    <s v="023.637.987/0001-55"/>
    <x v="20"/>
    <s v="INCLUSAO  ANOT.INADIMPLENCIA"/>
    <d v="2025-05-28T00:00:00"/>
    <x v="7"/>
    <x v="15"/>
    <x v="7"/>
    <x v="20"/>
    <n v="0"/>
    <n v="1"/>
  </r>
  <r>
    <s v="020.309.962/0001-34"/>
    <x v="192"/>
    <s v="INCLUSAO  ANOT.INADIMPLENCIA"/>
    <d v="2025-05-28T00:00:00"/>
    <x v="20"/>
    <x v="15"/>
    <x v="20"/>
    <x v="192"/>
    <n v="0"/>
    <n v="1"/>
  </r>
  <r>
    <s v="020.242.216/0001-70"/>
    <x v="210"/>
    <s v="INCLUSAO  ANOT.INADIMPLENCIA"/>
    <d v="2025-05-28T00:00:00"/>
    <x v="31"/>
    <x v="15"/>
    <x v="31"/>
    <x v="210"/>
    <n v="0"/>
    <n v="1"/>
  </r>
  <r>
    <s v="020.066.300/0001-80"/>
    <x v="2"/>
    <s v="INCLUSAO  ANOT.INADIMPLENCIA"/>
    <d v="2025-05-28T00:00:00"/>
    <x v="1"/>
    <x v="15"/>
    <x v="1"/>
    <x v="2"/>
    <n v="0"/>
    <n v="1"/>
  </r>
  <r>
    <s v="020.024.081/0001-77"/>
    <x v="178"/>
    <s v="EXCLUSAO  ANOT.INADIMPLENCIA"/>
    <d v="2025-05-28T00:00:00"/>
    <x v="16"/>
    <x v="15"/>
    <x v="16"/>
    <x v="178"/>
    <n v="1"/>
    <n v="0"/>
  </r>
  <r>
    <s v="016.772.642/0001-49"/>
    <x v="70"/>
    <s v="INCLUSAO  ANOT.INADIMPLENCIA"/>
    <d v="2025-05-28T00:00:00"/>
    <x v="0"/>
    <x v="15"/>
    <x v="0"/>
    <x v="70"/>
    <n v="0"/>
    <n v="1"/>
  </r>
  <r>
    <s v="008.250.872/0001-10"/>
    <x v="122"/>
    <s v="INCLUSAO  ANOT.INADIMPLENCIA"/>
    <d v="2025-05-28T00:00:00"/>
    <x v="8"/>
    <x v="15"/>
    <x v="8"/>
    <x v="122"/>
    <n v="0"/>
    <n v="1"/>
  </r>
  <r>
    <s v="007.102.721/0001-51"/>
    <x v="44"/>
    <s v="INCLUSAO  ANOT.INADIMPLENCIA"/>
    <d v="2025-05-28T00:00:00"/>
    <x v="15"/>
    <x v="15"/>
    <x v="15"/>
    <x v="44"/>
    <n v="0"/>
    <n v="1"/>
  </r>
  <r>
    <s v="004.323.643/0001-27"/>
    <x v="223"/>
    <s v="INCLUSAO  ANOT.INADIMPLENCIA"/>
    <d v="2025-05-28T00:00:00"/>
    <x v="0"/>
    <x v="15"/>
    <x v="0"/>
    <x v="223"/>
    <n v="0"/>
    <n v="1"/>
  </r>
  <r>
    <s v="003.590.360/0001-89"/>
    <x v="3"/>
    <s v="INCLUSAO  ANOT.INADIMPLENCIA"/>
    <d v="2025-05-28T00:00:00"/>
    <x v="1"/>
    <x v="15"/>
    <x v="1"/>
    <x v="3"/>
    <n v="0"/>
    <n v="1"/>
  </r>
  <r>
    <s v="003.524.760/0001-96"/>
    <x v="231"/>
    <s v="EXCLUSAO  ANOT.INADIMPLENCIA"/>
    <d v="2025-05-28T00:00:00"/>
    <x v="34"/>
    <x v="15"/>
    <x v="34"/>
    <x v="231"/>
    <n v="1"/>
    <n v="0"/>
  </r>
  <r>
    <s v="050.164.951/0001-74"/>
    <x v="52"/>
    <s v="INCLUSAO  ANOT.INADIMPLENCIA"/>
    <d v="2025-05-28T00:00:00"/>
    <x v="0"/>
    <x v="15"/>
    <x v="0"/>
    <x v="52"/>
    <n v="0"/>
    <n v="1"/>
  </r>
  <r>
    <s v="050.901.671/0001-00"/>
    <x v="127"/>
    <s v="INCLUSAO  ANOT.INADIMPLENCIA"/>
    <d v="2025-05-28T00:00:00"/>
    <x v="16"/>
    <x v="15"/>
    <x v="16"/>
    <x v="127"/>
    <n v="0"/>
    <n v="1"/>
  </r>
  <r>
    <s v="001.376.967/0001-35"/>
    <x v="193"/>
    <s v="EXCLUSAO  ANOT.INADIMPLENCIA"/>
    <d v="2025-05-29T00:00:00"/>
    <x v="29"/>
    <x v="15"/>
    <x v="29"/>
    <x v="193"/>
    <n v="1"/>
    <n v="0"/>
  </r>
  <r>
    <s v="043.515.558/0001-12"/>
    <x v="177"/>
    <s v="EXCLUSAO  ANOT.INADIMPLENCIA"/>
    <d v="2025-05-29T00:00:00"/>
    <x v="12"/>
    <x v="15"/>
    <x v="12"/>
    <x v="177"/>
    <n v="1"/>
    <n v="0"/>
  </r>
  <r>
    <s v="038.405.720/0001-00"/>
    <x v="203"/>
    <s v="EXCLUSAO  ANOT.INADIMPLENCIA"/>
    <d v="2025-05-29T00:00:00"/>
    <x v="20"/>
    <x v="15"/>
    <x v="20"/>
    <x v="203"/>
    <n v="1"/>
    <n v="0"/>
  </r>
  <r>
    <s v="032.781.707/0001-79"/>
    <x v="216"/>
    <s v="INCLUSAO  ANOT.INADIMPLENCIA"/>
    <d v="2025-05-29T00:00:00"/>
    <x v="29"/>
    <x v="15"/>
    <x v="29"/>
    <x v="216"/>
    <n v="0"/>
    <n v="1"/>
  </r>
  <r>
    <s v="028.650.970/0001-51"/>
    <x v="167"/>
    <s v="INCLUSAO  ANOT.INADIMPLENCIA"/>
    <d v="2025-05-29T00:00:00"/>
    <x v="16"/>
    <x v="15"/>
    <x v="16"/>
    <x v="167"/>
    <n v="0"/>
    <n v="1"/>
  </r>
  <r>
    <s v="028.511.223/0001-32"/>
    <x v="190"/>
    <s v="INCLUSAO  ANOT.INADIMPLENCIA"/>
    <d v="2025-05-29T00:00:00"/>
    <x v="20"/>
    <x v="15"/>
    <x v="20"/>
    <x v="190"/>
    <n v="0"/>
    <n v="1"/>
  </r>
  <r>
    <s v="028.393.466/0001-13"/>
    <x v="168"/>
    <s v="EXCLUSAO  ANOT.INADIMPLENCIA"/>
    <d v="2025-05-29T00:00:00"/>
    <x v="15"/>
    <x v="15"/>
    <x v="15"/>
    <x v="168"/>
    <n v="1"/>
    <n v="0"/>
  </r>
  <r>
    <s v="021.734.108/0001-88"/>
    <x v="41"/>
    <s v="INCLUSAO  ANOT.INADIMPLENCIA"/>
    <d v="2025-05-29T00:00:00"/>
    <x v="13"/>
    <x v="15"/>
    <x v="13"/>
    <x v="41"/>
    <n v="0"/>
    <n v="1"/>
  </r>
  <r>
    <s v="057.696.093/0001-58"/>
    <x v="220"/>
    <s v="EXCLUSAO  ANOT.INADIMPLENCIA"/>
    <d v="2025-05-29T00:00:00"/>
    <x v="1"/>
    <x v="15"/>
    <x v="1"/>
    <x v="220"/>
    <n v="1"/>
    <n v="0"/>
  </r>
  <r>
    <s v="020.066.300/0001-80"/>
    <x v="2"/>
    <s v="INCLUSAO  ANOT.INADIMPLENCIA"/>
    <d v="2025-05-29T00:00:00"/>
    <x v="1"/>
    <x v="15"/>
    <x v="1"/>
    <x v="2"/>
    <n v="0"/>
    <n v="1"/>
  </r>
  <r>
    <s v="016.757.535/0001-41"/>
    <x v="29"/>
    <s v="INCLUSAO  ANOT.INADIMPLENCIA"/>
    <d v="2025-05-29T00:00:00"/>
    <x v="14"/>
    <x v="15"/>
    <x v="14"/>
    <x v="29"/>
    <n v="0"/>
    <n v="1"/>
  </r>
  <r>
    <s v="012.520.791/0001-60"/>
    <x v="4"/>
    <s v="INCLUSAO  ANOT.INADIMPLENCIA"/>
    <d v="2025-05-29T00:00:00"/>
    <x v="1"/>
    <x v="15"/>
    <x v="1"/>
    <x v="4"/>
    <n v="0"/>
    <n v="1"/>
  </r>
  <r>
    <s v="011.122.552/0001-99"/>
    <x v="60"/>
    <s v="INCLUSAO  ANOT.INADIMPLENCIA"/>
    <d v="2025-05-29T00:00:00"/>
    <x v="8"/>
    <x v="15"/>
    <x v="8"/>
    <x v="60"/>
    <n v="0"/>
    <n v="1"/>
  </r>
  <r>
    <s v="008.250.872/0001-10"/>
    <x v="122"/>
    <s v="INCLUSAO  ANOT.INADIMPLENCIA"/>
    <d v="2025-05-29T00:00:00"/>
    <x v="8"/>
    <x v="15"/>
    <x v="8"/>
    <x v="122"/>
    <n v="0"/>
    <n v="1"/>
  </r>
  <r>
    <s v="007.102.721/0001-51"/>
    <x v="44"/>
    <s v="EXCLUSAO  ANOT.INADIMPLENCIA"/>
    <d v="2025-05-29T00:00:00"/>
    <x v="15"/>
    <x v="15"/>
    <x v="15"/>
    <x v="44"/>
    <n v="1"/>
    <n v="0"/>
  </r>
  <r>
    <s v="006.107.454/0001-42"/>
    <x v="42"/>
    <s v="EXCLUSAO  ANOT.INADIMPLENCIA"/>
    <d v="2025-05-29T00:00:00"/>
    <x v="13"/>
    <x v="15"/>
    <x v="13"/>
    <x v="42"/>
    <n v="1"/>
    <n v="0"/>
  </r>
  <r>
    <s v="003.524.760/0001-96"/>
    <x v="231"/>
    <s v="EXCLUSAO  ANOT.INADIMPLENCIA"/>
    <d v="2025-05-29T00:00:00"/>
    <x v="34"/>
    <x v="15"/>
    <x v="34"/>
    <x v="231"/>
    <n v="1"/>
    <n v="0"/>
  </r>
  <r>
    <s v="020.024.081/0001-77"/>
    <x v="178"/>
    <s v="INCLUSAO  ANOT.INADIMPLENCIA"/>
    <d v="2025-05-29T00:00:00"/>
    <x v="16"/>
    <x v="15"/>
    <x v="16"/>
    <x v="178"/>
    <n v="0"/>
    <n v="1"/>
  </r>
  <r>
    <s v="057.698.087/0001-30"/>
    <x v="207"/>
    <s v="EXCLUSAO  ANOT.INADIMPLENCIA"/>
    <d v="2025-05-29T00:00:00"/>
    <x v="1"/>
    <x v="15"/>
    <x v="1"/>
    <x v="207"/>
    <n v="1"/>
    <n v="0"/>
  </r>
  <r>
    <s v="005.363.690/0001-67"/>
    <x v="91"/>
    <s v="INCLUSAO  ANOT.INADIMPLENCIA"/>
    <d v="2025-05-30T00:00:00"/>
    <x v="15"/>
    <x v="15"/>
    <x v="15"/>
    <x v="91"/>
    <n v="0"/>
    <n v="1"/>
  </r>
  <r>
    <s v="005.374.432/0001-86"/>
    <x v="224"/>
    <s v="EXCLUSAO  ANOT.INADIMPLENCIA"/>
    <d v="2025-05-30T00:00:00"/>
    <x v="33"/>
    <x v="15"/>
    <x v="33"/>
    <x v="224"/>
    <n v="1"/>
    <n v="0"/>
  </r>
  <r>
    <s v="008.250.872/0001-10"/>
    <x v="122"/>
    <s v="EXCLUSAO  ANOT.INADIMPLENCIA"/>
    <d v="2025-05-30T00:00:00"/>
    <x v="8"/>
    <x v="15"/>
    <x v="8"/>
    <x v="122"/>
    <n v="1"/>
    <n v="0"/>
  </r>
  <r>
    <s v="010.672.840/0001-54"/>
    <x v="230"/>
    <s v="EXCLUSAO  ANOT.INADIMPLENCIA"/>
    <d v="2025-05-30T00:00:00"/>
    <x v="30"/>
    <x v="15"/>
    <x v="30"/>
    <x v="230"/>
    <n v="1"/>
    <n v="0"/>
  </r>
  <r>
    <s v="011.122.552/0001-99"/>
    <x v="60"/>
    <s v="INCL/EXCL ANOT.INADIMPLENCIA"/>
    <d v="2025-05-30T00:00:00"/>
    <x v="8"/>
    <x v="15"/>
    <x v="8"/>
    <x v="60"/>
    <n v="0"/>
    <n v="0"/>
  </r>
  <r>
    <s v="020.066.300/0001-80"/>
    <x v="2"/>
    <s v="INCLUSAO  ANOT.INADIMPLENCIA"/>
    <d v="2025-05-30T00:00:00"/>
    <x v="1"/>
    <x v="15"/>
    <x v="1"/>
    <x v="2"/>
    <n v="0"/>
    <n v="1"/>
  </r>
  <r>
    <s v="021.734.108/0001-88"/>
    <x v="41"/>
    <s v="EXCLUSAO  ANOT.INADIMPLENCIA"/>
    <d v="2025-05-30T00:00:00"/>
    <x v="13"/>
    <x v="15"/>
    <x v="13"/>
    <x v="41"/>
    <n v="1"/>
    <n v="0"/>
  </r>
  <r>
    <s v="028.511.223/0001-32"/>
    <x v="190"/>
    <s v="INCLUSAO  ANOT.INADIMPLENCIA"/>
    <d v="2025-05-30T00:00:00"/>
    <x v="20"/>
    <x v="15"/>
    <x v="20"/>
    <x v="190"/>
    <n v="0"/>
    <n v="1"/>
  </r>
  <r>
    <s v="032.781.707/0001-79"/>
    <x v="216"/>
    <s v="EXCLUSAO  ANOT.INADIMPLENCIA"/>
    <d v="2025-05-30T00:00:00"/>
    <x v="29"/>
    <x v="15"/>
    <x v="29"/>
    <x v="216"/>
    <n v="1"/>
    <n v="0"/>
  </r>
  <r>
    <s v="037.828.375/0001-54"/>
    <x v="39"/>
    <s v="EXCLUSAO  ANOT.INADIMPLENCIA"/>
    <d v="2025-05-30T00:00:00"/>
    <x v="7"/>
    <x v="15"/>
    <x v="7"/>
    <x v="39"/>
    <n v="1"/>
    <n v="0"/>
  </r>
  <r>
    <s v="000.688.793/0001-83"/>
    <x v="150"/>
    <s v="INCLUSAO  ANOT.INADIMPLENCIA"/>
    <d v="2025-05-31T00:00:00"/>
    <x v="1"/>
    <x v="15"/>
    <x v="1"/>
    <x v="150"/>
    <n v="0"/>
    <n v="1"/>
  </r>
  <r>
    <s v="035.679.705/0001-61"/>
    <x v="172"/>
    <s v="INCLUSAO  ANOT.INADIMPLENCIA"/>
    <d v="2025-05-31T00:00:00"/>
    <x v="6"/>
    <x v="15"/>
    <x v="6"/>
    <x v="172"/>
    <n v="0"/>
    <n v="1"/>
  </r>
  <r>
    <s v="028.511.223/0001-32"/>
    <x v="190"/>
    <s v="INCL/EXCL ANOT.INADIMPLENCIA"/>
    <d v="2025-05-31T00:00:00"/>
    <x v="20"/>
    <x v="15"/>
    <x v="20"/>
    <x v="190"/>
    <n v="0"/>
    <n v="0"/>
  </r>
  <r>
    <s v="028.393.466/0001-13"/>
    <x v="168"/>
    <s v="INCLUSAO  ANOT.INADIMPLENCIA"/>
    <d v="2025-05-31T00:00:00"/>
    <x v="15"/>
    <x v="15"/>
    <x v="15"/>
    <x v="168"/>
    <n v="0"/>
    <n v="1"/>
  </r>
  <r>
    <s v="025.825.654/0001-85"/>
    <x v="7"/>
    <s v="INCLUSAO  ANOT.INADIMPLENCIA"/>
    <d v="2025-05-31T00:00:00"/>
    <x v="4"/>
    <x v="15"/>
    <x v="4"/>
    <x v="7"/>
    <n v="0"/>
    <n v="1"/>
  </r>
  <r>
    <s v="023.605.544/0001-82"/>
    <x v="21"/>
    <s v="INCLUSAO  ANOT.INADIMPLENCIA"/>
    <d v="2025-05-31T00:00:00"/>
    <x v="11"/>
    <x v="15"/>
    <x v="11"/>
    <x v="21"/>
    <n v="0"/>
    <n v="1"/>
  </r>
  <r>
    <s v="021.420.856/0001-96"/>
    <x v="130"/>
    <s v="INCLUSAO  ANOT.INADIMPLENCIA"/>
    <d v="2025-05-31T00:00:00"/>
    <x v="24"/>
    <x v="15"/>
    <x v="24"/>
    <x v="130"/>
    <n v="0"/>
    <n v="1"/>
  </r>
  <r>
    <s v="021.382.943/0001-04"/>
    <x v="206"/>
    <s v="EXCLUSAO  ANOT.INADIMPLENCIA"/>
    <d v="2025-05-31T00:00:00"/>
    <x v="0"/>
    <x v="15"/>
    <x v="0"/>
    <x v="206"/>
    <n v="1"/>
    <n v="0"/>
  </r>
  <r>
    <s v="020.066.300/0001-80"/>
    <x v="2"/>
    <s v="INCLUSAO  ANOT.INADIMPLENCIA"/>
    <d v="2025-05-31T00:00:00"/>
    <x v="1"/>
    <x v="15"/>
    <x v="1"/>
    <x v="2"/>
    <n v="0"/>
    <n v="1"/>
  </r>
  <r>
    <s v="018.498.459/0001-22"/>
    <x v="228"/>
    <s v="EXCLUSAO  ANOT.INADIMPLENCIA"/>
    <d v="2025-05-31T00:00:00"/>
    <x v="11"/>
    <x v="15"/>
    <x v="11"/>
    <x v="228"/>
    <n v="1"/>
    <n v="0"/>
  </r>
  <r>
    <s v="011.173.099/0001-40"/>
    <x v="229"/>
    <s v="EXCLUSAO  ANOT.INADIMPLENCIA"/>
    <d v="2025-05-31T00:00:00"/>
    <x v="30"/>
    <x v="15"/>
    <x v="30"/>
    <x v="229"/>
    <n v="1"/>
    <n v="0"/>
  </r>
  <r>
    <s v="011.122.552/0001-99"/>
    <x v="60"/>
    <s v="EXCLUSAO  ANOT.INADIMPLENCIA"/>
    <d v="2025-05-31T00:00:00"/>
    <x v="8"/>
    <x v="15"/>
    <x v="8"/>
    <x v="60"/>
    <n v="1"/>
    <n v="0"/>
  </r>
  <r>
    <s v="008.250.872/0001-10"/>
    <x v="122"/>
    <s v="INCL/EXCL ANOT.INADIMPLENCIA"/>
    <d v="2025-05-31T00:00:00"/>
    <x v="8"/>
    <x v="15"/>
    <x v="8"/>
    <x v="122"/>
    <n v="0"/>
    <n v="0"/>
  </r>
  <r>
    <s v="007.645.213/0001-10"/>
    <x v="233"/>
    <s v="INCLUSAO  ANOT.INADIMPLENCIA"/>
    <d v="2025-05-31T00:00:00"/>
    <x v="8"/>
    <x v="15"/>
    <x v="8"/>
    <x v="233"/>
    <n v="0"/>
    <n v="1"/>
  </r>
  <r>
    <s v="007.102.721/0001-51"/>
    <x v="44"/>
    <s v="INCL/EXCL ANOT.INADIMPLENCIA"/>
    <d v="2025-05-31T00:00:00"/>
    <x v="15"/>
    <x v="15"/>
    <x v="15"/>
    <x v="44"/>
    <n v="0"/>
    <n v="0"/>
  </r>
  <r>
    <s v="005.374.432/0001-86"/>
    <x v="224"/>
    <s v="EXCLUSAO  ANOT.INADIMPLENCIA"/>
    <d v="2025-05-31T00:00:00"/>
    <x v="33"/>
    <x v="15"/>
    <x v="33"/>
    <x v="224"/>
    <n v="1"/>
    <n v="0"/>
  </r>
  <r>
    <s v="004.323.643/0001-27"/>
    <x v="223"/>
    <s v="INCLUSAO  ANOT.INADIMPLENCIA"/>
    <d v="2025-05-31T00:00:00"/>
    <x v="0"/>
    <x v="15"/>
    <x v="0"/>
    <x v="223"/>
    <n v="0"/>
    <n v="1"/>
  </r>
  <r>
    <s v="000.803.044/0001-50"/>
    <x v="45"/>
    <s v="EXCLUSAO  ANOT.INADIMPLENCIA"/>
    <d v="2025-05-31T00:00:00"/>
    <x v="5"/>
    <x v="15"/>
    <x v="5"/>
    <x v="45"/>
    <n v="1"/>
    <n v="0"/>
  </r>
  <r>
    <s v="044.126.379/0001-56"/>
    <x v="188"/>
    <s v="INCLUSAO  ANOT.INADIMPLENCIA"/>
    <d v="2025-05-31T00:00:00"/>
    <x v="1"/>
    <x v="15"/>
    <x v="1"/>
    <x v="188"/>
    <n v="0"/>
    <n v="1"/>
  </r>
  <r>
    <s v="048.956.491/0001-75"/>
    <x v="180"/>
    <s v="EXCLUSAO  ANOT.INADIMPLENCIA"/>
    <d v="2025-05-31T00:00:00"/>
    <x v="28"/>
    <x v="15"/>
    <x v="28"/>
    <x v="180"/>
    <n v="1"/>
    <n v="0"/>
  </r>
  <r>
    <s v="003.590.360/0001-89"/>
    <x v="3"/>
    <s v="INCLUSAO  ANOT.INADIMPLENCIA"/>
    <d v="2025-06-03T00:00:00"/>
    <x v="1"/>
    <x v="16"/>
    <x v="1"/>
    <x v="3"/>
    <n v="0"/>
    <n v="1"/>
  </r>
  <r>
    <s v="040.582.798/0001-41"/>
    <x v="145"/>
    <s v="INCLUSAO  ANOT.INADIMPLENCIA"/>
    <d v="2025-06-03T00:00:00"/>
    <x v="20"/>
    <x v="16"/>
    <x v="20"/>
    <x v="145"/>
    <n v="0"/>
    <n v="1"/>
  </r>
  <r>
    <s v="037.599.774/0001-90"/>
    <x v="202"/>
    <s v="INCLUSAO  ANOT.INADIMPLENCIA"/>
    <d v="2025-06-03T00:00:00"/>
    <x v="30"/>
    <x v="16"/>
    <x v="30"/>
    <x v="202"/>
    <n v="0"/>
    <n v="1"/>
  </r>
  <r>
    <s v="035.679.705/0001-61"/>
    <x v="172"/>
    <s v="INCL/EXCL ANOT.INADIMPLENCIA"/>
    <d v="2025-06-03T00:00:00"/>
    <x v="6"/>
    <x v="16"/>
    <x v="6"/>
    <x v="172"/>
    <n v="0"/>
    <n v="0"/>
  </r>
  <r>
    <s v="035.165.246/0001-06"/>
    <x v="105"/>
    <s v="INCLUSAO  ANOT.INADIMPLENCIA"/>
    <d v="2025-06-03T00:00:00"/>
    <x v="4"/>
    <x v="16"/>
    <x v="4"/>
    <x v="105"/>
    <n v="0"/>
    <n v="1"/>
  </r>
  <r>
    <s v="033.803.691/0001-10"/>
    <x v="104"/>
    <s v="INCLUSAO  ANOT.INADIMPLENCIA"/>
    <d v="2025-06-03T00:00:00"/>
    <x v="0"/>
    <x v="16"/>
    <x v="0"/>
    <x v="104"/>
    <n v="0"/>
    <n v="1"/>
  </r>
  <r>
    <s v="032.552.159/0001-05"/>
    <x v="212"/>
    <s v="INCLUSAO  ANOT.INADIMPLENCIA"/>
    <d v="2025-06-03T00:00:00"/>
    <x v="31"/>
    <x v="16"/>
    <x v="31"/>
    <x v="212"/>
    <n v="0"/>
    <n v="1"/>
  </r>
  <r>
    <s v="028.650.970/0001-51"/>
    <x v="167"/>
    <s v="INCLUSAO  ANOT.INADIMPLENCIA"/>
    <d v="2025-06-03T00:00:00"/>
    <x v="16"/>
    <x v="16"/>
    <x v="16"/>
    <x v="167"/>
    <n v="0"/>
    <n v="1"/>
  </r>
  <r>
    <s v="028.511.223/0001-32"/>
    <x v="190"/>
    <s v="INCL/EXCL ANOT.INADIMPLENCIA"/>
    <d v="2025-06-03T00:00:00"/>
    <x v="20"/>
    <x v="16"/>
    <x v="20"/>
    <x v="190"/>
    <n v="0"/>
    <n v="0"/>
  </r>
  <r>
    <s v="028.393.466/0001-13"/>
    <x v="168"/>
    <s v="INCL/EXCL ANOT.INADIMPLENCIA"/>
    <d v="2025-06-03T00:00:00"/>
    <x v="15"/>
    <x v="16"/>
    <x v="15"/>
    <x v="168"/>
    <n v="0"/>
    <n v="0"/>
  </r>
  <r>
    <s v="027.180.131/0001-54"/>
    <x v="189"/>
    <s v="INCL/EXCL ANOT.INADIMPLENCIA"/>
    <d v="2025-06-03T00:00:00"/>
    <x v="20"/>
    <x v="16"/>
    <x v="20"/>
    <x v="189"/>
    <n v="0"/>
    <n v="0"/>
  </r>
  <r>
    <s v="025.825.654/0001-85"/>
    <x v="7"/>
    <s v="INCL/EXCL ANOT.INADIMPLENCIA"/>
    <d v="2025-06-03T00:00:00"/>
    <x v="4"/>
    <x v="16"/>
    <x v="4"/>
    <x v="7"/>
    <n v="0"/>
    <n v="0"/>
  </r>
  <r>
    <s v="023.909.177/0001-00"/>
    <x v="103"/>
    <s v="INCL/EXCL ANOT.INADIMPLENCIA"/>
    <d v="2025-06-03T00:00:00"/>
    <x v="9"/>
    <x v="16"/>
    <x v="9"/>
    <x v="103"/>
    <n v="0"/>
    <n v="0"/>
  </r>
  <r>
    <s v="044.637.793/0001-20"/>
    <x v="147"/>
    <s v="EXCLUSAO  ANOT.INADIMPLENCIA"/>
    <d v="2025-06-03T00:00:00"/>
    <x v="0"/>
    <x v="16"/>
    <x v="0"/>
    <x v="147"/>
    <n v="1"/>
    <n v="0"/>
  </r>
  <r>
    <s v="023.605.544/0001-82"/>
    <x v="21"/>
    <s v="INCLUSAO  ANOT.INADIMPLENCIA"/>
    <d v="2025-06-03T00:00:00"/>
    <x v="11"/>
    <x v="16"/>
    <x v="11"/>
    <x v="21"/>
    <n v="0"/>
    <n v="1"/>
  </r>
  <r>
    <s v="021.382.943/0001-04"/>
    <x v="206"/>
    <s v="INCLUSAO  ANOT.INADIMPLENCIA"/>
    <d v="2025-06-03T00:00:00"/>
    <x v="0"/>
    <x v="16"/>
    <x v="0"/>
    <x v="206"/>
    <n v="0"/>
    <n v="1"/>
  </r>
  <r>
    <s v="020.242.216/0001-70"/>
    <x v="210"/>
    <s v="INCLUSAO  ANOT.INADIMPLENCIA"/>
    <d v="2025-06-03T00:00:00"/>
    <x v="31"/>
    <x v="16"/>
    <x v="31"/>
    <x v="210"/>
    <n v="0"/>
    <n v="1"/>
  </r>
  <r>
    <s v="020.066.300/0001-80"/>
    <x v="2"/>
    <s v="INCLUSAO  ANOT.INADIMPLENCIA"/>
    <d v="2025-06-03T00:00:00"/>
    <x v="1"/>
    <x v="16"/>
    <x v="1"/>
    <x v="2"/>
    <n v="0"/>
    <n v="1"/>
  </r>
  <r>
    <s v="020.024.081/0001-77"/>
    <x v="178"/>
    <s v="INCLUSAO  ANOT.INADIMPLENCIA"/>
    <d v="2025-06-03T00:00:00"/>
    <x v="16"/>
    <x v="16"/>
    <x v="16"/>
    <x v="178"/>
    <n v="0"/>
    <n v="1"/>
  </r>
  <r>
    <s v="016.772.642/0001-49"/>
    <x v="70"/>
    <s v="INCLUSAO  ANOT.INADIMPLENCIA"/>
    <d v="2025-06-03T00:00:00"/>
    <x v="0"/>
    <x v="16"/>
    <x v="0"/>
    <x v="70"/>
    <n v="0"/>
    <n v="1"/>
  </r>
  <r>
    <s v="012.520.791/0001-60"/>
    <x v="4"/>
    <s v="INCLUSAO  ANOT.INADIMPLENCIA"/>
    <d v="2025-06-03T00:00:00"/>
    <x v="1"/>
    <x v="16"/>
    <x v="1"/>
    <x v="4"/>
    <n v="0"/>
    <n v="1"/>
  </r>
  <r>
    <s v="011.122.552/0001-99"/>
    <x v="60"/>
    <s v="INCLUSAO  ANOT.INADIMPLENCIA"/>
    <d v="2025-06-03T00:00:00"/>
    <x v="8"/>
    <x v="16"/>
    <x v="8"/>
    <x v="60"/>
    <n v="0"/>
    <n v="1"/>
  </r>
  <r>
    <s v="009.674.456/0001-01"/>
    <x v="234"/>
    <s v="INCLUSAO  ANOT.INADIMPLENCIA"/>
    <d v="2025-06-03T00:00:00"/>
    <x v="8"/>
    <x v="16"/>
    <x v="8"/>
    <x v="234"/>
    <n v="0"/>
    <n v="1"/>
  </r>
  <r>
    <s v="008.250.872/0001-10"/>
    <x v="122"/>
    <s v="INCLUSAO  ANOT.INADIMPLENCIA"/>
    <d v="2025-06-03T00:00:00"/>
    <x v="8"/>
    <x v="16"/>
    <x v="8"/>
    <x v="122"/>
    <n v="0"/>
    <n v="1"/>
  </r>
  <r>
    <s v="007.561.436/0001-07"/>
    <x v="34"/>
    <s v="INCLUSAO  ANOT.INADIMPLENCIA"/>
    <d v="2025-06-03T00:00:00"/>
    <x v="15"/>
    <x v="16"/>
    <x v="15"/>
    <x v="34"/>
    <n v="0"/>
    <n v="1"/>
  </r>
  <r>
    <s v="007.102.721/0001-51"/>
    <x v="44"/>
    <s v="INCL/EXCL ANOT.INADIMPLENCIA"/>
    <d v="2025-06-03T00:00:00"/>
    <x v="15"/>
    <x v="16"/>
    <x v="15"/>
    <x v="44"/>
    <n v="0"/>
    <n v="0"/>
  </r>
  <r>
    <s v="005.363.690/0001-67"/>
    <x v="91"/>
    <s v="EXCLUSAO  ANOT.INADIMPLENCIA"/>
    <d v="2025-06-03T00:00:00"/>
    <x v="15"/>
    <x v="16"/>
    <x v="15"/>
    <x v="91"/>
    <n v="1"/>
    <n v="0"/>
  </r>
  <r>
    <s v="021.420.856/0001-96"/>
    <x v="130"/>
    <s v="INCLUSAO  ANOT.INADIMPLENCIA"/>
    <d v="2025-06-03T00:00:00"/>
    <x v="24"/>
    <x v="16"/>
    <x v="24"/>
    <x v="130"/>
    <n v="0"/>
    <n v="1"/>
  </r>
  <r>
    <s v="071.350.797/0001-03"/>
    <x v="48"/>
    <s v="INCLUSAO  ANOT.INADIMPLENCIA"/>
    <d v="2025-06-03T00:00:00"/>
    <x v="16"/>
    <x v="16"/>
    <x v="16"/>
    <x v="48"/>
    <n v="0"/>
    <n v="1"/>
  </r>
  <r>
    <s v="003.590.360/0001-89"/>
    <x v="3"/>
    <s v="EXCLUSAO  ANOT.INADIMPLENCIA"/>
    <d v="2025-06-04T00:00:00"/>
    <x v="1"/>
    <x v="16"/>
    <x v="1"/>
    <x v="3"/>
    <n v="1"/>
    <n v="0"/>
  </r>
  <r>
    <s v="038.405.720/0001-00"/>
    <x v="203"/>
    <s v="INCLUSAO  ANOT.INADIMPLENCIA"/>
    <d v="2025-06-04T00:00:00"/>
    <x v="20"/>
    <x v="16"/>
    <x v="20"/>
    <x v="203"/>
    <n v="0"/>
    <n v="1"/>
  </r>
  <r>
    <s v="037.828.375/0001-54"/>
    <x v="39"/>
    <s v="EXCLUSAO  ANOT.INADIMPLENCIA"/>
    <d v="2025-06-04T00:00:00"/>
    <x v="7"/>
    <x v="16"/>
    <x v="7"/>
    <x v="39"/>
    <n v="1"/>
    <n v="0"/>
  </r>
  <r>
    <s v="035.679.705/0001-61"/>
    <x v="172"/>
    <s v="INCLUSAO  ANOT.INADIMPLENCIA"/>
    <d v="2025-06-04T00:00:00"/>
    <x v="6"/>
    <x v="16"/>
    <x v="6"/>
    <x v="172"/>
    <n v="0"/>
    <n v="1"/>
  </r>
  <r>
    <s v="034.821.586/0001-77"/>
    <x v="38"/>
    <s v="INCLUSAO  ANOT.INADIMPLENCIA"/>
    <d v="2025-06-04T00:00:00"/>
    <x v="4"/>
    <x v="16"/>
    <x v="4"/>
    <x v="38"/>
    <n v="0"/>
    <n v="1"/>
  </r>
  <r>
    <s v="028.650.970/0001-51"/>
    <x v="167"/>
    <s v="INCLUSAO  ANOT.INADIMPLENCIA"/>
    <d v="2025-06-04T00:00:00"/>
    <x v="16"/>
    <x v="16"/>
    <x v="16"/>
    <x v="167"/>
    <n v="0"/>
    <n v="1"/>
  </r>
  <r>
    <s v="028.511.223/0001-32"/>
    <x v="190"/>
    <s v="INCL/EXCL ANOT.INADIMPLENCIA"/>
    <d v="2025-06-04T00:00:00"/>
    <x v="20"/>
    <x v="16"/>
    <x v="20"/>
    <x v="190"/>
    <n v="0"/>
    <n v="0"/>
  </r>
  <r>
    <s v="028.477.685/0001-80"/>
    <x v="96"/>
    <s v="INCLUSAO  ANOT.INADIMPLENCIA"/>
    <d v="2025-06-04T00:00:00"/>
    <x v="7"/>
    <x v="16"/>
    <x v="7"/>
    <x v="96"/>
    <n v="0"/>
    <n v="1"/>
  </r>
  <r>
    <s v="028.393.466/0001-13"/>
    <x v="168"/>
    <s v="INCLUSAO  ANOT.INADIMPLENCIA"/>
    <d v="2025-06-04T00:00:00"/>
    <x v="15"/>
    <x v="16"/>
    <x v="15"/>
    <x v="168"/>
    <n v="0"/>
    <n v="1"/>
  </r>
  <r>
    <s v="025.825.654/0001-85"/>
    <x v="7"/>
    <s v="INCLUSAO  ANOT.INADIMPLENCIA"/>
    <d v="2025-06-04T00:00:00"/>
    <x v="4"/>
    <x v="16"/>
    <x v="4"/>
    <x v="7"/>
    <n v="0"/>
    <n v="1"/>
  </r>
  <r>
    <s v="021.382.943/0001-04"/>
    <x v="206"/>
    <s v="EXCLUSAO  ANOT.INADIMPLENCIA"/>
    <d v="2025-06-04T00:00:00"/>
    <x v="0"/>
    <x v="16"/>
    <x v="0"/>
    <x v="206"/>
    <n v="1"/>
    <n v="0"/>
  </r>
  <r>
    <s v="020.242.216/0001-70"/>
    <x v="210"/>
    <s v="INCLUSAO  ANOT.INADIMPLENCIA"/>
    <d v="2025-06-04T00:00:00"/>
    <x v="31"/>
    <x v="16"/>
    <x v="31"/>
    <x v="210"/>
    <n v="0"/>
    <n v="1"/>
  </r>
  <r>
    <s v="020.066.300/0001-80"/>
    <x v="2"/>
    <s v="INCLUSAO  ANOT.INADIMPLENCIA"/>
    <d v="2025-06-04T00:00:00"/>
    <x v="1"/>
    <x v="16"/>
    <x v="1"/>
    <x v="2"/>
    <n v="0"/>
    <n v="1"/>
  </r>
  <r>
    <s v="020.024.081/0001-77"/>
    <x v="178"/>
    <s v="EXCLUSAO  ANOT.INADIMPLENCIA"/>
    <d v="2025-06-04T00:00:00"/>
    <x v="16"/>
    <x v="16"/>
    <x v="16"/>
    <x v="178"/>
    <n v="1"/>
    <n v="0"/>
  </r>
  <r>
    <s v="015.638.029/0001-70"/>
    <x v="235"/>
    <s v="EXCLUSAO  ANOT.INADIMPLENCIA"/>
    <d v="2025-06-04T00:00:00"/>
    <x v="4"/>
    <x v="16"/>
    <x v="4"/>
    <x v="235"/>
    <n v="1"/>
    <n v="0"/>
  </r>
  <r>
    <s v="012.520.791/0001-60"/>
    <x v="4"/>
    <s v="INCLUSAO  ANOT.INADIMPLENCIA"/>
    <d v="2025-06-04T00:00:00"/>
    <x v="1"/>
    <x v="16"/>
    <x v="1"/>
    <x v="4"/>
    <n v="0"/>
    <n v="1"/>
  </r>
  <r>
    <s v="011.173.099/0001-40"/>
    <x v="229"/>
    <s v="INCLUSAO  ANOT.INADIMPLENCIA"/>
    <d v="2025-06-04T00:00:00"/>
    <x v="30"/>
    <x v="16"/>
    <x v="30"/>
    <x v="229"/>
    <n v="0"/>
    <n v="1"/>
  </r>
  <r>
    <s v="011.122.552/0001-99"/>
    <x v="60"/>
    <s v="INCLUSAO  ANOT.INADIMPLENCIA"/>
    <d v="2025-06-04T00:00:00"/>
    <x v="8"/>
    <x v="16"/>
    <x v="8"/>
    <x v="60"/>
    <n v="0"/>
    <n v="1"/>
  </r>
  <r>
    <s v="008.250.872/0001-10"/>
    <x v="122"/>
    <s v="INCL/EXCL ANOT.INADIMPLENCIA"/>
    <d v="2025-06-04T00:00:00"/>
    <x v="8"/>
    <x v="16"/>
    <x v="8"/>
    <x v="122"/>
    <n v="0"/>
    <n v="0"/>
  </r>
  <r>
    <s v="007.561.436/0001-07"/>
    <x v="34"/>
    <s v="EXCLUSAO  ANOT.INADIMPLENCIA"/>
    <d v="2025-06-04T00:00:00"/>
    <x v="15"/>
    <x v="16"/>
    <x v="15"/>
    <x v="34"/>
    <n v="1"/>
    <n v="0"/>
  </r>
  <r>
    <s v="007.102.721/0001-51"/>
    <x v="44"/>
    <s v="INCLUSAO  ANOT.INADIMPLENCIA"/>
    <d v="2025-06-04T00:00:00"/>
    <x v="15"/>
    <x v="16"/>
    <x v="15"/>
    <x v="44"/>
    <n v="0"/>
    <n v="1"/>
  </r>
  <r>
    <s v="004.323.643/0001-27"/>
    <x v="223"/>
    <s v="EXCLUSAO  ANOT.INADIMPLENCIA"/>
    <d v="2025-06-04T00:00:00"/>
    <x v="0"/>
    <x v="16"/>
    <x v="0"/>
    <x v="223"/>
    <n v="1"/>
    <n v="0"/>
  </r>
  <r>
    <s v="043.515.558/0001-12"/>
    <x v="177"/>
    <s v="EXCLUSAO  ANOT.INADIMPLENCIA"/>
    <d v="2025-06-04T00:00:00"/>
    <x v="12"/>
    <x v="16"/>
    <x v="12"/>
    <x v="177"/>
    <n v="1"/>
    <n v="0"/>
  </r>
  <r>
    <s v="055.979.736/0001-45"/>
    <x v="64"/>
    <s v="INCLUSAO  ANOT.INADIMPLENCIA"/>
    <d v="2025-06-04T00:00:00"/>
    <x v="20"/>
    <x v="16"/>
    <x v="20"/>
    <x v="64"/>
    <n v="0"/>
    <n v="1"/>
  </r>
  <r>
    <s v="001.376.967/0001-35"/>
    <x v="193"/>
    <s v="EXCLUSAO  ANOT.INADIMPLENCIA"/>
    <d v="2025-06-05T00:00:00"/>
    <x v="29"/>
    <x v="16"/>
    <x v="29"/>
    <x v="193"/>
    <n v="1"/>
    <n v="0"/>
  </r>
  <r>
    <s v="007.102.721/0001-51"/>
    <x v="44"/>
    <s v="EXCLUSAO  ANOT.INADIMPLENCIA"/>
    <d v="2025-06-05T00:00:00"/>
    <x v="15"/>
    <x v="16"/>
    <x v="15"/>
    <x v="44"/>
    <n v="1"/>
    <n v="0"/>
  </r>
  <r>
    <s v="007.561.436/0001-07"/>
    <x v="34"/>
    <s v="EXCLUSAO  ANOT.INADIMPLENCIA"/>
    <d v="2025-06-05T00:00:00"/>
    <x v="15"/>
    <x v="16"/>
    <x v="15"/>
    <x v="34"/>
    <n v="1"/>
    <n v="0"/>
  </r>
  <r>
    <s v="008.250.872/0001-10"/>
    <x v="122"/>
    <s v="EXCLUSAO  ANOT.INADIMPLENCIA"/>
    <d v="2025-06-05T00:00:00"/>
    <x v="8"/>
    <x v="16"/>
    <x v="8"/>
    <x v="122"/>
    <n v="1"/>
    <n v="0"/>
  </r>
  <r>
    <s v="011.122.552/0001-99"/>
    <x v="60"/>
    <s v="INCL/EXCL ANOT.INADIMPLENCIA"/>
    <d v="2025-06-05T00:00:00"/>
    <x v="8"/>
    <x v="16"/>
    <x v="8"/>
    <x v="60"/>
    <n v="0"/>
    <n v="0"/>
  </r>
  <r>
    <s v="016.772.642/0001-49"/>
    <x v="70"/>
    <s v="INCLUSAO  ANOT.INADIMPLENCIA"/>
    <d v="2025-06-05T00:00:00"/>
    <x v="0"/>
    <x v="16"/>
    <x v="0"/>
    <x v="70"/>
    <n v="0"/>
    <n v="1"/>
  </r>
  <r>
    <s v="020.024.081/0001-77"/>
    <x v="178"/>
    <s v="INCL/EXCL ANOT.INADIMPLENCIA"/>
    <d v="2025-06-05T00:00:00"/>
    <x v="16"/>
    <x v="16"/>
    <x v="16"/>
    <x v="178"/>
    <n v="0"/>
    <n v="0"/>
  </r>
  <r>
    <s v="020.066.300/0001-80"/>
    <x v="2"/>
    <s v="INCLUSAO  ANOT.INADIMPLENCIA"/>
    <d v="2025-06-05T00:00:00"/>
    <x v="1"/>
    <x v="16"/>
    <x v="1"/>
    <x v="2"/>
    <n v="0"/>
    <n v="1"/>
  </r>
  <r>
    <s v="020.242.216/0001-70"/>
    <x v="210"/>
    <s v="INCL/EXCL ANOT.INADIMPLENCIA"/>
    <d v="2025-06-05T00:00:00"/>
    <x v="31"/>
    <x v="16"/>
    <x v="31"/>
    <x v="210"/>
    <n v="0"/>
    <n v="0"/>
  </r>
  <r>
    <s v="021.420.856/0001-96"/>
    <x v="130"/>
    <s v="EXCLUSAO  ANOT.INADIMPLENCIA"/>
    <d v="2025-06-05T00:00:00"/>
    <x v="24"/>
    <x v="16"/>
    <x v="24"/>
    <x v="130"/>
    <n v="1"/>
    <n v="0"/>
  </r>
  <r>
    <s v="025.825.654/0001-85"/>
    <x v="7"/>
    <s v="INCLUSAO  ANOT.INADIMPLENCIA"/>
    <d v="2025-06-05T00:00:00"/>
    <x v="4"/>
    <x v="16"/>
    <x v="4"/>
    <x v="7"/>
    <n v="0"/>
    <n v="1"/>
  </r>
  <r>
    <s v="028.650.970/0001-51"/>
    <x v="167"/>
    <s v="INCL/EXCL ANOT.INADIMPLENCIA"/>
    <d v="2025-06-05T00:00:00"/>
    <x v="16"/>
    <x v="16"/>
    <x v="16"/>
    <x v="167"/>
    <n v="0"/>
    <n v="0"/>
  </r>
  <r>
    <s v="043.515.558/0001-12"/>
    <x v="177"/>
    <s v="EXCLUSAO  ANOT.INADIMPLENCIA"/>
    <d v="2025-06-05T00:00:00"/>
    <x v="12"/>
    <x v="16"/>
    <x v="12"/>
    <x v="177"/>
    <n v="1"/>
    <n v="0"/>
  </r>
  <r>
    <s v="007.102.721/0001-51"/>
    <x v="44"/>
    <s v="EXCLUSAO  ANOT.INADIMPLENCIA"/>
    <d v="2025-06-06T00:00:00"/>
    <x v="15"/>
    <x v="16"/>
    <x v="15"/>
    <x v="44"/>
    <n v="1"/>
    <n v="0"/>
  </r>
  <r>
    <s v="009.674.456/0001-01"/>
    <x v="234"/>
    <s v="EXCLUSAO  ANOT.INADIMPLENCIA"/>
    <d v="2025-06-06T00:00:00"/>
    <x v="8"/>
    <x v="16"/>
    <x v="8"/>
    <x v="234"/>
    <n v="1"/>
    <n v="0"/>
  </r>
  <r>
    <s v="011.122.552/0001-99"/>
    <x v="60"/>
    <s v="INCLUSAO  ANOT.INADIMPLENCIA"/>
    <d v="2025-06-06T00:00:00"/>
    <x v="8"/>
    <x v="16"/>
    <x v="8"/>
    <x v="60"/>
    <n v="0"/>
    <n v="1"/>
  </r>
  <r>
    <s v="020.309.962/0001-34"/>
    <x v="192"/>
    <s v="EXCLUSAO  ANOT.INADIMPLENCIA"/>
    <d v="2025-06-06T00:00:00"/>
    <x v="20"/>
    <x v="16"/>
    <x v="20"/>
    <x v="192"/>
    <n v="1"/>
    <n v="0"/>
  </r>
  <r>
    <s v="021.734.108/0001-88"/>
    <x v="41"/>
    <s v="INCLUSAO  ANOT.INADIMPLENCIA"/>
    <d v="2025-06-06T00:00:00"/>
    <x v="13"/>
    <x v="16"/>
    <x v="13"/>
    <x v="41"/>
    <n v="0"/>
    <n v="1"/>
  </r>
  <r>
    <s v="027.180.131/0001-54"/>
    <x v="189"/>
    <s v="EXCLUSAO  ANOT.INADIMPLENCIA"/>
    <d v="2025-06-06T00:00:00"/>
    <x v="20"/>
    <x v="16"/>
    <x v="20"/>
    <x v="189"/>
    <n v="1"/>
    <n v="0"/>
  </r>
  <r>
    <s v="028.511.223/0001-32"/>
    <x v="190"/>
    <s v="INCL/EXCL ANOT.INADIMPLENCIA"/>
    <d v="2025-06-06T00:00:00"/>
    <x v="20"/>
    <x v="16"/>
    <x v="20"/>
    <x v="190"/>
    <n v="0"/>
    <n v="0"/>
  </r>
  <r>
    <s v="034.821.586/0001-77"/>
    <x v="38"/>
    <s v="INCLUSAO  ANOT.INADIMPLENCIA"/>
    <d v="2025-06-06T00:00:00"/>
    <x v="4"/>
    <x v="16"/>
    <x v="4"/>
    <x v="38"/>
    <n v="0"/>
    <n v="1"/>
  </r>
  <r>
    <s v="039.535.425/0001-30"/>
    <x v="121"/>
    <s v="EXCLUSAO  ANOT.INADIMPLENCIA"/>
    <d v="2025-06-06T00:00:00"/>
    <x v="8"/>
    <x v="16"/>
    <x v="8"/>
    <x v="121"/>
    <n v="1"/>
    <n v="0"/>
  </r>
  <r>
    <s v="043.515.558/0001-12"/>
    <x v="177"/>
    <s v="INCLUSAO  ANOT.INADIMPLENCIA"/>
    <d v="2025-06-06T00:00:00"/>
    <x v="12"/>
    <x v="16"/>
    <x v="12"/>
    <x v="177"/>
    <n v="0"/>
    <n v="1"/>
  </r>
  <r>
    <s v="004.126.524/0001-84"/>
    <x v="49"/>
    <s v="EXCLUSAO  ANOT.INADIMPLENCIA"/>
    <d v="2025-06-07T00:00:00"/>
    <x v="13"/>
    <x v="16"/>
    <x v="13"/>
    <x v="49"/>
    <n v="1"/>
    <n v="0"/>
  </r>
  <r>
    <s v="036.726.274/0001-00"/>
    <x v="134"/>
    <s v="EXCLUSAO  ANOT.INADIMPLENCIA"/>
    <d v="2025-06-07T00:00:00"/>
    <x v="1"/>
    <x v="16"/>
    <x v="1"/>
    <x v="134"/>
    <n v="1"/>
    <n v="0"/>
  </r>
  <r>
    <s v="028.650.970/0001-51"/>
    <x v="167"/>
    <s v="INCLUSAO  ANOT.INADIMPLENCIA"/>
    <d v="2025-06-07T00:00:00"/>
    <x v="16"/>
    <x v="16"/>
    <x v="16"/>
    <x v="167"/>
    <n v="0"/>
    <n v="1"/>
  </r>
  <r>
    <s v="028.511.223/0001-32"/>
    <x v="190"/>
    <s v="INCL/EXCL ANOT.INADIMPLENCIA"/>
    <d v="2025-06-07T00:00:00"/>
    <x v="20"/>
    <x v="16"/>
    <x v="20"/>
    <x v="190"/>
    <n v="0"/>
    <n v="0"/>
  </r>
  <r>
    <s v="028.393.466/0001-13"/>
    <x v="168"/>
    <s v="INCLUSAO  ANOT.INADIMPLENCIA"/>
    <d v="2025-06-07T00:00:00"/>
    <x v="15"/>
    <x v="16"/>
    <x v="15"/>
    <x v="168"/>
    <n v="0"/>
    <n v="1"/>
  </r>
  <r>
    <s v="027.180.131/0001-54"/>
    <x v="189"/>
    <s v="EXCLUSAO  ANOT.INADIMPLENCIA"/>
    <d v="2025-06-07T00:00:00"/>
    <x v="20"/>
    <x v="16"/>
    <x v="20"/>
    <x v="189"/>
    <n v="1"/>
    <n v="0"/>
  </r>
  <r>
    <s v="026.416.177/0001-67"/>
    <x v="131"/>
    <s v="INCLUSAO  ANOT.INADIMPLENCIA"/>
    <d v="2025-06-07T00:00:00"/>
    <x v="4"/>
    <x v="16"/>
    <x v="4"/>
    <x v="131"/>
    <n v="0"/>
    <n v="1"/>
  </r>
  <r>
    <s v="044.126.379/0001-56"/>
    <x v="188"/>
    <s v="EXCLUSAO  ANOT.INADIMPLENCIA"/>
    <d v="2025-06-07T00:00:00"/>
    <x v="1"/>
    <x v="16"/>
    <x v="1"/>
    <x v="188"/>
    <n v="1"/>
    <n v="0"/>
  </r>
  <r>
    <s v="025.825.654/0001-85"/>
    <x v="7"/>
    <s v="INCLUSAO  ANOT.INADIMPLENCIA"/>
    <d v="2025-06-07T00:00:00"/>
    <x v="4"/>
    <x v="16"/>
    <x v="4"/>
    <x v="7"/>
    <n v="0"/>
    <n v="1"/>
  </r>
  <r>
    <s v="021.382.943/0001-04"/>
    <x v="206"/>
    <s v="EXCLUSAO  ANOT.INADIMPLENCIA"/>
    <d v="2025-06-07T00:00:00"/>
    <x v="0"/>
    <x v="16"/>
    <x v="0"/>
    <x v="206"/>
    <n v="1"/>
    <n v="0"/>
  </r>
  <r>
    <s v="020.066.300/0001-80"/>
    <x v="2"/>
    <s v="INCLUSAO  ANOT.INADIMPLENCIA"/>
    <d v="2025-06-07T00:00:00"/>
    <x v="1"/>
    <x v="16"/>
    <x v="1"/>
    <x v="2"/>
    <n v="0"/>
    <n v="1"/>
  </r>
  <r>
    <s v="020.024.081/0001-77"/>
    <x v="178"/>
    <s v="INCLUSAO  ANOT.INADIMPLENCIA"/>
    <d v="2025-06-07T00:00:00"/>
    <x v="16"/>
    <x v="16"/>
    <x v="16"/>
    <x v="178"/>
    <n v="0"/>
    <n v="1"/>
  </r>
  <r>
    <s v="008.250.872/0001-10"/>
    <x v="122"/>
    <s v="INCLUSAO  ANOT.INADIMPLENCIA"/>
    <d v="2025-06-07T00:00:00"/>
    <x v="8"/>
    <x v="16"/>
    <x v="8"/>
    <x v="122"/>
    <n v="0"/>
    <n v="1"/>
  </r>
  <r>
    <s v="007.102.721/0001-51"/>
    <x v="44"/>
    <s v="INCL/EXCL ANOT.INADIMPLENCIA"/>
    <d v="2025-06-07T00:00:00"/>
    <x v="15"/>
    <x v="16"/>
    <x v="15"/>
    <x v="44"/>
    <n v="0"/>
    <n v="0"/>
  </r>
  <r>
    <s v="004.323.643/0001-27"/>
    <x v="223"/>
    <s v="INCLUSAO  ANOT.INADIMPLENCIA"/>
    <d v="2025-06-07T00:00:00"/>
    <x v="0"/>
    <x v="16"/>
    <x v="0"/>
    <x v="223"/>
    <n v="0"/>
    <n v="1"/>
  </r>
  <r>
    <s v="021.458.691/0001-41"/>
    <x v="225"/>
    <s v="INCLUSAO  ANOT.INADIMPLENCIA"/>
    <d v="2025-06-07T00:00:00"/>
    <x v="29"/>
    <x v="16"/>
    <x v="29"/>
    <x v="225"/>
    <n v="0"/>
    <n v="1"/>
  </r>
  <r>
    <s v="050.901.671/0001-00"/>
    <x v="127"/>
    <s v="EXCLUSAO  ANOT.INADIMPLENCIA"/>
    <d v="2025-06-07T00:00:00"/>
    <x v="16"/>
    <x v="16"/>
    <x v="16"/>
    <x v="127"/>
    <n v="1"/>
    <n v="0"/>
  </r>
  <r>
    <s v="000.803.044/0001-50"/>
    <x v="45"/>
    <s v="EXCLUSAO  ANOT.INADIMPLENCIA"/>
    <d v="2025-06-10T00:00:00"/>
    <x v="5"/>
    <x v="16"/>
    <x v="5"/>
    <x v="45"/>
    <n v="1"/>
    <n v="0"/>
  </r>
  <r>
    <s v="044.637.793/0001-20"/>
    <x v="147"/>
    <s v="INCLUSAO  ANOT.INADIMPLENCIA"/>
    <d v="2025-06-10T00:00:00"/>
    <x v="0"/>
    <x v="16"/>
    <x v="0"/>
    <x v="147"/>
    <n v="0"/>
    <n v="1"/>
  </r>
  <r>
    <s v="044.570.311/0001-61"/>
    <x v="117"/>
    <s v="INCLUSAO  ANOT.INADIMPLENCIA"/>
    <d v="2025-06-10T00:00:00"/>
    <x v="15"/>
    <x v="16"/>
    <x v="15"/>
    <x v="117"/>
    <n v="0"/>
    <n v="1"/>
  </r>
  <r>
    <s v="043.515.558/0001-12"/>
    <x v="177"/>
    <s v="INCLUSAO  ANOT.INADIMPLENCIA"/>
    <d v="2025-06-10T00:00:00"/>
    <x v="12"/>
    <x v="16"/>
    <x v="12"/>
    <x v="177"/>
    <n v="0"/>
    <n v="1"/>
  </r>
  <r>
    <s v="038.110.780/0001-03"/>
    <x v="47"/>
    <s v="INCLUSAO  ANOT.INADIMPLENCIA"/>
    <d v="2025-06-10T00:00:00"/>
    <x v="8"/>
    <x v="16"/>
    <x v="8"/>
    <x v="47"/>
    <n v="0"/>
    <n v="1"/>
  </r>
  <r>
    <s v="037.828.375/0001-54"/>
    <x v="39"/>
    <s v="EXCLUSAO  ANOT.INADIMPLENCIA"/>
    <d v="2025-06-10T00:00:00"/>
    <x v="7"/>
    <x v="16"/>
    <x v="7"/>
    <x v="39"/>
    <n v="1"/>
    <n v="0"/>
  </r>
  <r>
    <s v="037.599.774/0001-90"/>
    <x v="202"/>
    <s v="INCLUSAO  ANOT.INADIMPLENCIA"/>
    <d v="2025-06-10T00:00:00"/>
    <x v="30"/>
    <x v="16"/>
    <x v="30"/>
    <x v="202"/>
    <n v="0"/>
    <n v="1"/>
  </r>
  <r>
    <s v="032.925.977/0001-06"/>
    <x v="236"/>
    <s v="INCLUSAO  ANOT.INADIMPLENCIA"/>
    <d v="2025-06-10T00:00:00"/>
    <x v="1"/>
    <x v="16"/>
    <x v="1"/>
    <x v="236"/>
    <n v="0"/>
    <n v="1"/>
  </r>
  <r>
    <s v="028.511.223/0001-32"/>
    <x v="190"/>
    <s v="INCLUSAO  ANOT.INADIMPLENCIA"/>
    <d v="2025-06-10T00:00:00"/>
    <x v="20"/>
    <x v="16"/>
    <x v="20"/>
    <x v="190"/>
    <n v="0"/>
    <n v="1"/>
  </r>
  <r>
    <s v="028.477.685/0001-80"/>
    <x v="96"/>
    <s v="EXCLUSAO  ANOT.INADIMPLENCIA"/>
    <d v="2025-06-10T00:00:00"/>
    <x v="7"/>
    <x v="16"/>
    <x v="7"/>
    <x v="96"/>
    <n v="1"/>
    <n v="0"/>
  </r>
  <r>
    <s v="028.393.466/0001-13"/>
    <x v="168"/>
    <s v="INCLUSAO  ANOT.INADIMPLENCIA"/>
    <d v="2025-06-10T00:00:00"/>
    <x v="15"/>
    <x v="16"/>
    <x v="15"/>
    <x v="168"/>
    <n v="0"/>
    <n v="1"/>
  </r>
  <r>
    <s v="025.825.654/0001-85"/>
    <x v="7"/>
    <s v="INCLUSAO  ANOT.INADIMPLENCIA"/>
    <d v="2025-06-10T00:00:00"/>
    <x v="4"/>
    <x v="16"/>
    <x v="4"/>
    <x v="7"/>
    <n v="0"/>
    <n v="1"/>
  </r>
  <r>
    <s v="025.094.292/0001-08"/>
    <x v="214"/>
    <s v="INCLUSAO  ANOT.INADIMPLENCIA"/>
    <d v="2025-06-10T00:00:00"/>
    <x v="28"/>
    <x v="16"/>
    <x v="28"/>
    <x v="214"/>
    <n v="0"/>
    <n v="1"/>
  </r>
  <r>
    <s v="023.605.544/0001-82"/>
    <x v="21"/>
    <s v="INCLUSAO  ANOT.INADIMPLENCIA"/>
    <d v="2025-06-10T00:00:00"/>
    <x v="11"/>
    <x v="16"/>
    <x v="11"/>
    <x v="21"/>
    <n v="0"/>
    <n v="1"/>
  </r>
  <r>
    <s v="021.382.943/0001-04"/>
    <x v="206"/>
    <s v="EXCLUSAO  ANOT.INADIMPLENCIA"/>
    <d v="2025-06-10T00:00:00"/>
    <x v="0"/>
    <x v="16"/>
    <x v="0"/>
    <x v="206"/>
    <n v="1"/>
    <n v="0"/>
  </r>
  <r>
    <s v="021.285.266/0001-06"/>
    <x v="232"/>
    <s v="EXCLUSAO  ANOT.INADIMPLENCIA"/>
    <d v="2025-06-10T00:00:00"/>
    <x v="31"/>
    <x v="16"/>
    <x v="31"/>
    <x v="232"/>
    <n v="1"/>
    <n v="0"/>
  </r>
  <r>
    <s v="020.066.300/0001-80"/>
    <x v="2"/>
    <s v="INCLUSAO  ANOT.INADIMPLENCIA"/>
    <d v="2025-06-10T00:00:00"/>
    <x v="1"/>
    <x v="16"/>
    <x v="1"/>
    <x v="2"/>
    <n v="0"/>
    <n v="1"/>
  </r>
  <r>
    <s v="020.024.081/0001-77"/>
    <x v="178"/>
    <s v="INCLUSAO  ANOT.INADIMPLENCIA"/>
    <d v="2025-06-10T00:00:00"/>
    <x v="16"/>
    <x v="16"/>
    <x v="16"/>
    <x v="178"/>
    <n v="0"/>
    <n v="1"/>
  </r>
  <r>
    <s v="016.772.642/0001-49"/>
    <x v="70"/>
    <s v="INCLUSAO  ANOT.INADIMPLENCIA"/>
    <d v="2025-06-10T00:00:00"/>
    <x v="0"/>
    <x v="16"/>
    <x v="0"/>
    <x v="70"/>
    <n v="0"/>
    <n v="1"/>
  </r>
  <r>
    <s v="011.122.552/0001-99"/>
    <x v="60"/>
    <s v="INCLUSAO  ANOT.INADIMPLENCIA"/>
    <d v="2025-06-10T00:00:00"/>
    <x v="8"/>
    <x v="16"/>
    <x v="8"/>
    <x v="60"/>
    <n v="0"/>
    <n v="1"/>
  </r>
  <r>
    <s v="009.171.140/0001-05"/>
    <x v="33"/>
    <s v="INCLUSAO  ANOT.INADIMPLENCIA"/>
    <d v="2025-06-10T00:00:00"/>
    <x v="17"/>
    <x v="16"/>
    <x v="17"/>
    <x v="33"/>
    <n v="0"/>
    <n v="1"/>
  </r>
  <r>
    <s v="008.991.603/0001-04"/>
    <x v="58"/>
    <s v="EXCLUSAO  ANOT.INADIMPLENCIA"/>
    <d v="2025-06-10T00:00:00"/>
    <x v="4"/>
    <x v="16"/>
    <x v="4"/>
    <x v="58"/>
    <n v="1"/>
    <n v="0"/>
  </r>
  <r>
    <s v="008.250.872/0001-10"/>
    <x v="122"/>
    <s v="INCLUSAO  ANOT.INADIMPLENCIA"/>
    <d v="2025-06-10T00:00:00"/>
    <x v="8"/>
    <x v="16"/>
    <x v="8"/>
    <x v="122"/>
    <n v="0"/>
    <n v="1"/>
  </r>
  <r>
    <s v="007.102.721/0001-51"/>
    <x v="44"/>
    <s v="INCL/EXCL ANOT.INADIMPLENCIA"/>
    <d v="2025-06-10T00:00:00"/>
    <x v="15"/>
    <x v="16"/>
    <x v="15"/>
    <x v="44"/>
    <n v="0"/>
    <n v="0"/>
  </r>
  <r>
    <s v="004.323.643/0001-27"/>
    <x v="223"/>
    <s v="INCLUSAO  ANOT.INADIMPLENCIA"/>
    <d v="2025-06-10T00:00:00"/>
    <x v="0"/>
    <x v="16"/>
    <x v="0"/>
    <x v="223"/>
    <n v="0"/>
    <n v="1"/>
  </r>
  <r>
    <s v="003.603.516/0001-19"/>
    <x v="237"/>
    <s v="INCLUSAO  ANOT.INADIMPLENCIA"/>
    <d v="2025-06-10T00:00:00"/>
    <x v="4"/>
    <x v="16"/>
    <x v="4"/>
    <x v="237"/>
    <n v="0"/>
    <n v="1"/>
  </r>
  <r>
    <s v="052.755.043/0001-80"/>
    <x v="238"/>
    <s v="INCLUSAO  ANOT.INADIMPLENCIA"/>
    <d v="2025-06-10T00:00:00"/>
    <x v="4"/>
    <x v="16"/>
    <x v="4"/>
    <x v="238"/>
    <n v="0"/>
    <n v="1"/>
  </r>
  <r>
    <s v="071.350.797/0001-03"/>
    <x v="48"/>
    <s v="INCL/EXCL ANOT.INADIMPLENCIA"/>
    <d v="2025-06-10T00:00:00"/>
    <x v="16"/>
    <x v="16"/>
    <x v="16"/>
    <x v="48"/>
    <n v="0"/>
    <n v="0"/>
  </r>
  <r>
    <s v="003.603.516/0001-19"/>
    <x v="237"/>
    <s v="INCLUSAO  ANOT.INADIMPLENCIA"/>
    <d v="2025-06-11T00:00:00"/>
    <x v="4"/>
    <x v="16"/>
    <x v="4"/>
    <x v="237"/>
    <n v="0"/>
    <n v="1"/>
  </r>
  <r>
    <s v="008.250.872/0001-10"/>
    <x v="122"/>
    <s v="INCL/EXCL ANOT.INADIMPLENCIA"/>
    <d v="2025-06-11T00:00:00"/>
    <x v="8"/>
    <x v="16"/>
    <x v="8"/>
    <x v="122"/>
    <n v="0"/>
    <n v="0"/>
  </r>
  <r>
    <s v="012.520.791/0001-60"/>
    <x v="4"/>
    <s v="INCLUSAO  ANOT.INADIMPLENCIA"/>
    <d v="2025-06-11T00:00:00"/>
    <x v="1"/>
    <x v="16"/>
    <x v="1"/>
    <x v="4"/>
    <n v="0"/>
    <n v="1"/>
  </r>
  <r>
    <s v="020.024.081/0001-77"/>
    <x v="178"/>
    <s v="INCLUSAO  ANOT.INADIMPLENCIA"/>
    <d v="2025-06-11T00:00:00"/>
    <x v="16"/>
    <x v="16"/>
    <x v="16"/>
    <x v="178"/>
    <n v="0"/>
    <n v="1"/>
  </r>
  <r>
    <s v="021.382.943/0001-04"/>
    <x v="206"/>
    <s v="INCLUSAO  ANOT.INADIMPLENCIA"/>
    <d v="2025-06-11T00:00:00"/>
    <x v="0"/>
    <x v="16"/>
    <x v="0"/>
    <x v="206"/>
    <n v="0"/>
    <n v="1"/>
  </r>
  <r>
    <s v="025.825.654/0001-85"/>
    <x v="7"/>
    <s v="INCLUSAO  ANOT.INADIMPLENCIA"/>
    <d v="2025-06-11T00:00:00"/>
    <x v="4"/>
    <x v="16"/>
    <x v="4"/>
    <x v="7"/>
    <n v="0"/>
    <n v="1"/>
  </r>
  <r>
    <s v="028.393.466/0001-13"/>
    <x v="168"/>
    <s v="INCLUSAO  ANOT.INADIMPLENCIA"/>
    <d v="2025-06-11T00:00:00"/>
    <x v="15"/>
    <x v="16"/>
    <x v="15"/>
    <x v="168"/>
    <n v="0"/>
    <n v="1"/>
  </r>
  <r>
    <s v="028.511.223/0001-32"/>
    <x v="190"/>
    <s v="EXCLUSAO  ANOT.INADIMPLENCIA"/>
    <d v="2025-06-11T00:00:00"/>
    <x v="20"/>
    <x v="16"/>
    <x v="20"/>
    <x v="190"/>
    <n v="1"/>
    <n v="0"/>
  </r>
  <r>
    <s v="028.650.970/0001-51"/>
    <x v="167"/>
    <s v="INCLUSAO  ANOT.INADIMPLENCIA"/>
    <d v="2025-06-11T00:00:00"/>
    <x v="16"/>
    <x v="16"/>
    <x v="16"/>
    <x v="167"/>
    <n v="0"/>
    <n v="1"/>
  </r>
  <r>
    <s v="033.249.279/0001-09"/>
    <x v="239"/>
    <s v="ALTERACAO ENDERECO"/>
    <d v="2025-06-11T00:00:00"/>
    <x v="31"/>
    <x v="16"/>
    <x v="31"/>
    <x v="239"/>
    <n v="0"/>
    <n v="0"/>
  </r>
  <r>
    <s v="035.679.705/0001-61"/>
    <x v="172"/>
    <s v="INCLUSAO  ANOT.INADIMPLENCIA"/>
    <d v="2025-06-11T00:00:00"/>
    <x v="6"/>
    <x v="16"/>
    <x v="6"/>
    <x v="172"/>
    <n v="0"/>
    <n v="1"/>
  </r>
  <r>
    <s v="037.599.774/0001-90"/>
    <x v="202"/>
    <s v="EXCLUSAO  ANOT.INADIMPLENCIA"/>
    <d v="2025-06-11T00:00:00"/>
    <x v="30"/>
    <x v="16"/>
    <x v="30"/>
    <x v="202"/>
    <n v="1"/>
    <n v="0"/>
  </r>
  <r>
    <s v="038.110.780/0001-03"/>
    <x v="47"/>
    <s v="EXCLUSAO  ANOT.INADIMPLENCIA"/>
    <d v="2025-06-11T00:00:00"/>
    <x v="8"/>
    <x v="16"/>
    <x v="8"/>
    <x v="47"/>
    <n v="1"/>
    <n v="0"/>
  </r>
  <r>
    <s v="004.126.524/0001-84"/>
    <x v="49"/>
    <s v="INCLUSAO  ANOT.INADIMPLENCIA"/>
    <d v="2025-06-12T00:00:00"/>
    <x v="13"/>
    <x v="16"/>
    <x v="13"/>
    <x v="49"/>
    <n v="0"/>
    <n v="1"/>
  </r>
  <r>
    <s v="004.622.554/0001-81"/>
    <x v="67"/>
    <s v="EXCLUSAO  ANOT.INADIMPLENCIA"/>
    <d v="2025-06-12T00:00:00"/>
    <x v="6"/>
    <x v="16"/>
    <x v="6"/>
    <x v="67"/>
    <n v="1"/>
    <n v="0"/>
  </r>
  <r>
    <s v="005.774.638/0001-01"/>
    <x v="198"/>
    <s v="EXCLUSAO  ANOT.INADIMPLENCIA"/>
    <d v="2025-06-12T00:00:00"/>
    <x v="30"/>
    <x v="16"/>
    <x v="30"/>
    <x v="198"/>
    <n v="1"/>
    <n v="0"/>
  </r>
  <r>
    <s v="011.091.574/0001-39"/>
    <x v="26"/>
    <s v="EXCLUSAO  ANOT.INADIMPLENCIA"/>
    <d v="2025-06-12T00:00:00"/>
    <x v="7"/>
    <x v="16"/>
    <x v="7"/>
    <x v="26"/>
    <n v="1"/>
    <n v="0"/>
  </r>
  <r>
    <s v="012.520.791/0001-60"/>
    <x v="4"/>
    <s v="INCLUSAO  ANOT.INADIMPLENCIA"/>
    <d v="2025-06-12T00:00:00"/>
    <x v="1"/>
    <x v="16"/>
    <x v="1"/>
    <x v="4"/>
    <n v="0"/>
    <n v="1"/>
  </r>
  <r>
    <s v="012.645.814/0001-62"/>
    <x v="218"/>
    <s v="EXCLUSAO  ANOT.INADIMPLENCIA"/>
    <d v="2025-06-12T00:00:00"/>
    <x v="30"/>
    <x v="16"/>
    <x v="30"/>
    <x v="218"/>
    <n v="1"/>
    <n v="0"/>
  </r>
  <r>
    <s v="020.024.081/0001-77"/>
    <x v="178"/>
    <s v="INCLUSAO  ANOT.INADIMPLENCIA"/>
    <d v="2025-06-12T00:00:00"/>
    <x v="16"/>
    <x v="16"/>
    <x v="16"/>
    <x v="178"/>
    <n v="0"/>
    <n v="1"/>
  </r>
  <r>
    <s v="021.382.943/0001-04"/>
    <x v="206"/>
    <s v="EXCLUSAO  ANOT.INADIMPLENCIA"/>
    <d v="2025-06-12T00:00:00"/>
    <x v="0"/>
    <x v="16"/>
    <x v="0"/>
    <x v="206"/>
    <n v="1"/>
    <n v="0"/>
  </r>
  <r>
    <s v="021.458.691/0001-41"/>
    <x v="225"/>
    <s v="INCLUSAO  ANOT.INADIMPLENCIA"/>
    <d v="2025-06-12T00:00:00"/>
    <x v="29"/>
    <x v="16"/>
    <x v="29"/>
    <x v="225"/>
    <n v="0"/>
    <n v="1"/>
  </r>
  <r>
    <s v="026.416.177/0001-67"/>
    <x v="131"/>
    <s v="EXCLUSAO  ANOT.INADIMPLENCIA"/>
    <d v="2025-06-12T00:00:00"/>
    <x v="4"/>
    <x v="16"/>
    <x v="4"/>
    <x v="131"/>
    <n v="1"/>
    <n v="0"/>
  </r>
  <r>
    <s v="028.650.970/0001-51"/>
    <x v="167"/>
    <s v="EXCLUSAO  ANOT.INADIMPLENCIA"/>
    <d v="2025-06-12T00:00:00"/>
    <x v="16"/>
    <x v="16"/>
    <x v="16"/>
    <x v="167"/>
    <n v="1"/>
    <n v="0"/>
  </r>
  <r>
    <s v="037.599.774/0001-90"/>
    <x v="202"/>
    <s v="EXCLUSAO  ANOT.INADIMPLENCIA"/>
    <d v="2025-06-12T00:00:00"/>
    <x v="30"/>
    <x v="16"/>
    <x v="30"/>
    <x v="202"/>
    <n v="1"/>
    <n v="0"/>
  </r>
  <r>
    <s v="003.590.360/0001-89"/>
    <x v="3"/>
    <s v="INCLUSAO  ANOT.INADIMPLENCIA"/>
    <d v="2025-06-13T00:00:00"/>
    <x v="1"/>
    <x v="16"/>
    <x v="1"/>
    <x v="3"/>
    <n v="0"/>
    <n v="1"/>
  </r>
  <r>
    <s v="049.915.471/0001-19"/>
    <x v="240"/>
    <s v="INCLUSAO  ANOT.INADIMPLENCIA"/>
    <d v="2025-06-13T00:00:00"/>
    <x v="31"/>
    <x v="16"/>
    <x v="31"/>
    <x v="240"/>
    <n v="0"/>
    <n v="1"/>
  </r>
  <r>
    <s v="043.515.558/0001-12"/>
    <x v="177"/>
    <s v="EXCLUSAO  ANOT.INADIMPLENCIA"/>
    <d v="2025-06-13T00:00:00"/>
    <x v="12"/>
    <x v="16"/>
    <x v="12"/>
    <x v="177"/>
    <n v="1"/>
    <n v="0"/>
  </r>
  <r>
    <s v="038.405.720/0001-00"/>
    <x v="203"/>
    <s v="EXCLUSAO  ANOT.INADIMPLENCIA"/>
    <d v="2025-06-13T00:00:00"/>
    <x v="20"/>
    <x v="16"/>
    <x v="20"/>
    <x v="203"/>
    <n v="1"/>
    <n v="0"/>
  </r>
  <r>
    <s v="032.925.977/0001-06"/>
    <x v="236"/>
    <s v="EXCLUSAO  ANOT.INADIMPLENCIA"/>
    <d v="2025-06-13T00:00:00"/>
    <x v="1"/>
    <x v="16"/>
    <x v="1"/>
    <x v="236"/>
    <n v="1"/>
    <n v="0"/>
  </r>
  <r>
    <s v="028.393.466/0001-13"/>
    <x v="168"/>
    <s v="INCLUSAO  ANOT.INADIMPLENCIA"/>
    <d v="2025-06-13T00:00:00"/>
    <x v="15"/>
    <x v="16"/>
    <x v="15"/>
    <x v="168"/>
    <n v="0"/>
    <n v="1"/>
  </r>
  <r>
    <s v="025.094.292/0001-08"/>
    <x v="214"/>
    <s v="EXCLUSAO  ANOT.INADIMPLENCIA"/>
    <d v="2025-06-13T00:00:00"/>
    <x v="28"/>
    <x v="16"/>
    <x v="28"/>
    <x v="214"/>
    <n v="1"/>
    <n v="0"/>
  </r>
  <r>
    <s v="021.420.856/0001-96"/>
    <x v="130"/>
    <s v="EXCLUSAO  ANOT.INADIMPLENCIA"/>
    <d v="2025-06-13T00:00:00"/>
    <x v="24"/>
    <x v="16"/>
    <x v="24"/>
    <x v="130"/>
    <n v="1"/>
    <n v="0"/>
  </r>
  <r>
    <s v="020.066.300/0001-80"/>
    <x v="2"/>
    <s v="EXCLUSAO  ANOT.INADIMPLENCIA"/>
    <d v="2025-06-13T00:00:00"/>
    <x v="1"/>
    <x v="16"/>
    <x v="1"/>
    <x v="2"/>
    <n v="1"/>
    <n v="0"/>
  </r>
  <r>
    <s v="020.024.081/0001-77"/>
    <x v="178"/>
    <s v="INCLUSAO  ANOT.INADIMPLENCIA"/>
    <d v="2025-06-13T00:00:00"/>
    <x v="16"/>
    <x v="16"/>
    <x v="16"/>
    <x v="178"/>
    <n v="0"/>
    <n v="1"/>
  </r>
  <r>
    <s v="018.608.055/0001-44"/>
    <x v="132"/>
    <s v="INCLUSAO  ANOT.INADIMPLENCIA"/>
    <d v="2025-06-13T00:00:00"/>
    <x v="4"/>
    <x v="16"/>
    <x v="4"/>
    <x v="132"/>
    <n v="0"/>
    <n v="1"/>
  </r>
  <r>
    <s v="013.749.701/0001-70"/>
    <x v="196"/>
    <s v="INCLUSAO  ANOT.INADIMPLENCIA"/>
    <d v="2025-06-13T00:00:00"/>
    <x v="8"/>
    <x v="16"/>
    <x v="8"/>
    <x v="196"/>
    <n v="0"/>
    <n v="1"/>
  </r>
  <r>
    <s v="011.173.099/0001-40"/>
    <x v="229"/>
    <s v="INCLUSAO  ANOT.INADIMPLENCIA"/>
    <d v="2025-06-13T00:00:00"/>
    <x v="30"/>
    <x v="16"/>
    <x v="30"/>
    <x v="229"/>
    <n v="0"/>
    <n v="1"/>
  </r>
  <r>
    <s v="011.091.574/0001-39"/>
    <x v="26"/>
    <s v="INCLUSAO  ANOT.INADIMPLENCIA"/>
    <d v="2025-06-13T00:00:00"/>
    <x v="7"/>
    <x v="16"/>
    <x v="7"/>
    <x v="26"/>
    <n v="0"/>
    <n v="1"/>
  </r>
  <r>
    <s v="007.561.436/0001-07"/>
    <x v="34"/>
    <s v="EXCLUSAO  ANOT.INADIMPLENCIA"/>
    <d v="2025-06-13T00:00:00"/>
    <x v="15"/>
    <x v="16"/>
    <x v="15"/>
    <x v="34"/>
    <n v="1"/>
    <n v="0"/>
  </r>
  <r>
    <s v="007.102.721/0001-51"/>
    <x v="44"/>
    <s v="INCLUSAO  ANOT.INADIMPLENCIA"/>
    <d v="2025-06-13T00:00:00"/>
    <x v="15"/>
    <x v="16"/>
    <x v="15"/>
    <x v="44"/>
    <n v="0"/>
    <n v="1"/>
  </r>
  <r>
    <s v="055.979.736/0001-45"/>
    <x v="64"/>
    <s v="EXCLUSAO  ANOT.INADIMPLENCIA"/>
    <d v="2025-06-13T00:00:00"/>
    <x v="20"/>
    <x v="16"/>
    <x v="20"/>
    <x v="64"/>
    <n v="1"/>
    <n v="0"/>
  </r>
  <r>
    <s v="071.350.797/0001-03"/>
    <x v="48"/>
    <s v="EXCLUSAO  ANOT.INADIMPLENCIA"/>
    <d v="2025-06-13T00:00:00"/>
    <x v="16"/>
    <x v="16"/>
    <x v="16"/>
    <x v="48"/>
    <n v="1"/>
    <n v="0"/>
  </r>
  <r>
    <s v="003.590.360/0001-89"/>
    <x v="3"/>
    <s v="INCLUSAO  ANOT.INADIMPLENCIA"/>
    <d v="2025-06-14T00:00:00"/>
    <x v="1"/>
    <x v="16"/>
    <x v="1"/>
    <x v="3"/>
    <n v="0"/>
    <n v="1"/>
  </r>
  <r>
    <s v="005.374.432/0001-86"/>
    <x v="224"/>
    <s v="INCLUSAO  ANOT.INADIMPLENCIA"/>
    <d v="2025-06-14T00:00:00"/>
    <x v="33"/>
    <x v="16"/>
    <x v="33"/>
    <x v="224"/>
    <n v="0"/>
    <n v="1"/>
  </r>
  <r>
    <s v="008.250.872/0001-10"/>
    <x v="122"/>
    <s v="INCLUSAO  ANOT.INADIMPLENCIA"/>
    <d v="2025-06-14T00:00:00"/>
    <x v="8"/>
    <x v="16"/>
    <x v="8"/>
    <x v="122"/>
    <n v="0"/>
    <n v="1"/>
  </r>
  <r>
    <s v="012.520.791/0001-60"/>
    <x v="4"/>
    <s v="INCLUSAO  ANOT.INADIMPLENCIA"/>
    <d v="2025-06-14T00:00:00"/>
    <x v="1"/>
    <x v="16"/>
    <x v="1"/>
    <x v="4"/>
    <n v="0"/>
    <n v="1"/>
  </r>
  <r>
    <s v="021.420.856/0001-96"/>
    <x v="130"/>
    <s v="INCLUSAO  ANOT.INADIMPLENCIA"/>
    <d v="2025-06-14T00:00:00"/>
    <x v="24"/>
    <x v="16"/>
    <x v="24"/>
    <x v="130"/>
    <n v="0"/>
    <n v="1"/>
  </r>
  <r>
    <s v="024.255.748/0001-01"/>
    <x v="30"/>
    <s v="INCLUSAO  ANOT.INADIMPLENCIA"/>
    <d v="2025-06-14T00:00:00"/>
    <x v="15"/>
    <x v="16"/>
    <x v="15"/>
    <x v="30"/>
    <n v="0"/>
    <n v="1"/>
  </r>
  <r>
    <s v="028.393.466/0001-13"/>
    <x v="168"/>
    <s v="INCLUSAO  ANOT.INADIMPLENCIA"/>
    <d v="2025-06-14T00:00:00"/>
    <x v="15"/>
    <x v="16"/>
    <x v="15"/>
    <x v="168"/>
    <n v="0"/>
    <n v="1"/>
  </r>
  <r>
    <s v="038.479.255/0001-51"/>
    <x v="241"/>
    <s v="EXCLUSAO  ANOT.INADIMPLENCIA"/>
    <d v="2025-06-14T00:00:00"/>
    <x v="4"/>
    <x v="16"/>
    <x v="4"/>
    <x v="241"/>
    <n v="1"/>
    <n v="0"/>
  </r>
  <r>
    <s v="003.524.760/0001-96"/>
    <x v="231"/>
    <s v="INCLUSAO  ANOT.INADIMPLENCIA"/>
    <d v="2025-06-17T00:00:00"/>
    <x v="34"/>
    <x v="17"/>
    <x v="34"/>
    <x v="231"/>
    <n v="0"/>
    <n v="1"/>
  </r>
  <r>
    <s v="043.515.558/0001-12"/>
    <x v="177"/>
    <s v="INCL/EXCL ANOT.INADIMPLENCIA"/>
    <d v="2025-06-17T00:00:00"/>
    <x v="12"/>
    <x v="17"/>
    <x v="12"/>
    <x v="177"/>
    <n v="0"/>
    <n v="0"/>
  </r>
  <r>
    <s v="041.921.772/0001-43"/>
    <x v="219"/>
    <s v="INCLUSAO  ANOT.INADIMPLENCIA"/>
    <d v="2025-06-17T00:00:00"/>
    <x v="28"/>
    <x v="17"/>
    <x v="28"/>
    <x v="219"/>
    <n v="0"/>
    <n v="1"/>
  </r>
  <r>
    <s v="040.582.798/0001-41"/>
    <x v="145"/>
    <s v="INCL/EXCL ANOT.INADIMPLENCIA"/>
    <d v="2025-06-17T00:00:00"/>
    <x v="20"/>
    <x v="17"/>
    <x v="20"/>
    <x v="145"/>
    <n v="0"/>
    <n v="0"/>
  </r>
  <r>
    <s v="038.479.255/0001-51"/>
    <x v="241"/>
    <s v="EXCLUSAO  ANOT.INADIMPLENCIA"/>
    <d v="2025-06-17T00:00:00"/>
    <x v="4"/>
    <x v="17"/>
    <x v="4"/>
    <x v="241"/>
    <n v="1"/>
    <n v="0"/>
  </r>
  <r>
    <s v="036.726.274/0001-00"/>
    <x v="134"/>
    <s v="INCLUSAO  ANOT.INADIMPLENCIA"/>
    <d v="2025-06-17T00:00:00"/>
    <x v="1"/>
    <x v="17"/>
    <x v="1"/>
    <x v="134"/>
    <n v="0"/>
    <n v="1"/>
  </r>
  <r>
    <s v="034.821.586/0001-77"/>
    <x v="38"/>
    <s v="INCLUSAO  ANOT.INADIMPLENCIA"/>
    <d v="2025-06-17T00:00:00"/>
    <x v="4"/>
    <x v="17"/>
    <x v="4"/>
    <x v="38"/>
    <n v="0"/>
    <n v="1"/>
  </r>
  <r>
    <s v="033.803.691/0001-10"/>
    <x v="104"/>
    <s v="INCL/EXCL ANOT.INADIMPLENCIA"/>
    <d v="2025-06-17T00:00:00"/>
    <x v="0"/>
    <x v="17"/>
    <x v="0"/>
    <x v="104"/>
    <n v="0"/>
    <n v="0"/>
  </r>
  <r>
    <s v="028.650.970/0001-51"/>
    <x v="167"/>
    <s v="INCLUSAO  ANOT.INADIMPLENCIA"/>
    <d v="2025-06-17T00:00:00"/>
    <x v="16"/>
    <x v="17"/>
    <x v="16"/>
    <x v="167"/>
    <n v="0"/>
    <n v="1"/>
  </r>
  <r>
    <s v="028.511.223/0001-32"/>
    <x v="190"/>
    <s v="INCLUSAO  ANOT.INADIMPLENCIA"/>
    <d v="2025-06-17T00:00:00"/>
    <x v="20"/>
    <x v="17"/>
    <x v="20"/>
    <x v="190"/>
    <n v="0"/>
    <n v="1"/>
  </r>
  <r>
    <s v="028.393.466/0001-13"/>
    <x v="168"/>
    <s v="INCLUSAO  ANOT.INADIMPLENCIA"/>
    <d v="2025-06-17T00:00:00"/>
    <x v="15"/>
    <x v="17"/>
    <x v="15"/>
    <x v="168"/>
    <n v="0"/>
    <n v="1"/>
  </r>
  <r>
    <s v="050.164.951/0001-74"/>
    <x v="52"/>
    <s v="INCLUSAO  ANOT.INADIMPLENCIA"/>
    <d v="2025-06-17T00:00:00"/>
    <x v="0"/>
    <x v="17"/>
    <x v="0"/>
    <x v="52"/>
    <n v="0"/>
    <n v="1"/>
  </r>
  <r>
    <s v="023.637.987/0001-55"/>
    <x v="20"/>
    <s v="INCLUSAO  ANOT.INADIMPLENCIA"/>
    <d v="2025-06-17T00:00:00"/>
    <x v="7"/>
    <x v="17"/>
    <x v="7"/>
    <x v="20"/>
    <n v="0"/>
    <n v="1"/>
  </r>
  <r>
    <s v="018.608.055/0001-44"/>
    <x v="132"/>
    <s v="INCLUSAO  ANOT.INADIMPLENCIA"/>
    <d v="2025-06-17T00:00:00"/>
    <x v="4"/>
    <x v="17"/>
    <x v="4"/>
    <x v="132"/>
    <n v="0"/>
    <n v="1"/>
  </r>
  <r>
    <s v="016.772.642/0001-49"/>
    <x v="70"/>
    <s v="EXCLUSAO  ANOT.INADIMPLENCIA"/>
    <d v="2025-06-17T00:00:00"/>
    <x v="0"/>
    <x v="17"/>
    <x v="0"/>
    <x v="70"/>
    <n v="1"/>
    <n v="0"/>
  </r>
  <r>
    <s v="011.122.552/0001-99"/>
    <x v="60"/>
    <s v="INCLUSAO  ANOT.INADIMPLENCIA"/>
    <d v="2025-06-17T00:00:00"/>
    <x v="8"/>
    <x v="17"/>
    <x v="8"/>
    <x v="60"/>
    <n v="0"/>
    <n v="1"/>
  </r>
  <r>
    <s v="008.250.872/0001-10"/>
    <x v="122"/>
    <s v="INCLUSAO  ANOT.INADIMPLENCIA"/>
    <d v="2025-06-17T00:00:00"/>
    <x v="8"/>
    <x v="17"/>
    <x v="8"/>
    <x v="122"/>
    <n v="0"/>
    <n v="1"/>
  </r>
  <r>
    <s v="007.102.721/0001-51"/>
    <x v="44"/>
    <s v="INCLUSAO  ANOT.INADIMPLENCIA"/>
    <d v="2025-06-17T00:00:00"/>
    <x v="15"/>
    <x v="17"/>
    <x v="15"/>
    <x v="44"/>
    <n v="0"/>
    <n v="1"/>
  </r>
  <r>
    <s v="005.374.432/0001-86"/>
    <x v="224"/>
    <s v="INCLUSAO  ANOT.INADIMPLENCIA"/>
    <d v="2025-06-17T00:00:00"/>
    <x v="33"/>
    <x v="17"/>
    <x v="33"/>
    <x v="224"/>
    <n v="0"/>
    <n v="1"/>
  </r>
  <r>
    <s v="004.622.554/0001-81"/>
    <x v="67"/>
    <s v="EXCLUSAO  ANOT.INADIMPLENCIA"/>
    <d v="2025-06-17T00:00:00"/>
    <x v="6"/>
    <x v="17"/>
    <x v="6"/>
    <x v="67"/>
    <n v="1"/>
    <n v="0"/>
  </r>
  <r>
    <s v="004.323.643/0001-27"/>
    <x v="223"/>
    <s v="INCLUSAO  ANOT.INADIMPLENCIA"/>
    <d v="2025-06-17T00:00:00"/>
    <x v="0"/>
    <x v="17"/>
    <x v="0"/>
    <x v="223"/>
    <n v="0"/>
    <n v="1"/>
  </r>
  <r>
    <s v="004.041.192/0001-35"/>
    <x v="37"/>
    <s v="INCLUSAO  ANOT.INADIMPLENCIA"/>
    <d v="2025-06-17T00:00:00"/>
    <x v="0"/>
    <x v="17"/>
    <x v="0"/>
    <x v="37"/>
    <n v="0"/>
    <n v="1"/>
  </r>
  <r>
    <s v="003.603.516/0001-19"/>
    <x v="237"/>
    <s v="INCL/EXCL ANOT.INADIMPLENCIA"/>
    <d v="2025-06-17T00:00:00"/>
    <x v="4"/>
    <x v="17"/>
    <x v="4"/>
    <x v="237"/>
    <n v="0"/>
    <n v="0"/>
  </r>
  <r>
    <s v="020.024.081/0001-77"/>
    <x v="178"/>
    <s v="INCLUSAO  ANOT.INADIMPLENCIA"/>
    <d v="2025-06-17T00:00:00"/>
    <x v="16"/>
    <x v="17"/>
    <x v="16"/>
    <x v="178"/>
    <n v="0"/>
    <n v="1"/>
  </r>
  <r>
    <s v="071.350.797/0001-03"/>
    <x v="48"/>
    <s v="EXCLUSAO  ANOT.INADIMPLENCIA"/>
    <d v="2025-06-17T00:00:00"/>
    <x v="16"/>
    <x v="17"/>
    <x v="16"/>
    <x v="48"/>
    <n v="1"/>
    <n v="0"/>
  </r>
  <r>
    <s v="004.323.643/0001-27"/>
    <x v="223"/>
    <s v="INCLUSAO  ANOT.INADIMPLENCIA"/>
    <d v="2025-06-18T00:00:00"/>
    <x v="0"/>
    <x v="17"/>
    <x v="0"/>
    <x v="223"/>
    <n v="0"/>
    <n v="1"/>
  </r>
  <r>
    <s v="007.102.721/0001-51"/>
    <x v="44"/>
    <s v="EXCLUSAO  ANOT.INADIMPLENCIA"/>
    <d v="2025-06-18T00:00:00"/>
    <x v="15"/>
    <x v="17"/>
    <x v="15"/>
    <x v="44"/>
    <n v="1"/>
    <n v="0"/>
  </r>
  <r>
    <s v="008.250.872/0001-10"/>
    <x v="122"/>
    <s v="INCLUSAO  ANOT.INADIMPLENCIA"/>
    <d v="2025-06-18T00:00:00"/>
    <x v="8"/>
    <x v="17"/>
    <x v="8"/>
    <x v="122"/>
    <n v="0"/>
    <n v="1"/>
  </r>
  <r>
    <s v="011.122.552/0001-99"/>
    <x v="60"/>
    <s v="INCLUSAO  ANOT.INADIMPLENCIA"/>
    <d v="2025-06-18T00:00:00"/>
    <x v="8"/>
    <x v="17"/>
    <x v="8"/>
    <x v="60"/>
    <n v="0"/>
    <n v="1"/>
  </r>
  <r>
    <s v="016.757.535/0001-41"/>
    <x v="29"/>
    <s v="INCLUSAO  ANOT.INADIMPLENCIA"/>
    <d v="2025-06-18T00:00:00"/>
    <x v="14"/>
    <x v="17"/>
    <x v="14"/>
    <x v="29"/>
    <n v="0"/>
    <n v="1"/>
  </r>
  <r>
    <s v="020.066.300/0001-80"/>
    <x v="2"/>
    <s v="EXCLUSAO  ANOT.INADIMPLENCIA"/>
    <d v="2025-06-18T00:00:00"/>
    <x v="1"/>
    <x v="17"/>
    <x v="1"/>
    <x v="2"/>
    <n v="1"/>
    <n v="0"/>
  </r>
  <r>
    <s v="021.734.108/0001-88"/>
    <x v="41"/>
    <s v="EXCLUSAO  ANOT.INADIMPLENCIA"/>
    <d v="2025-06-18T00:00:00"/>
    <x v="13"/>
    <x v="17"/>
    <x v="13"/>
    <x v="41"/>
    <n v="1"/>
    <n v="0"/>
  </r>
  <r>
    <s v="023.637.987/0001-55"/>
    <x v="20"/>
    <s v="INCLUSAO  ANOT.INADIMPLENCIA"/>
    <d v="2025-06-18T00:00:00"/>
    <x v="7"/>
    <x v="17"/>
    <x v="7"/>
    <x v="20"/>
    <n v="0"/>
    <n v="1"/>
  </r>
  <r>
    <s v="028.650.970/0001-51"/>
    <x v="167"/>
    <s v="INCL/EXCL ANOT.INADIMPLENCIA"/>
    <d v="2025-06-18T00:00:00"/>
    <x v="16"/>
    <x v="17"/>
    <x v="16"/>
    <x v="167"/>
    <n v="0"/>
    <n v="0"/>
  </r>
  <r>
    <s v="034.821.586/0001-77"/>
    <x v="38"/>
    <s v="INCL/EXCL ANOT.INADIMPLENCIA"/>
    <d v="2025-06-18T00:00:00"/>
    <x v="4"/>
    <x v="17"/>
    <x v="4"/>
    <x v="38"/>
    <n v="0"/>
    <n v="0"/>
  </r>
  <r>
    <s v="041.397.377/0001-03"/>
    <x v="242"/>
    <s v="INCLUSAO  ANOT.INADIMPLENCIA"/>
    <d v="2025-06-18T00:00:00"/>
    <x v="16"/>
    <x v="17"/>
    <x v="16"/>
    <x v="242"/>
    <n v="0"/>
    <n v="1"/>
  </r>
  <r>
    <s v="051.980.425/0001-45"/>
    <x v="174"/>
    <s v="INCLUSAO  ANOT.INADIMPLENCIA"/>
    <d v="2025-06-18T00:00:00"/>
    <x v="16"/>
    <x v="17"/>
    <x v="16"/>
    <x v="174"/>
    <n v="0"/>
    <n v="1"/>
  </r>
  <r>
    <s v="071.350.797/0001-03"/>
    <x v="48"/>
    <s v="INCLUSAO  ANOT.INADIMPLENCIA"/>
    <d v="2025-06-18T00:00:00"/>
    <x v="16"/>
    <x v="17"/>
    <x v="16"/>
    <x v="48"/>
    <n v="0"/>
    <n v="1"/>
  </r>
  <r>
    <s v="003.524.760/0001-96"/>
    <x v="231"/>
    <s v="INCLUSAO ANOT.INADIMPLENCIA"/>
    <d v="2025-06-19T00:00:00"/>
    <x v="34"/>
    <x v="17"/>
    <x v="34"/>
    <x v="231"/>
    <n v="0"/>
    <n v="0"/>
  </r>
  <r>
    <s v="005.374.432/0001-86"/>
    <x v="224"/>
    <s v="INCLUSAO ANOT.INADIMPLENCIA"/>
    <d v="2025-06-19T00:00:00"/>
    <x v="33"/>
    <x v="17"/>
    <x v="33"/>
    <x v="224"/>
    <n v="0"/>
    <n v="0"/>
  </r>
  <r>
    <s v="007.102.721/0001-51"/>
    <x v="44"/>
    <s v="EXCLUSAO ANOT.INADIMPLENCIA"/>
    <d v="2025-06-19T00:00:00"/>
    <x v="15"/>
    <x v="17"/>
    <x v="15"/>
    <x v="44"/>
    <n v="0"/>
    <n v="0"/>
  </r>
  <r>
    <s v="013.749.701/0001-70"/>
    <x v="196"/>
    <s v="INCLUSAO ANOT.INADIMPLENCIA"/>
    <d v="2025-06-19T00:00:00"/>
    <x v="8"/>
    <x v="17"/>
    <x v="8"/>
    <x v="196"/>
    <n v="0"/>
    <n v="0"/>
  </r>
  <r>
    <s v="016.757.535/0001-41"/>
    <x v="29"/>
    <s v="EXCLUSAO ANOT.INADIMPLENCIA"/>
    <d v="2025-06-19T00:00:00"/>
    <x v="14"/>
    <x v="17"/>
    <x v="14"/>
    <x v="29"/>
    <n v="0"/>
    <n v="0"/>
  </r>
  <r>
    <s v="016.772.642/0001-49"/>
    <x v="70"/>
    <s v="INCLUSAO ANOT.INADIMPLENCIA"/>
    <d v="2025-06-19T00:00:00"/>
    <x v="0"/>
    <x v="17"/>
    <x v="0"/>
    <x v="70"/>
    <n v="0"/>
    <n v="0"/>
  </r>
  <r>
    <s v="020.024.081/0001-77"/>
    <x v="178"/>
    <s v="EXCLUSAO ANOT.INADIMPLENCIA"/>
    <d v="2025-06-19T00:00:00"/>
    <x v="16"/>
    <x v="17"/>
    <x v="16"/>
    <x v="178"/>
    <n v="0"/>
    <n v="0"/>
  </r>
  <r>
    <s v="020.066.300/0001-80"/>
    <x v="2"/>
    <s v="INCLUSAO ANOT.INADIMPLENCIA"/>
    <d v="2025-06-19T00:00:00"/>
    <x v="1"/>
    <x v="17"/>
    <x v="1"/>
    <x v="2"/>
    <n v="0"/>
    <n v="0"/>
  </r>
  <r>
    <s v="021.734.108/0001-88"/>
    <x v="41"/>
    <s v="EXCLUSAO ANOT.INADIMPLENCIA"/>
    <d v="2025-06-19T00:00:00"/>
    <x v="13"/>
    <x v="17"/>
    <x v="13"/>
    <x v="41"/>
    <n v="0"/>
    <n v="0"/>
  </r>
  <r>
    <s v="023.637.987/0001-55"/>
    <x v="20"/>
    <s v="EXCLUSAO ANOT.INADIMPLENCIA"/>
    <d v="2025-06-19T00:00:00"/>
    <x v="7"/>
    <x v="17"/>
    <x v="7"/>
    <x v="20"/>
    <n v="0"/>
    <n v="0"/>
  </r>
  <r>
    <s v="028.511.223/0001-32"/>
    <x v="190"/>
    <s v="INCLUSAO ANOT.INADIMPLENCIA"/>
    <d v="2025-06-19T00:00:00"/>
    <x v="20"/>
    <x v="17"/>
    <x v="20"/>
    <x v="190"/>
    <n v="0"/>
    <n v="0"/>
  </r>
  <r>
    <s v="028.650.970/0001-51"/>
    <x v="167"/>
    <s v="INCL/EXCL ANOT.INADIMPLENCIA"/>
    <d v="2025-06-19T00:00:00"/>
    <x v="16"/>
    <x v="17"/>
    <x v="16"/>
    <x v="167"/>
    <n v="0"/>
    <n v="0"/>
  </r>
  <r>
    <s v="032.552.159/0001-05"/>
    <x v="212"/>
    <s v="EXCLUSAO ANOT.INADIMPLENCIA"/>
    <d v="2025-06-19T00:00:00"/>
    <x v="31"/>
    <x v="17"/>
    <x v="31"/>
    <x v="212"/>
    <n v="0"/>
    <n v="0"/>
  </r>
  <r>
    <s v="032.925.977/0001-06"/>
    <x v="236"/>
    <s v="INCLUSAO ANOT.INADIMPLENCIA"/>
    <d v="2025-06-19T00:00:00"/>
    <x v="1"/>
    <x v="17"/>
    <x v="1"/>
    <x v="236"/>
    <n v="0"/>
    <n v="0"/>
  </r>
  <r>
    <s v="033.249.279/0001-09"/>
    <x v="239"/>
    <s v="EXCLUSAO ANOT.INADIMPLENCIA"/>
    <d v="2025-06-19T00:00:00"/>
    <x v="31"/>
    <x v="17"/>
    <x v="31"/>
    <x v="239"/>
    <n v="0"/>
    <n v="0"/>
  </r>
  <r>
    <s v="033.281.410/0001-07"/>
    <x v="243"/>
    <s v="EXCLUSAO ANOT.INADIMPLENCIA"/>
    <d v="2025-06-19T00:00:00"/>
    <x v="33"/>
    <x v="17"/>
    <x v="33"/>
    <x v="243"/>
    <n v="0"/>
    <n v="0"/>
  </r>
  <r>
    <s v="071.350.797/0001-03"/>
    <x v="48"/>
    <s v="EXCLUSAO ANOT.INADIMPLENCIA"/>
    <d v="2025-06-19T00:00:00"/>
    <x v="16"/>
    <x v="17"/>
    <x v="16"/>
    <x v="48"/>
    <n v="0"/>
    <n v="0"/>
  </r>
  <r>
    <s v="008.991.603/0001-04"/>
    <x v="58"/>
    <s v="ALTERACAO RAMO DE ATIVIDADE"/>
    <d v="2025-06-19T00:00:00"/>
    <x v="4"/>
    <x v="17"/>
    <x v="4"/>
    <x v="58"/>
    <n v="0"/>
    <n v="0"/>
  </r>
  <r>
    <s v="008.991.603/0001-04"/>
    <x v="58"/>
    <s v="ALTERACAO ENDERECO"/>
    <d v="2025-06-19T00:00:00"/>
    <x v="4"/>
    <x v="17"/>
    <x v="4"/>
    <x v="58"/>
    <n v="0"/>
    <n v="0"/>
  </r>
  <r>
    <s v="013.918.473/0001-14"/>
    <x v="244"/>
    <s v="ALTERACAO ENDERECO"/>
    <d v="2025-06-19T00:00:00"/>
    <x v="30"/>
    <x v="17"/>
    <x v="30"/>
    <x v="244"/>
    <n v="0"/>
    <n v="0"/>
  </r>
  <r>
    <s v="022.143.692/0001-60"/>
    <x v="181"/>
    <s v="ALTERACAO ENDERECO"/>
    <d v="2025-06-19T00:00:00"/>
    <x v="16"/>
    <x v="17"/>
    <x v="16"/>
    <x v="181"/>
    <n v="0"/>
    <n v="0"/>
  </r>
  <r>
    <s v="026.438.913/0001-88"/>
    <x v="129"/>
    <s v="ALTERACAO ENDERECO"/>
    <d v="2025-06-19T00:00:00"/>
    <x v="8"/>
    <x v="17"/>
    <x v="8"/>
    <x v="129"/>
    <n v="0"/>
    <n v="0"/>
  </r>
  <r>
    <s v="026.628.832/0001-40"/>
    <x v="245"/>
    <s v="ALTERACAO QUADRO SOCIAL"/>
    <d v="2025-06-19T00:00:00"/>
    <x v="31"/>
    <x v="17"/>
    <x v="31"/>
    <x v="245"/>
    <n v="0"/>
    <n v="0"/>
  </r>
  <r>
    <s v="026.628.832/0001-40"/>
    <x v="245"/>
    <s v="ALTERACAO ADMINISTRADORES"/>
    <d v="2025-06-19T00:00:00"/>
    <x v="31"/>
    <x v="17"/>
    <x v="31"/>
    <x v="245"/>
    <n v="0"/>
    <n v="0"/>
  </r>
  <r>
    <s v="029.258.293/0001-93"/>
    <x v="246"/>
    <s v="ALTERACAO RAZAO SOCIAL"/>
    <d v="2025-06-19T00:00:00"/>
    <x v="4"/>
    <x v="17"/>
    <x v="4"/>
    <x v="246"/>
    <n v="0"/>
    <n v="0"/>
  </r>
  <r>
    <s v="033.249.279/0001-09"/>
    <x v="239"/>
    <s v="ALTERACAO ENDERECO"/>
    <d v="2025-06-19T00:00:00"/>
    <x v="31"/>
    <x v="17"/>
    <x v="31"/>
    <x v="239"/>
    <n v="0"/>
    <n v="0"/>
  </r>
  <r>
    <s v="052.432.693/0001-95"/>
    <x v="247"/>
    <s v="ALTERACAO RAZAO SOCIAL"/>
    <d v="2025-06-19T00:00:00"/>
    <x v="28"/>
    <x v="17"/>
    <x v="28"/>
    <x v="247"/>
    <n v="0"/>
    <n v="0"/>
  </r>
  <r>
    <s v="052.432.693/0001-95"/>
    <x v="247"/>
    <s v="ALTERACAO ENDERECO"/>
    <d v="2025-06-19T00:00:00"/>
    <x v="28"/>
    <x v="17"/>
    <x v="28"/>
    <x v="247"/>
    <n v="0"/>
    <n v="0"/>
  </r>
  <r>
    <s v="003.603.516/0001-19"/>
    <x v="237"/>
    <s v="INCLUSAO  ANOT.INADIMPLENCIA"/>
    <d v="2025-06-21T00:00:00"/>
    <x v="4"/>
    <x v="17"/>
    <x v="4"/>
    <x v="237"/>
    <n v="0"/>
    <n v="1"/>
  </r>
  <r>
    <s v="045.123.456/0001-87"/>
    <x v="124"/>
    <s v="INCLUSAO  ANOT.INADIMPLENCIA"/>
    <d v="2025-06-21T00:00:00"/>
    <x v="0"/>
    <x v="17"/>
    <x v="0"/>
    <x v="124"/>
    <n v="0"/>
    <n v="1"/>
  </r>
  <r>
    <s v="042.119.428/0001-06"/>
    <x v="248"/>
    <s v="INCLUSAO  ANOT.INADIMPLENCIA"/>
    <d v="2025-06-21T00:00:00"/>
    <x v="35"/>
    <x v="17"/>
    <x v="35"/>
    <x v="248"/>
    <n v="0"/>
    <n v="1"/>
  </r>
  <r>
    <s v="041.921.772/0001-43"/>
    <x v="219"/>
    <s v="EXCLUSAO  ANOT.INADIMPLENCIA"/>
    <d v="2025-06-21T00:00:00"/>
    <x v="28"/>
    <x v="17"/>
    <x v="28"/>
    <x v="219"/>
    <n v="1"/>
    <n v="0"/>
  </r>
  <r>
    <s v="040.582.798/0001-41"/>
    <x v="145"/>
    <s v="EXCLUSAO  ANOT.INADIMPLENCIA"/>
    <d v="2025-06-21T00:00:00"/>
    <x v="20"/>
    <x v="17"/>
    <x v="20"/>
    <x v="145"/>
    <n v="1"/>
    <n v="0"/>
  </r>
  <r>
    <s v="038.479.255/0001-51"/>
    <x v="241"/>
    <s v="INCLUSAO  ANOT.INADIMPLENCIA"/>
    <d v="2025-06-21T00:00:00"/>
    <x v="4"/>
    <x v="17"/>
    <x v="4"/>
    <x v="241"/>
    <n v="0"/>
    <n v="1"/>
  </r>
  <r>
    <s v="036.726.274/0001-00"/>
    <x v="134"/>
    <s v="INCLUSAO  ANOT.INADIMPLENCIA"/>
    <d v="2025-06-21T00:00:00"/>
    <x v="1"/>
    <x v="17"/>
    <x v="1"/>
    <x v="134"/>
    <n v="0"/>
    <n v="1"/>
  </r>
  <r>
    <s v="032.925.977/0001-06"/>
    <x v="236"/>
    <s v="INCLUSAO  ANOT.INADIMPLENCIA"/>
    <d v="2025-06-21T00:00:00"/>
    <x v="1"/>
    <x v="17"/>
    <x v="1"/>
    <x v="236"/>
    <n v="0"/>
    <n v="1"/>
  </r>
  <r>
    <s v="028.650.970/0001-51"/>
    <x v="167"/>
    <s v="INCLUSAO  ANOT.INADIMPLENCIA"/>
    <d v="2025-06-21T00:00:00"/>
    <x v="16"/>
    <x v="17"/>
    <x v="16"/>
    <x v="167"/>
    <n v="0"/>
    <n v="1"/>
  </r>
  <r>
    <s v="028.511.223/0001-32"/>
    <x v="190"/>
    <s v="INCLUSAO  ANOT.INADIMPLENCIA"/>
    <d v="2025-06-21T00:00:00"/>
    <x v="20"/>
    <x v="17"/>
    <x v="20"/>
    <x v="190"/>
    <n v="0"/>
    <n v="1"/>
  </r>
  <r>
    <s v="027.508.008/0001-10"/>
    <x v="217"/>
    <s v="INCLUSAO  ANOT.INADIMPLENCIA"/>
    <d v="2025-06-21T00:00:00"/>
    <x v="33"/>
    <x v="17"/>
    <x v="33"/>
    <x v="217"/>
    <n v="0"/>
    <n v="1"/>
  </r>
  <r>
    <s v="026.416.177/0001-67"/>
    <x v="131"/>
    <s v="INCLUSAO  ANOT.INADIMPLENCIA"/>
    <d v="2025-06-21T00:00:00"/>
    <x v="4"/>
    <x v="17"/>
    <x v="4"/>
    <x v="131"/>
    <n v="0"/>
    <n v="1"/>
  </r>
  <r>
    <s v="021.420.856/0001-96"/>
    <x v="130"/>
    <s v="EXCLUSAO  ANOT.INADIMPLENCIA"/>
    <d v="2025-06-21T00:00:00"/>
    <x v="24"/>
    <x v="17"/>
    <x v="24"/>
    <x v="130"/>
    <n v="1"/>
    <n v="0"/>
  </r>
  <r>
    <s v="020.066.300/0001-80"/>
    <x v="2"/>
    <s v="INCLUSAO  ANOT.INADIMPLENCIA"/>
    <d v="2025-06-21T00:00:00"/>
    <x v="1"/>
    <x v="17"/>
    <x v="1"/>
    <x v="2"/>
    <n v="0"/>
    <n v="1"/>
  </r>
  <r>
    <s v="020.024.081/0001-77"/>
    <x v="178"/>
    <s v="INCLUSAO  ANOT.INADIMPLENCIA"/>
    <d v="2025-06-21T00:00:00"/>
    <x v="16"/>
    <x v="17"/>
    <x v="16"/>
    <x v="178"/>
    <n v="0"/>
    <n v="1"/>
  </r>
  <r>
    <s v="012.299.369/0001-26"/>
    <x v="13"/>
    <s v="INCLUSAO  ANOT.INADIMPLENCIA"/>
    <d v="2025-06-21T00:00:00"/>
    <x v="7"/>
    <x v="17"/>
    <x v="7"/>
    <x v="13"/>
    <n v="0"/>
    <n v="1"/>
  </r>
  <r>
    <s v="008.250.872/0001-10"/>
    <x v="122"/>
    <s v="INCLUSAO  ANOT.INADIMPLENCIA"/>
    <d v="2025-06-21T00:00:00"/>
    <x v="8"/>
    <x v="17"/>
    <x v="8"/>
    <x v="122"/>
    <n v="0"/>
    <n v="1"/>
  </r>
  <r>
    <s v="007.102.721/0001-51"/>
    <x v="44"/>
    <s v="INCL/EXCL ANOT.INADIMPLENCIA"/>
    <d v="2025-06-21T00:00:00"/>
    <x v="15"/>
    <x v="17"/>
    <x v="15"/>
    <x v="44"/>
    <n v="0"/>
    <n v="0"/>
  </r>
  <r>
    <s v="005.374.432/0001-86"/>
    <x v="224"/>
    <s v="INCLUSAO  ANOT.INADIMPLENCIA"/>
    <d v="2025-06-21T00:00:00"/>
    <x v="33"/>
    <x v="17"/>
    <x v="33"/>
    <x v="224"/>
    <n v="0"/>
    <n v="1"/>
  </r>
  <r>
    <s v="004.323.643/0001-27"/>
    <x v="223"/>
    <s v="EXCLUSAO  ANOT.INADIMPLENCIA"/>
    <d v="2025-06-21T00:00:00"/>
    <x v="0"/>
    <x v="17"/>
    <x v="0"/>
    <x v="223"/>
    <n v="1"/>
    <n v="0"/>
  </r>
  <r>
    <s v="052.755.043/0001-80"/>
    <x v="238"/>
    <s v="INCLUSAO  ANOT.INADIMPLENCIA"/>
    <d v="2025-06-21T00:00:00"/>
    <x v="4"/>
    <x v="17"/>
    <x v="4"/>
    <x v="238"/>
    <n v="0"/>
    <n v="1"/>
  </r>
  <r>
    <s v="086.490.885/0001-70"/>
    <x v="208"/>
    <s v="INCLUSAO  ANOT.INADIMPLENCIA"/>
    <d v="2025-06-21T00:00:00"/>
    <x v="8"/>
    <x v="17"/>
    <x v="8"/>
    <x v="208"/>
    <n v="0"/>
    <n v="1"/>
  </r>
  <r>
    <s v="003.524.760/0001-96"/>
    <x v="231"/>
    <s v="INCLUSAO  ANOT.INADIMPLENCIA"/>
    <d v="2025-06-24T00:00:00"/>
    <x v="34"/>
    <x v="17"/>
    <x v="34"/>
    <x v="231"/>
    <n v="0"/>
    <n v="1"/>
  </r>
  <r>
    <s v="055.466.241/0001-12"/>
    <x v="182"/>
    <s v="INCLUSAO  ANOT.INADIMPLENCIA"/>
    <d v="2025-06-24T00:00:00"/>
    <x v="28"/>
    <x v="17"/>
    <x v="28"/>
    <x v="182"/>
    <n v="0"/>
    <n v="1"/>
  </r>
  <r>
    <s v="044.888.871/0001-69"/>
    <x v="107"/>
    <s v="INCLUSAO  ANOT.INADIMPLENCIA"/>
    <d v="2025-06-24T00:00:00"/>
    <x v="15"/>
    <x v="17"/>
    <x v="15"/>
    <x v="107"/>
    <n v="0"/>
    <n v="1"/>
  </r>
  <r>
    <s v="043.515.558/0001-12"/>
    <x v="177"/>
    <s v="INCLUSAO  ANOT.INADIMPLENCIA"/>
    <d v="2025-06-24T00:00:00"/>
    <x v="12"/>
    <x v="17"/>
    <x v="12"/>
    <x v="177"/>
    <n v="0"/>
    <n v="1"/>
  </r>
  <r>
    <s v="040.938.741/0001-32"/>
    <x v="162"/>
    <s v="INCLUSAO  ANOT.INADIMPLENCIA"/>
    <d v="2025-06-24T00:00:00"/>
    <x v="15"/>
    <x v="17"/>
    <x v="15"/>
    <x v="162"/>
    <n v="0"/>
    <n v="1"/>
  </r>
  <r>
    <s v="035.298.171/0001-23"/>
    <x v="249"/>
    <s v="INCLUSAO  ANOT.INADIMPLENCIA"/>
    <d v="2025-06-24T00:00:00"/>
    <x v="33"/>
    <x v="17"/>
    <x v="33"/>
    <x v="249"/>
    <n v="0"/>
    <n v="1"/>
  </r>
  <r>
    <s v="034.821.586/0001-77"/>
    <x v="38"/>
    <s v="INCLUSAO  ANOT.INADIMPLENCIA"/>
    <d v="2025-06-24T00:00:00"/>
    <x v="4"/>
    <x v="17"/>
    <x v="4"/>
    <x v="38"/>
    <n v="0"/>
    <n v="1"/>
  </r>
  <r>
    <s v="028.650.970/0001-51"/>
    <x v="167"/>
    <s v="INCLUSAO  ANOT.INADIMPLENCIA"/>
    <d v="2025-06-24T00:00:00"/>
    <x v="16"/>
    <x v="17"/>
    <x v="16"/>
    <x v="167"/>
    <n v="0"/>
    <n v="1"/>
  </r>
  <r>
    <s v="028.514.938/0001-49"/>
    <x v="250"/>
    <s v="INCLUSAO  ANOT.INADIMPLENCIA"/>
    <d v="2025-06-24T00:00:00"/>
    <x v="8"/>
    <x v="17"/>
    <x v="8"/>
    <x v="250"/>
    <n v="0"/>
    <n v="1"/>
  </r>
  <r>
    <s v="028.511.223/0001-32"/>
    <x v="190"/>
    <s v="INCLUSAO  ANOT.INADIMPLENCIA"/>
    <d v="2025-06-24T00:00:00"/>
    <x v="20"/>
    <x v="17"/>
    <x v="20"/>
    <x v="190"/>
    <n v="0"/>
    <n v="1"/>
  </r>
  <r>
    <s v="028.393.466/0001-13"/>
    <x v="168"/>
    <s v="INCLUSAO  ANOT.INADIMPLENCIA"/>
    <d v="2025-06-24T00:00:00"/>
    <x v="15"/>
    <x v="17"/>
    <x v="15"/>
    <x v="168"/>
    <n v="0"/>
    <n v="1"/>
  </r>
  <r>
    <s v="026.628.832/0001-40"/>
    <x v="245"/>
    <s v="INCLUSAO  ANOT.INADIMPLENCIA"/>
    <d v="2025-06-24T00:00:00"/>
    <x v="31"/>
    <x v="17"/>
    <x v="31"/>
    <x v="245"/>
    <n v="0"/>
    <n v="1"/>
  </r>
  <r>
    <s v="025.383.640/0001-59"/>
    <x v="159"/>
    <s v="EXCLUSAO  ANOT.INADIMPLENCIA"/>
    <d v="2025-06-24T00:00:00"/>
    <x v="7"/>
    <x v="17"/>
    <x v="7"/>
    <x v="159"/>
    <n v="1"/>
    <n v="0"/>
  </r>
  <r>
    <s v="021.734.108/0001-88"/>
    <x v="41"/>
    <s v="INCLUSAO  ANOT.INADIMPLENCIA"/>
    <d v="2025-06-24T00:00:00"/>
    <x v="13"/>
    <x v="17"/>
    <x v="13"/>
    <x v="41"/>
    <n v="0"/>
    <n v="1"/>
  </r>
  <r>
    <s v="021.420.856/0001-96"/>
    <x v="130"/>
    <s v="INCL/EXCL ANOT.INADIMPLENCIA"/>
    <d v="2025-06-24T00:00:00"/>
    <x v="24"/>
    <x v="17"/>
    <x v="24"/>
    <x v="130"/>
    <n v="0"/>
    <n v="0"/>
  </r>
  <r>
    <s v="021.382.943/0001-04"/>
    <x v="206"/>
    <s v="INCLUSAO  ANOT.INADIMPLENCIA"/>
    <d v="2025-06-24T00:00:00"/>
    <x v="0"/>
    <x v="17"/>
    <x v="0"/>
    <x v="206"/>
    <n v="0"/>
    <n v="1"/>
  </r>
  <r>
    <s v="020.066.300/0001-80"/>
    <x v="2"/>
    <s v="INCLUSAO  ANOT.INADIMPLENCIA"/>
    <d v="2025-06-24T00:00:00"/>
    <x v="1"/>
    <x v="17"/>
    <x v="1"/>
    <x v="2"/>
    <n v="0"/>
    <n v="1"/>
  </r>
  <r>
    <s v="018.868.117/0001-57"/>
    <x v="164"/>
    <s v="INCLUSAO  ANOT.INADIMPLENCIA"/>
    <d v="2025-06-24T00:00:00"/>
    <x v="7"/>
    <x v="17"/>
    <x v="7"/>
    <x v="164"/>
    <n v="0"/>
    <n v="1"/>
  </r>
  <r>
    <s v="016.757.535/0001-41"/>
    <x v="29"/>
    <s v="INCLUSAO  ANOT.INADIMPLENCIA"/>
    <d v="2025-06-24T00:00:00"/>
    <x v="14"/>
    <x v="17"/>
    <x v="14"/>
    <x v="29"/>
    <n v="0"/>
    <n v="1"/>
  </r>
  <r>
    <s v="014.829.598/0001-30"/>
    <x v="31"/>
    <s v="INCLUSAO  ANOT.INADIMPLENCIA"/>
    <d v="2025-06-24T00:00:00"/>
    <x v="11"/>
    <x v="17"/>
    <x v="11"/>
    <x v="31"/>
    <n v="0"/>
    <n v="1"/>
  </r>
  <r>
    <s v="011.122.552/0001-99"/>
    <x v="60"/>
    <s v="INCLUSAO  ANOT.INADIMPLENCIA"/>
    <d v="2025-06-24T00:00:00"/>
    <x v="8"/>
    <x v="17"/>
    <x v="8"/>
    <x v="60"/>
    <n v="0"/>
    <n v="1"/>
  </r>
  <r>
    <s v="011.091.574/0001-39"/>
    <x v="26"/>
    <s v="EXCLUSAO  ANOT.INADIMPLENCIA"/>
    <d v="2025-06-24T00:00:00"/>
    <x v="7"/>
    <x v="17"/>
    <x v="7"/>
    <x v="26"/>
    <n v="1"/>
    <n v="0"/>
  </r>
  <r>
    <s v="009.674.456/0001-01"/>
    <x v="234"/>
    <s v="INCLUSAO  ANOT.INADIMPLENCIA"/>
    <d v="2025-06-24T00:00:00"/>
    <x v="8"/>
    <x v="17"/>
    <x v="8"/>
    <x v="234"/>
    <n v="0"/>
    <n v="1"/>
  </r>
  <r>
    <s v="008.250.872/0001-10"/>
    <x v="122"/>
    <s v="INCLUSAO  ANOT.INADIMPLENCIA"/>
    <d v="2025-06-24T00:00:00"/>
    <x v="8"/>
    <x v="17"/>
    <x v="8"/>
    <x v="122"/>
    <n v="0"/>
    <n v="1"/>
  </r>
  <r>
    <s v="007.561.436/0001-07"/>
    <x v="34"/>
    <s v="INCLUSAO  ANOT.INADIMPLENCIA"/>
    <d v="2025-06-24T00:00:00"/>
    <x v="15"/>
    <x v="17"/>
    <x v="15"/>
    <x v="34"/>
    <n v="0"/>
    <n v="1"/>
  </r>
  <r>
    <s v="007.102.721/0001-51"/>
    <x v="44"/>
    <s v="INCL/EXCL ANOT.INADIMPLENCIA"/>
    <d v="2025-06-24T00:00:00"/>
    <x v="15"/>
    <x v="17"/>
    <x v="15"/>
    <x v="44"/>
    <n v="0"/>
    <n v="0"/>
  </r>
  <r>
    <s v="005.374.432/0001-86"/>
    <x v="224"/>
    <s v="INCLUSAO  ANOT.INADIMPLENCIA"/>
    <d v="2025-06-24T00:00:00"/>
    <x v="33"/>
    <x v="17"/>
    <x v="33"/>
    <x v="224"/>
    <n v="0"/>
    <n v="1"/>
  </r>
  <r>
    <s v="004.323.643/0001-27"/>
    <x v="223"/>
    <s v="INCLUSAO  ANOT.INADIMPLENCIA"/>
    <d v="2025-06-24T00:00:00"/>
    <x v="0"/>
    <x v="17"/>
    <x v="0"/>
    <x v="223"/>
    <n v="0"/>
    <n v="1"/>
  </r>
  <r>
    <s v="003.603.516/0001-19"/>
    <x v="237"/>
    <s v="INCLUSAO  ANOT.INADIMPLENCIA"/>
    <d v="2025-06-24T00:00:00"/>
    <x v="4"/>
    <x v="17"/>
    <x v="4"/>
    <x v="237"/>
    <n v="0"/>
    <n v="1"/>
  </r>
  <r>
    <s v="003.590.360/0001-89"/>
    <x v="3"/>
    <s v="INCLUSAO  ANOT.INADIMPLENCIA"/>
    <d v="2025-06-24T00:00:00"/>
    <x v="1"/>
    <x v="17"/>
    <x v="1"/>
    <x v="3"/>
    <n v="0"/>
    <n v="1"/>
  </r>
  <r>
    <s v="057.696.093/0001-58"/>
    <x v="220"/>
    <s v="INCLUSAO  ANOT.INADIMPLENCIA"/>
    <d v="2025-06-24T00:00:00"/>
    <x v="1"/>
    <x v="17"/>
    <x v="1"/>
    <x v="220"/>
    <n v="0"/>
    <n v="1"/>
  </r>
  <r>
    <s v="057.698.087/0001-30"/>
    <x v="207"/>
    <s v="INCLUSAO  ANOT.INADIMPLENCIA"/>
    <d v="2025-06-24T00:00:00"/>
    <x v="1"/>
    <x v="17"/>
    <x v="1"/>
    <x v="207"/>
    <n v="0"/>
    <n v="1"/>
  </r>
  <r>
    <s v="003.524.760/0001-96"/>
    <x v="231"/>
    <s v="INCLUSAO  ANOT.INADIMPLENCIA"/>
    <d v="2025-06-25T00:00:00"/>
    <x v="34"/>
    <x v="17"/>
    <x v="34"/>
    <x v="231"/>
    <n v="0"/>
    <n v="1"/>
  </r>
  <r>
    <s v="042.119.428/0001-06"/>
    <x v="248"/>
    <s v="INCLUSAO  ANOT.INADIMPLENCIA"/>
    <d v="2025-06-25T00:00:00"/>
    <x v="35"/>
    <x v="17"/>
    <x v="35"/>
    <x v="248"/>
    <n v="0"/>
    <n v="1"/>
  </r>
  <r>
    <s v="040.582.798/0001-41"/>
    <x v="145"/>
    <s v="INCLUSAO  ANOT.INADIMPLENCIA"/>
    <d v="2025-06-25T00:00:00"/>
    <x v="20"/>
    <x v="17"/>
    <x v="20"/>
    <x v="145"/>
    <n v="0"/>
    <n v="1"/>
  </r>
  <r>
    <s v="038.479.255/0001-51"/>
    <x v="241"/>
    <s v="INCLUSAO  ANOT.INADIMPLENCIA"/>
    <d v="2025-06-25T00:00:00"/>
    <x v="4"/>
    <x v="17"/>
    <x v="4"/>
    <x v="241"/>
    <n v="0"/>
    <n v="1"/>
  </r>
  <r>
    <s v="037.599.774/0001-90"/>
    <x v="202"/>
    <s v="INCLUSAO  ANOT.INADIMPLENCIA"/>
    <d v="2025-06-25T00:00:00"/>
    <x v="30"/>
    <x v="17"/>
    <x v="30"/>
    <x v="202"/>
    <n v="0"/>
    <n v="1"/>
  </r>
  <r>
    <s v="035.797.639/0001-24"/>
    <x v="251"/>
    <s v="INCLUSAO  ANOT.INADIMPLENCIA"/>
    <d v="2025-06-25T00:00:00"/>
    <x v="11"/>
    <x v="17"/>
    <x v="11"/>
    <x v="251"/>
    <n v="0"/>
    <n v="1"/>
  </r>
  <r>
    <s v="034.821.586/0001-77"/>
    <x v="38"/>
    <s v="INCLUSAO  ANOT.INADIMPLENCIA"/>
    <d v="2025-06-25T00:00:00"/>
    <x v="4"/>
    <x v="17"/>
    <x v="4"/>
    <x v="38"/>
    <n v="0"/>
    <n v="1"/>
  </r>
  <r>
    <s v="028.511.223/0001-32"/>
    <x v="190"/>
    <s v="INCLUSAO  ANOT.INADIMPLENCIA"/>
    <d v="2025-06-25T00:00:00"/>
    <x v="20"/>
    <x v="17"/>
    <x v="20"/>
    <x v="190"/>
    <n v="0"/>
    <n v="1"/>
  </r>
  <r>
    <s v="028.393.466/0001-13"/>
    <x v="168"/>
    <s v="INCLUSAO  ANOT.INADIMPLENCIA"/>
    <d v="2025-06-25T00:00:00"/>
    <x v="15"/>
    <x v="17"/>
    <x v="15"/>
    <x v="168"/>
    <n v="0"/>
    <n v="1"/>
  </r>
  <r>
    <s v="021.734.108/0001-88"/>
    <x v="41"/>
    <s v="INCLUSAO  ANOT.INADIMPLENCIA"/>
    <d v="2025-06-25T00:00:00"/>
    <x v="13"/>
    <x v="17"/>
    <x v="13"/>
    <x v="41"/>
    <n v="0"/>
    <n v="1"/>
  </r>
  <r>
    <s v="047.635.671/0001-92"/>
    <x v="144"/>
    <s v="INCLUSAO  ANOT.INADIMPLENCIA"/>
    <d v="2025-06-25T00:00:00"/>
    <x v="1"/>
    <x v="17"/>
    <x v="1"/>
    <x v="144"/>
    <n v="0"/>
    <n v="1"/>
  </r>
  <r>
    <s v="021.420.856/0001-96"/>
    <x v="130"/>
    <s v="INCLUSAO  ANOT.INADIMPLENCIA"/>
    <d v="2025-06-25T00:00:00"/>
    <x v="24"/>
    <x v="17"/>
    <x v="24"/>
    <x v="130"/>
    <n v="0"/>
    <n v="1"/>
  </r>
  <r>
    <s v="020.066.300/0001-80"/>
    <x v="2"/>
    <s v="EXCLUSAO  ANOT.INADIMPLENCIA"/>
    <d v="2025-06-25T00:00:00"/>
    <x v="1"/>
    <x v="17"/>
    <x v="1"/>
    <x v="2"/>
    <n v="1"/>
    <n v="0"/>
  </r>
  <r>
    <s v="013.749.701/0001-70"/>
    <x v="196"/>
    <s v="INCLUSAO  ANOT.INADIMPLENCIA"/>
    <d v="2025-06-25T00:00:00"/>
    <x v="8"/>
    <x v="17"/>
    <x v="8"/>
    <x v="196"/>
    <n v="0"/>
    <n v="1"/>
  </r>
  <r>
    <s v="009.674.456/0001-01"/>
    <x v="234"/>
    <s v="INCL/EXCL ANOT.INADIMPLENCIA"/>
    <d v="2025-06-25T00:00:00"/>
    <x v="8"/>
    <x v="17"/>
    <x v="8"/>
    <x v="234"/>
    <n v="0"/>
    <n v="0"/>
  </r>
  <r>
    <s v="008.250.872/0001-10"/>
    <x v="122"/>
    <s v="INCLUSAO  ANOT.INADIMPLENCIA"/>
    <d v="2025-06-25T00:00:00"/>
    <x v="8"/>
    <x v="17"/>
    <x v="8"/>
    <x v="122"/>
    <n v="0"/>
    <n v="1"/>
  </r>
  <r>
    <s v="007.561.436/0001-07"/>
    <x v="34"/>
    <s v="EXCLUSAO  ANOT.INADIMPLENCIA"/>
    <d v="2025-06-25T00:00:00"/>
    <x v="15"/>
    <x v="17"/>
    <x v="15"/>
    <x v="34"/>
    <n v="1"/>
    <n v="0"/>
  </r>
  <r>
    <s v="007.102.721/0001-51"/>
    <x v="44"/>
    <s v="EXCLUSAO  ANOT.INADIMPLENCIA"/>
    <d v="2025-06-25T00:00:00"/>
    <x v="15"/>
    <x v="17"/>
    <x v="15"/>
    <x v="44"/>
    <n v="1"/>
    <n v="0"/>
  </r>
  <r>
    <s v="004.323.643/0001-27"/>
    <x v="223"/>
    <s v="EXCLUSAO  ANOT.INADIMPLENCIA"/>
    <d v="2025-06-25T00:00:00"/>
    <x v="0"/>
    <x v="17"/>
    <x v="0"/>
    <x v="223"/>
    <n v="1"/>
    <n v="0"/>
  </r>
  <r>
    <s v="004.041.192/0001-35"/>
    <x v="37"/>
    <s v="INCLUSAO  ANOT.INADIMPLENCIA"/>
    <d v="2025-06-25T00:00:00"/>
    <x v="0"/>
    <x v="17"/>
    <x v="0"/>
    <x v="37"/>
    <n v="0"/>
    <n v="1"/>
  </r>
  <r>
    <s v="003.603.516/0001-19"/>
    <x v="237"/>
    <s v="INCLUSAO  ANOT.INADIMPLENCIA"/>
    <d v="2025-06-25T00:00:00"/>
    <x v="4"/>
    <x v="17"/>
    <x v="4"/>
    <x v="237"/>
    <n v="0"/>
    <n v="1"/>
  </r>
  <r>
    <s v="021.382.943/0001-04"/>
    <x v="206"/>
    <s v="EXCLUSAO  ANOT.INADIMPLENCIA"/>
    <d v="2025-06-25T00:00:00"/>
    <x v="0"/>
    <x v="17"/>
    <x v="0"/>
    <x v="206"/>
    <n v="1"/>
    <n v="0"/>
  </r>
  <r>
    <s v="049.344.344/0001-07"/>
    <x v="194"/>
    <s v="INCLUSAO  ANOT.INADIMPLENCIA"/>
    <d v="2025-06-25T00:00:00"/>
    <x v="11"/>
    <x v="17"/>
    <x v="11"/>
    <x v="194"/>
    <n v="0"/>
    <n v="1"/>
  </r>
  <r>
    <s v="004.323.643/0001-27"/>
    <x v="223"/>
    <s v="EXCLUSAO  ANOT.INADIMPLENCIA"/>
    <d v="2025-06-26T00:00:00"/>
    <x v="0"/>
    <x v="17"/>
    <x v="0"/>
    <x v="223"/>
    <n v="1"/>
    <n v="0"/>
  </r>
  <r>
    <s v="049.344.344/0001-07"/>
    <x v="194"/>
    <s v="EXCLUSAO  ANOT.INADIMPLENCIA"/>
    <d v="2025-06-26T00:00:00"/>
    <x v="11"/>
    <x v="17"/>
    <x v="11"/>
    <x v="194"/>
    <n v="1"/>
    <n v="0"/>
  </r>
  <r>
    <s v="044.921.612/0001-92"/>
    <x v="252"/>
    <s v="INCLUSAO  ANOT.INADIMPLENCIA"/>
    <d v="2025-06-26T00:00:00"/>
    <x v="0"/>
    <x v="17"/>
    <x v="0"/>
    <x v="252"/>
    <n v="0"/>
    <n v="1"/>
  </r>
  <r>
    <s v="041.397.377/0001-03"/>
    <x v="242"/>
    <s v="EXCLUSAO  ANOT.INADIMPLENCIA"/>
    <d v="2025-06-26T00:00:00"/>
    <x v="16"/>
    <x v="17"/>
    <x v="16"/>
    <x v="242"/>
    <n v="1"/>
    <n v="0"/>
  </r>
  <r>
    <s v="035.298.171/0001-23"/>
    <x v="249"/>
    <s v="INCLUSAO  ANOT.INADIMPLENCIA"/>
    <d v="2025-06-26T00:00:00"/>
    <x v="33"/>
    <x v="17"/>
    <x v="33"/>
    <x v="249"/>
    <n v="0"/>
    <n v="1"/>
  </r>
  <r>
    <s v="033.803.691/0001-10"/>
    <x v="104"/>
    <s v="INCLUSAO  ANOT.INADIMPLENCIA"/>
    <d v="2025-06-26T00:00:00"/>
    <x v="0"/>
    <x v="17"/>
    <x v="0"/>
    <x v="104"/>
    <n v="0"/>
    <n v="1"/>
  </r>
  <r>
    <s v="026.628.832/0001-40"/>
    <x v="245"/>
    <s v="INCL/EXCL ANOT.INADIMPLENCIA"/>
    <d v="2025-06-26T00:00:00"/>
    <x v="31"/>
    <x v="17"/>
    <x v="31"/>
    <x v="245"/>
    <n v="0"/>
    <n v="0"/>
  </r>
  <r>
    <s v="051.323.061/0001-20"/>
    <x v="253"/>
    <s v="EXCLUSAO  ANOT.INADIMPLENCIA"/>
    <d v="2025-06-26T00:00:00"/>
    <x v="31"/>
    <x v="17"/>
    <x v="31"/>
    <x v="253"/>
    <n v="1"/>
    <n v="0"/>
  </r>
  <r>
    <s v="024.271.279/0001-06"/>
    <x v="143"/>
    <s v="INCLUSAO  ANOT.INADIMPLENCIA"/>
    <d v="2025-06-26T00:00:00"/>
    <x v="0"/>
    <x v="17"/>
    <x v="0"/>
    <x v="143"/>
    <n v="0"/>
    <n v="1"/>
  </r>
  <r>
    <s v="020.066.300/0001-80"/>
    <x v="2"/>
    <s v="INCLUSAO  ANOT.INADIMPLENCIA"/>
    <d v="2025-06-26T00:00:00"/>
    <x v="1"/>
    <x v="17"/>
    <x v="1"/>
    <x v="2"/>
    <n v="0"/>
    <n v="1"/>
  </r>
  <r>
    <s v="016.772.642/0001-49"/>
    <x v="70"/>
    <s v="INCLUSAO  ANOT.INADIMPLENCIA"/>
    <d v="2025-06-26T00:00:00"/>
    <x v="0"/>
    <x v="17"/>
    <x v="0"/>
    <x v="70"/>
    <n v="0"/>
    <n v="1"/>
  </r>
  <r>
    <s v="012.299.369/0001-26"/>
    <x v="13"/>
    <s v="EXCLUSAO  ANOT.INADIMPLENCIA"/>
    <d v="2025-06-26T00:00:00"/>
    <x v="7"/>
    <x v="17"/>
    <x v="7"/>
    <x v="13"/>
    <n v="1"/>
    <n v="0"/>
  </r>
  <r>
    <s v="008.250.872/0001-10"/>
    <x v="122"/>
    <s v="EXCLUSAO  ANOT.INADIMPLENCIA"/>
    <d v="2025-06-26T00:00:00"/>
    <x v="8"/>
    <x v="17"/>
    <x v="8"/>
    <x v="122"/>
    <n v="1"/>
    <n v="0"/>
  </r>
  <r>
    <s v="007.102.721/0001-51"/>
    <x v="44"/>
    <s v="EXCLUSAO  ANOT.INADIMPLENCIA"/>
    <d v="2025-06-26T00:00:00"/>
    <x v="15"/>
    <x v="17"/>
    <x v="15"/>
    <x v="44"/>
    <n v="1"/>
    <n v="0"/>
  </r>
  <r>
    <s v="005.374.432/0001-86"/>
    <x v="224"/>
    <s v="INCLUSAO  ANOT.INADIMPLENCIA"/>
    <d v="2025-06-26T00:00:00"/>
    <x v="33"/>
    <x v="17"/>
    <x v="33"/>
    <x v="224"/>
    <n v="0"/>
    <n v="1"/>
  </r>
  <r>
    <s v="021.382.943/0001-04"/>
    <x v="206"/>
    <s v="INCLUSAO  ANOT.INADIMPLENCIA"/>
    <d v="2025-06-26T00:00:00"/>
    <x v="0"/>
    <x v="17"/>
    <x v="0"/>
    <x v="206"/>
    <n v="0"/>
    <n v="1"/>
  </r>
  <r>
    <s v="071.350.797/0001-03"/>
    <x v="48"/>
    <s v="EXCLUSAO  ANOT.INADIMPLENCIA"/>
    <d v="2025-06-26T00:00:00"/>
    <x v="16"/>
    <x v="17"/>
    <x v="16"/>
    <x v="48"/>
    <n v="1"/>
    <n v="0"/>
  </r>
  <r>
    <s v="003.524.760/0001-96"/>
    <x v="231"/>
    <s v="INCLUSAO  ANOT.INADIMPLENCIA"/>
    <d v="2025-06-27T00:00:00"/>
    <x v="34"/>
    <x v="17"/>
    <x v="34"/>
    <x v="231"/>
    <n v="0"/>
    <n v="1"/>
  </r>
  <r>
    <s v="045.123.456/0001-87"/>
    <x v="124"/>
    <s v="EXCLUSAO  ANOT.INADIMPLENCIA"/>
    <d v="2025-06-27T00:00:00"/>
    <x v="0"/>
    <x v="17"/>
    <x v="0"/>
    <x v="124"/>
    <n v="1"/>
    <n v="0"/>
  </r>
  <r>
    <s v="043.515.558/0001-12"/>
    <x v="177"/>
    <s v="EXCLUSAO  ANOT.INADIMPLENCIA"/>
    <d v="2025-06-27T00:00:00"/>
    <x v="12"/>
    <x v="17"/>
    <x v="12"/>
    <x v="177"/>
    <n v="1"/>
    <n v="0"/>
  </r>
  <r>
    <s v="040.582.798/0001-41"/>
    <x v="145"/>
    <s v="EXCLUSAO  ANOT.INADIMPLENCIA"/>
    <d v="2025-06-27T00:00:00"/>
    <x v="20"/>
    <x v="17"/>
    <x v="20"/>
    <x v="145"/>
    <n v="1"/>
    <n v="0"/>
  </r>
  <r>
    <s v="038.479.255/0001-51"/>
    <x v="241"/>
    <s v="EXCLUSAO  ANOT.INADIMPLENCIA"/>
    <d v="2025-06-27T00:00:00"/>
    <x v="4"/>
    <x v="17"/>
    <x v="4"/>
    <x v="241"/>
    <n v="1"/>
    <n v="0"/>
  </r>
  <r>
    <s v="032.925.977/0001-06"/>
    <x v="236"/>
    <s v="INCLUSAO  ANOT.INADIMPLENCIA"/>
    <d v="2025-06-27T00:00:00"/>
    <x v="1"/>
    <x v="17"/>
    <x v="1"/>
    <x v="236"/>
    <n v="0"/>
    <n v="1"/>
  </r>
  <r>
    <s v="028.650.970/0001-51"/>
    <x v="167"/>
    <s v="INCLUSAO  ANOT.INADIMPLENCIA"/>
    <d v="2025-06-27T00:00:00"/>
    <x v="16"/>
    <x v="17"/>
    <x v="16"/>
    <x v="167"/>
    <n v="0"/>
    <n v="1"/>
  </r>
  <r>
    <s v="028.511.223/0001-32"/>
    <x v="190"/>
    <s v="INCLUSAO  ANOT.INADIMPLENCIA"/>
    <d v="2025-06-27T00:00:00"/>
    <x v="20"/>
    <x v="17"/>
    <x v="20"/>
    <x v="190"/>
    <n v="0"/>
    <n v="1"/>
  </r>
  <r>
    <s v="028.393.466/0001-13"/>
    <x v="168"/>
    <s v="INCLUSAO  ANOT.INADIMPLENCIA"/>
    <d v="2025-06-27T00:00:00"/>
    <x v="15"/>
    <x v="17"/>
    <x v="15"/>
    <x v="168"/>
    <n v="0"/>
    <n v="1"/>
  </r>
  <r>
    <s v="021.420.856/0001-96"/>
    <x v="130"/>
    <s v="EXCLUSAO  ANOT.INADIMPLENCIA"/>
    <d v="2025-06-27T00:00:00"/>
    <x v="24"/>
    <x v="17"/>
    <x v="24"/>
    <x v="130"/>
    <n v="1"/>
    <n v="0"/>
  </r>
  <r>
    <s v="020.024.081/0001-77"/>
    <x v="178"/>
    <s v="EXCLUSAO  ANOT.INADIMPLENCIA"/>
    <d v="2025-06-27T00:00:00"/>
    <x v="16"/>
    <x v="17"/>
    <x v="16"/>
    <x v="178"/>
    <n v="1"/>
    <n v="0"/>
  </r>
  <r>
    <s v="019.450.138/0001-10"/>
    <x v="71"/>
    <s v="EXCLUSAO  ANOT.INADIMPLENCIA"/>
    <d v="2025-06-27T00:00:00"/>
    <x v="22"/>
    <x v="17"/>
    <x v="22"/>
    <x v="71"/>
    <n v="1"/>
    <n v="0"/>
  </r>
  <r>
    <s v="016.757.535/0001-41"/>
    <x v="29"/>
    <s v="INCLUSAO  ANOT.INADIMPLENCIA"/>
    <d v="2025-06-27T00:00:00"/>
    <x v="14"/>
    <x v="17"/>
    <x v="14"/>
    <x v="29"/>
    <n v="0"/>
    <n v="1"/>
  </r>
  <r>
    <s v="012.645.814/0001-62"/>
    <x v="218"/>
    <s v="INCLUSAO  ANOT.INADIMPLENCIA"/>
    <d v="2025-06-27T00:00:00"/>
    <x v="30"/>
    <x v="17"/>
    <x v="30"/>
    <x v="218"/>
    <n v="0"/>
    <n v="1"/>
  </r>
  <r>
    <s v="010.497.973/0001-31"/>
    <x v="54"/>
    <s v="INCLUSAO  ANOT.INADIMPLENCIA"/>
    <d v="2025-06-27T00:00:00"/>
    <x v="0"/>
    <x v="17"/>
    <x v="0"/>
    <x v="54"/>
    <n v="0"/>
    <n v="1"/>
  </r>
  <r>
    <s v="009.674.456/0001-01"/>
    <x v="234"/>
    <s v="INCL/EXCL ANOT.INADIMPLENCIA"/>
    <d v="2025-06-27T00:00:00"/>
    <x v="8"/>
    <x v="17"/>
    <x v="8"/>
    <x v="234"/>
    <n v="0"/>
    <n v="0"/>
  </r>
  <r>
    <s v="008.250.872/0001-10"/>
    <x v="122"/>
    <s v="INCLUSAO  ANOT.INADIMPLENCIA"/>
    <d v="2025-06-27T00:00:00"/>
    <x v="8"/>
    <x v="17"/>
    <x v="8"/>
    <x v="122"/>
    <n v="0"/>
    <n v="1"/>
  </r>
  <r>
    <s v="007.102.721/0001-51"/>
    <x v="44"/>
    <s v="INCL/EXCL ANOT.INADIMPLENCIA"/>
    <d v="2025-06-27T00:00:00"/>
    <x v="15"/>
    <x v="17"/>
    <x v="15"/>
    <x v="44"/>
    <n v="0"/>
    <n v="0"/>
  </r>
  <r>
    <s v="005.774.638/0001-01"/>
    <x v="198"/>
    <s v="INCLUSAO  ANOT.INADIMPLENCIA"/>
    <d v="2025-06-27T00:00:00"/>
    <x v="30"/>
    <x v="17"/>
    <x v="30"/>
    <x v="198"/>
    <n v="0"/>
    <n v="1"/>
  </r>
  <r>
    <s v="004.323.643/0001-27"/>
    <x v="223"/>
    <s v="INCLUSAO  ANOT.INADIMPLENCIA"/>
    <d v="2025-06-27T00:00:00"/>
    <x v="0"/>
    <x v="17"/>
    <x v="0"/>
    <x v="223"/>
    <n v="0"/>
    <n v="1"/>
  </r>
  <r>
    <s v="004.126.524/0001-84"/>
    <x v="49"/>
    <s v="EXCLUSAO  ANOT.INADIMPLENCIA"/>
    <d v="2025-06-27T00:00:00"/>
    <x v="13"/>
    <x v="17"/>
    <x v="13"/>
    <x v="49"/>
    <n v="1"/>
    <n v="0"/>
  </r>
  <r>
    <s v="003.603.516/0001-19"/>
    <x v="237"/>
    <s v="EXCLUSAO  ANOT.INADIMPLENCIA"/>
    <d v="2025-06-27T00:00:00"/>
    <x v="4"/>
    <x v="17"/>
    <x v="4"/>
    <x v="237"/>
    <n v="1"/>
    <n v="0"/>
  </r>
  <r>
    <s v="051.980.425/0001-45"/>
    <x v="174"/>
    <s v="EXCLUSAO  ANOT.INADIMPLENCIA"/>
    <d v="2025-06-27T00:00:00"/>
    <x v="16"/>
    <x v="17"/>
    <x v="16"/>
    <x v="174"/>
    <n v="1"/>
    <n v="0"/>
  </r>
  <r>
    <s v="086.490.885/0001-70"/>
    <x v="208"/>
    <s v="EXCLUSAO  ANOT.INADIMPLENCIA"/>
    <d v="2025-06-27T00:00:00"/>
    <x v="8"/>
    <x v="17"/>
    <x v="8"/>
    <x v="208"/>
    <n v="1"/>
    <n v="0"/>
  </r>
  <r>
    <s v="003.524.760/0001-96"/>
    <x v="231"/>
    <s v="EXCLUSAO  ANOT.INADIMPLENCIA"/>
    <d v="2025-06-28T00:00:00"/>
    <x v="34"/>
    <x v="17"/>
    <x v="34"/>
    <x v="231"/>
    <n v="1"/>
    <n v="0"/>
  </r>
  <r>
    <s v="050.893.355/0001-25"/>
    <x v="157"/>
    <s v="INCLUSAO  ANOT.INADIMPLENCIA"/>
    <d v="2025-06-28T00:00:00"/>
    <x v="26"/>
    <x v="17"/>
    <x v="26"/>
    <x v="157"/>
    <n v="0"/>
    <n v="1"/>
  </r>
  <r>
    <s v="044.888.871/0001-69"/>
    <x v="107"/>
    <s v="INCLUSAO  ANOT.INADIMPLENCIA"/>
    <d v="2025-06-28T00:00:00"/>
    <x v="15"/>
    <x v="17"/>
    <x v="15"/>
    <x v="107"/>
    <n v="0"/>
    <n v="1"/>
  </r>
  <r>
    <s v="037.828.375/0001-54"/>
    <x v="39"/>
    <s v="INCLUSAO  ANOT.INADIMPLENCIA"/>
    <d v="2025-06-28T00:00:00"/>
    <x v="7"/>
    <x v="17"/>
    <x v="7"/>
    <x v="39"/>
    <n v="0"/>
    <n v="1"/>
  </r>
  <r>
    <s v="032.552.159/0001-05"/>
    <x v="212"/>
    <s v="INCLUSAO  ANOT.INADIMPLENCIA"/>
    <d v="2025-06-28T00:00:00"/>
    <x v="31"/>
    <x v="17"/>
    <x v="31"/>
    <x v="212"/>
    <n v="0"/>
    <n v="1"/>
  </r>
  <r>
    <s v="031.743.464/0001-11"/>
    <x v="254"/>
    <s v="EXCLUSAO  ANOT.INADIMPLENCIA"/>
    <d v="2025-06-28T00:00:00"/>
    <x v="36"/>
    <x v="17"/>
    <x v="36"/>
    <x v="254"/>
    <n v="1"/>
    <n v="0"/>
  </r>
  <r>
    <s v="028.511.223/0001-32"/>
    <x v="190"/>
    <s v="INCL/EXCL ANOT.INADIMPLENCIA"/>
    <d v="2025-06-28T00:00:00"/>
    <x v="20"/>
    <x v="17"/>
    <x v="20"/>
    <x v="190"/>
    <n v="0"/>
    <n v="0"/>
  </r>
  <r>
    <s v="024.271.279/0001-06"/>
    <x v="143"/>
    <s v="INCLUSAO  ANOT.INADIMPLENCIA"/>
    <d v="2025-06-28T00:00:00"/>
    <x v="0"/>
    <x v="17"/>
    <x v="0"/>
    <x v="143"/>
    <n v="0"/>
    <n v="1"/>
  </r>
  <r>
    <s v="024.255.748/0001-01"/>
    <x v="30"/>
    <s v="EXCLUSAO  ANOT.INADIMPLENCIA"/>
    <d v="2025-06-28T00:00:00"/>
    <x v="15"/>
    <x v="17"/>
    <x v="15"/>
    <x v="30"/>
    <n v="1"/>
    <n v="0"/>
  </r>
  <r>
    <s v="023.637.987/0001-55"/>
    <x v="20"/>
    <s v="INCLUSAO  ANOT.INADIMPLENCIA"/>
    <d v="2025-06-28T00:00:00"/>
    <x v="7"/>
    <x v="17"/>
    <x v="7"/>
    <x v="20"/>
    <n v="0"/>
    <n v="1"/>
  </r>
  <r>
    <s v="021.734.108/0001-88"/>
    <x v="41"/>
    <s v="EXCLUSAO  ANOT.INADIMPLENCIA"/>
    <d v="2025-06-28T00:00:00"/>
    <x v="13"/>
    <x v="17"/>
    <x v="13"/>
    <x v="41"/>
    <n v="1"/>
    <n v="0"/>
  </r>
  <r>
    <s v="021.420.856/0001-96"/>
    <x v="130"/>
    <s v="EXCLUSAO  ANOT.INADIMPLENCIA"/>
    <d v="2025-06-28T00:00:00"/>
    <x v="24"/>
    <x v="17"/>
    <x v="24"/>
    <x v="130"/>
    <n v="1"/>
    <n v="0"/>
  </r>
  <r>
    <s v="020.066.300/0001-80"/>
    <x v="2"/>
    <s v="EXCLUSAO  ANOT.INADIMPLENCIA"/>
    <d v="2025-06-28T00:00:00"/>
    <x v="1"/>
    <x v="17"/>
    <x v="1"/>
    <x v="2"/>
    <n v="1"/>
    <n v="0"/>
  </r>
  <r>
    <s v="019.450.138/0001-10"/>
    <x v="71"/>
    <s v="INCLUSAO  ANOT.INADIMPLENCIA"/>
    <d v="2025-06-28T00:00:00"/>
    <x v="22"/>
    <x v="17"/>
    <x v="22"/>
    <x v="71"/>
    <n v="0"/>
    <n v="1"/>
  </r>
  <r>
    <s v="014.829.598/0001-30"/>
    <x v="31"/>
    <s v="EXCLUSAO  ANOT.INADIMPLENCIA"/>
    <d v="2025-06-28T00:00:00"/>
    <x v="11"/>
    <x v="17"/>
    <x v="11"/>
    <x v="31"/>
    <n v="1"/>
    <n v="0"/>
  </r>
  <r>
    <s v="012.520.791/0001-60"/>
    <x v="4"/>
    <s v="INCLUSAO  ANOT.INADIMPLENCIA"/>
    <d v="2025-06-28T00:00:00"/>
    <x v="1"/>
    <x v="17"/>
    <x v="1"/>
    <x v="4"/>
    <n v="0"/>
    <n v="1"/>
  </r>
  <r>
    <s v="008.250.872/0001-10"/>
    <x v="122"/>
    <s v="INCL/EXCL ANOT.INADIMPLENCIA"/>
    <d v="2025-06-28T00:00:00"/>
    <x v="8"/>
    <x v="17"/>
    <x v="8"/>
    <x v="122"/>
    <n v="0"/>
    <n v="0"/>
  </r>
  <r>
    <s v="007.102.721/0001-51"/>
    <x v="44"/>
    <s v="INCLUSAO  ANOT.INADIMPLENCIA"/>
    <d v="2025-06-28T00:00:00"/>
    <x v="15"/>
    <x v="17"/>
    <x v="15"/>
    <x v="44"/>
    <n v="0"/>
    <n v="1"/>
  </r>
  <r>
    <s v="005.374.432/0001-86"/>
    <x v="224"/>
    <s v="INCLUSAO  ANOT.INADIMPLENCIA"/>
    <d v="2025-06-28T00:00:00"/>
    <x v="33"/>
    <x v="17"/>
    <x v="33"/>
    <x v="224"/>
    <n v="0"/>
    <n v="1"/>
  </r>
  <r>
    <s v="003.603.516/0001-19"/>
    <x v="237"/>
    <s v="INCL/EXCL ANOT.INADIMPLENCIA"/>
    <d v="2025-06-28T00:00:00"/>
    <x v="4"/>
    <x v="17"/>
    <x v="4"/>
    <x v="237"/>
    <n v="0"/>
    <n v="0"/>
  </r>
  <r>
    <s v="052.755.043/0001-80"/>
    <x v="238"/>
    <s v="EXCLUSAO  ANOT.INADIMPLENCIA"/>
    <d v="2025-06-28T00:00:00"/>
    <x v="4"/>
    <x v="17"/>
    <x v="4"/>
    <x v="238"/>
    <n v="1"/>
    <n v="0"/>
  </r>
  <r>
    <s v="055.466.241/0001-12"/>
    <x v="182"/>
    <s v="EXCLUSAO  ANOT.INADIMPLENCIA"/>
    <d v="2025-06-28T00:00:00"/>
    <x v="28"/>
    <x v="17"/>
    <x v="28"/>
    <x v="182"/>
    <n v="1"/>
    <n v="0"/>
  </r>
  <r>
    <s v="003.603.516/0001-19"/>
    <x v="237"/>
    <s v="INCLUSAO  ANOT.INADIMPLENCIA"/>
    <d v="2025-07-01T00:00:00"/>
    <x v="4"/>
    <x v="18"/>
    <x v="4"/>
    <x v="237"/>
    <n v="0"/>
    <n v="1"/>
  </r>
  <r>
    <s v="038.479.255/0001-51"/>
    <x v="241"/>
    <s v="INCLUSAO  ANOT.INADIMPLENCIA"/>
    <d v="2025-07-01T00:00:00"/>
    <x v="4"/>
    <x v="18"/>
    <x v="4"/>
    <x v="241"/>
    <n v="0"/>
    <n v="1"/>
  </r>
  <r>
    <s v="035.298.171/0001-23"/>
    <x v="249"/>
    <s v="EXCLUSAO  ANOT.INADIMPLENCIA"/>
    <d v="2025-07-01T00:00:00"/>
    <x v="33"/>
    <x v="18"/>
    <x v="33"/>
    <x v="249"/>
    <n v="1"/>
    <n v="0"/>
  </r>
  <r>
    <s v="031.743.464/0001-11"/>
    <x v="254"/>
    <s v="INCLUSAO  ANOT.INADIMPLENCIA"/>
    <d v="2025-07-01T00:00:00"/>
    <x v="36"/>
    <x v="18"/>
    <x v="36"/>
    <x v="254"/>
    <n v="0"/>
    <n v="1"/>
  </r>
  <r>
    <s v="028.650.970/0001-51"/>
    <x v="167"/>
    <s v="INCLUSAO  ANOT.INADIMPLENCIA"/>
    <d v="2025-07-01T00:00:00"/>
    <x v="16"/>
    <x v="18"/>
    <x v="16"/>
    <x v="167"/>
    <n v="0"/>
    <n v="1"/>
  </r>
  <r>
    <s v="028.511.223/0001-32"/>
    <x v="190"/>
    <s v="INCL/EXCL ANOT.INADIMPLENCIA"/>
    <d v="2025-07-01T00:00:00"/>
    <x v="20"/>
    <x v="18"/>
    <x v="20"/>
    <x v="190"/>
    <n v="0"/>
    <n v="0"/>
  </r>
  <r>
    <s v="028.393.466/0001-13"/>
    <x v="168"/>
    <s v="INCL/EXCL ANOT.INADIMPLENCIA"/>
    <d v="2025-07-01T00:00:00"/>
    <x v="15"/>
    <x v="18"/>
    <x v="15"/>
    <x v="168"/>
    <n v="0"/>
    <n v="0"/>
  </r>
  <r>
    <s v="027.647.097/0001-85"/>
    <x v="255"/>
    <s v="EXCLUSAO  ANOT.INADIMPLENCIA"/>
    <d v="2025-07-01T00:00:00"/>
    <x v="37"/>
    <x v="18"/>
    <x v="37"/>
    <x v="255"/>
    <n v="1"/>
    <n v="0"/>
  </r>
  <r>
    <s v="023.637.987/0001-55"/>
    <x v="20"/>
    <s v="EXCLUSAO  ANOT.INADIMPLENCIA"/>
    <d v="2025-07-01T00:00:00"/>
    <x v="7"/>
    <x v="18"/>
    <x v="7"/>
    <x v="20"/>
    <n v="1"/>
    <n v="0"/>
  </r>
  <r>
    <s v="021.458.691/0001-41"/>
    <x v="225"/>
    <s v="INCLUSAO  ANOT.INADIMPLENCIA"/>
    <d v="2025-07-01T00:00:00"/>
    <x v="29"/>
    <x v="18"/>
    <x v="29"/>
    <x v="225"/>
    <n v="0"/>
    <n v="1"/>
  </r>
  <r>
    <s v="044.570.311/0001-61"/>
    <x v="117"/>
    <s v="INCLUSAO  ANOT.INADIMPLENCIA"/>
    <d v="2025-07-01T00:00:00"/>
    <x v="15"/>
    <x v="18"/>
    <x v="15"/>
    <x v="117"/>
    <n v="0"/>
    <n v="1"/>
  </r>
  <r>
    <s v="021.420.856/0001-96"/>
    <x v="130"/>
    <s v="EXCLUSAO  ANOT.INADIMPLENCIA"/>
    <d v="2025-07-01T00:00:00"/>
    <x v="24"/>
    <x v="18"/>
    <x v="24"/>
    <x v="130"/>
    <n v="1"/>
    <n v="0"/>
  </r>
  <r>
    <s v="020.024.081/0001-77"/>
    <x v="178"/>
    <s v="INCLUSAO  ANOT.INADIMPLENCIA"/>
    <d v="2025-07-01T00:00:00"/>
    <x v="16"/>
    <x v="18"/>
    <x v="16"/>
    <x v="178"/>
    <n v="0"/>
    <n v="1"/>
  </r>
  <r>
    <s v="015.638.029/0001-70"/>
    <x v="235"/>
    <s v="INCLUSAO  ANOT.INADIMPLENCIA"/>
    <d v="2025-07-01T00:00:00"/>
    <x v="4"/>
    <x v="18"/>
    <x v="4"/>
    <x v="235"/>
    <n v="0"/>
    <n v="1"/>
  </r>
  <r>
    <s v="009.674.456/0001-01"/>
    <x v="234"/>
    <s v="EXCLUSAO  ANOT.INADIMPLENCIA"/>
    <d v="2025-07-01T00:00:00"/>
    <x v="8"/>
    <x v="18"/>
    <x v="8"/>
    <x v="234"/>
    <n v="1"/>
    <n v="0"/>
  </r>
  <r>
    <s v="008.250.872/0001-10"/>
    <x v="122"/>
    <s v="INCLUSAO  ANOT.INADIMPLENCIA"/>
    <d v="2025-07-01T00:00:00"/>
    <x v="8"/>
    <x v="18"/>
    <x v="8"/>
    <x v="122"/>
    <n v="0"/>
    <n v="1"/>
  </r>
  <r>
    <s v="008.196.295/0001-25"/>
    <x v="256"/>
    <s v="EXCLUSAO  ANOT.INADIMPLENCIA"/>
    <d v="2025-07-01T00:00:00"/>
    <x v="38"/>
    <x v="18"/>
    <x v="38"/>
    <x v="256"/>
    <n v="1"/>
    <n v="0"/>
  </r>
  <r>
    <s v="007.561.436/0001-07"/>
    <x v="34"/>
    <s v="EXCLUSAO  ANOT.INADIMPLENCIA"/>
    <d v="2025-07-01T00:00:00"/>
    <x v="15"/>
    <x v="18"/>
    <x v="15"/>
    <x v="34"/>
    <n v="1"/>
    <n v="0"/>
  </r>
  <r>
    <s v="007.102.721/0001-51"/>
    <x v="44"/>
    <s v="INCLUSAO  ANOT.INADIMPLENCIA"/>
    <d v="2025-07-01T00:00:00"/>
    <x v="15"/>
    <x v="18"/>
    <x v="15"/>
    <x v="44"/>
    <n v="0"/>
    <n v="1"/>
  </r>
  <r>
    <s v="005.374.432/0001-86"/>
    <x v="224"/>
    <s v="EXCLUSAO  ANOT.INADIMPLENCIA"/>
    <d v="2025-07-01T00:00:00"/>
    <x v="33"/>
    <x v="18"/>
    <x v="33"/>
    <x v="224"/>
    <n v="1"/>
    <n v="0"/>
  </r>
  <r>
    <s v="004.323.643/0001-27"/>
    <x v="223"/>
    <s v="INCL/EXCL ANOT.INADIMPLENCIA"/>
    <d v="2025-07-01T00:00:00"/>
    <x v="0"/>
    <x v="18"/>
    <x v="0"/>
    <x v="223"/>
    <n v="0"/>
    <n v="0"/>
  </r>
  <r>
    <s v="021.382.943/0001-04"/>
    <x v="206"/>
    <s v="INCLUSAO  ANOT.INADIMPLENCIA"/>
    <d v="2025-07-01T00:00:00"/>
    <x v="0"/>
    <x v="18"/>
    <x v="0"/>
    <x v="206"/>
    <n v="0"/>
    <n v="1"/>
  </r>
  <r>
    <s v="055.466.241/0001-12"/>
    <x v="182"/>
    <s v="INCLUSAO  ANOT.INADIMPLENCIA"/>
    <d v="2025-07-01T00:00:00"/>
    <x v="28"/>
    <x v="18"/>
    <x v="28"/>
    <x v="182"/>
    <n v="0"/>
    <n v="1"/>
  </r>
  <r>
    <m/>
    <x v="257"/>
    <m/>
    <m/>
    <x v="39"/>
    <x v="19"/>
    <x v="39"/>
    <x v="257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182C4D-5B05-463A-BA3D-2AFA37FF0336}" name="Tabela dinâmica5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A5:D30" firstHeaderRow="1" firstDataRow="2" firstDataCol="1" rowPageCount="3" colPageCount="1"/>
  <pivotFields count="11">
    <pivotField showAll="0"/>
    <pivotField axis="axisPage" multipleItemSelectionAllowed="1" showAll="0">
      <items count="498">
        <item m="1" x="342"/>
        <item m="1" x="427"/>
        <item m="1" x="405"/>
        <item m="1" x="406"/>
        <item m="1" x="408"/>
        <item m="1" x="258"/>
        <item m="1" x="373"/>
        <item m="1" x="359"/>
        <item m="1" x="327"/>
        <item m="1" x="288"/>
        <item m="1" x="322"/>
        <item m="1" x="378"/>
        <item m="1" x="333"/>
        <item m="1" x="415"/>
        <item m="1" x="291"/>
        <item m="1" x="264"/>
        <item m="1" x="295"/>
        <item m="1" x="434"/>
        <item m="1" x="395"/>
        <item m="1" x="263"/>
        <item m="1" x="306"/>
        <item m="1" x="371"/>
        <item m="1" x="266"/>
        <item m="1" x="259"/>
        <item m="1" x="328"/>
        <item m="1" x="370"/>
        <item m="1" x="439"/>
        <item m="1" x="271"/>
        <item m="1" x="407"/>
        <item m="1" x="377"/>
        <item m="1" x="442"/>
        <item m="1" x="404"/>
        <item m="1" x="281"/>
        <item m="1" x="265"/>
        <item m="1" x="390"/>
        <item m="1" x="357"/>
        <item m="1" x="320"/>
        <item m="1" x="274"/>
        <item m="1" x="297"/>
        <item m="1" x="394"/>
        <item m="1" x="282"/>
        <item m="1" x="351"/>
        <item m="1" x="319"/>
        <item m="1" x="425"/>
        <item m="1" x="294"/>
        <item m="1" x="275"/>
        <item m="1" x="284"/>
        <item m="1" x="355"/>
        <item m="1" x="374"/>
        <item m="1" x="414"/>
        <item m="1" x="364"/>
        <item m="1" x="310"/>
        <item m="1" x="344"/>
        <item m="1" x="345"/>
        <item m="1" x="298"/>
        <item m="1" x="279"/>
        <item m="1" x="290"/>
        <item m="1" x="358"/>
        <item m="1" x="382"/>
        <item m="1" x="303"/>
        <item m="1" x="368"/>
        <item m="1" x="376"/>
        <item m="1" x="387"/>
        <item m="1" x="419"/>
        <item m="1" x="388"/>
        <item m="1" x="379"/>
        <item m="1" x="384"/>
        <item m="1" x="353"/>
        <item m="1" x="429"/>
        <item m="1" x="416"/>
        <item m="1" x="272"/>
        <item m="1" x="381"/>
        <item m="1" x="366"/>
        <item m="1" x="289"/>
        <item m="1" x="317"/>
        <item m="1" x="441"/>
        <item m="1" x="260"/>
        <item m="1" x="287"/>
        <item m="1" x="389"/>
        <item m="1" x="296"/>
        <item m="1" x="423"/>
        <item m="1" x="401"/>
        <item m="1" x="440"/>
        <item m="1" x="332"/>
        <item m="1" x="361"/>
        <item m="1" x="325"/>
        <item m="1" x="314"/>
        <item m="1" x="417"/>
        <item m="1" x="403"/>
        <item m="1" x="363"/>
        <item m="1" x="392"/>
        <item m="1" x="362"/>
        <item m="1" x="350"/>
        <item m="1" x="386"/>
        <item m="1" x="352"/>
        <item m="1" x="318"/>
        <item m="1" x="397"/>
        <item m="1" x="285"/>
        <item m="1" x="426"/>
        <item m="1" x="369"/>
        <item m="1" x="267"/>
        <item m="1" x="261"/>
        <item m="1" x="329"/>
        <item m="1" x="269"/>
        <item m="1" x="276"/>
        <item m="1" x="399"/>
        <item m="1" x="311"/>
        <item m="1" x="301"/>
        <item m="1" x="402"/>
        <item m="1" x="336"/>
        <item m="1" x="312"/>
        <item m="1" x="326"/>
        <item m="1" x="346"/>
        <item m="1" x="432"/>
        <item m="1" x="435"/>
        <item m="1" x="280"/>
        <item m="1" x="304"/>
        <item m="1" x="420"/>
        <item m="1" x="372"/>
        <item m="1" x="330"/>
        <item m="1" x="421"/>
        <item m="1" x="398"/>
        <item m="1" x="413"/>
        <item m="1" x="385"/>
        <item m="1" x="343"/>
        <item m="1" x="391"/>
        <item m="1" x="315"/>
        <item m="1" x="422"/>
        <item m="1" x="339"/>
        <item m="1" x="383"/>
        <item m="1" x="309"/>
        <item m="1" x="277"/>
        <item m="1" x="334"/>
        <item m="1" x="323"/>
        <item m="1" x="299"/>
        <item m="1" x="338"/>
        <item m="1" x="438"/>
        <item m="1" x="348"/>
        <item m="1" x="400"/>
        <item m="1" x="367"/>
        <item m="1" x="433"/>
        <item m="1" x="428"/>
        <item m="1" x="335"/>
        <item m="1" x="337"/>
        <item m="1" x="424"/>
        <item m="1" x="360"/>
        <item m="1" x="340"/>
        <item m="1" x="316"/>
        <item m="1" x="268"/>
        <item m="1" x="436"/>
        <item m="1" x="283"/>
        <item m="1" x="411"/>
        <item m="1" x="437"/>
        <item m="1" x="375"/>
        <item m="1" x="354"/>
        <item m="1" x="341"/>
        <item m="1" x="412"/>
        <item m="1" x="292"/>
        <item m="1" x="365"/>
        <item m="1" x="430"/>
        <item m="1" x="431"/>
        <item m="1" x="349"/>
        <item m="1" x="308"/>
        <item m="1" x="278"/>
        <item m="1" x="443"/>
        <item m="1" x="380"/>
        <item m="1" x="418"/>
        <item m="1" x="410"/>
        <item m="1" x="347"/>
        <item m="1" x="302"/>
        <item m="1" x="270"/>
        <item m="1" x="396"/>
        <item m="1" x="273"/>
        <item m="1" x="305"/>
        <item m="1" x="331"/>
        <item m="1" x="393"/>
        <item m="1" x="356"/>
        <item m="1" x="324"/>
        <item m="1" x="293"/>
        <item m="1" x="409"/>
        <item m="1" x="286"/>
        <item m="1" x="307"/>
        <item m="1" x="300"/>
        <item m="1" x="321"/>
        <item m="1" x="262"/>
        <item m="1" x="313"/>
        <item x="257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x="237"/>
        <item x="122"/>
        <item x="4"/>
        <item x="178"/>
        <item x="206"/>
        <item x="7"/>
        <item x="168"/>
        <item x="190"/>
        <item x="167"/>
        <item x="239"/>
        <item x="172"/>
        <item x="202"/>
        <item x="47"/>
        <item x="0"/>
        <item x="1"/>
        <item x="2"/>
        <item x="3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9"/>
        <item x="170"/>
        <item x="171"/>
        <item x="173"/>
        <item x="174"/>
        <item x="175"/>
        <item x="176"/>
        <item x="177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3"/>
        <item x="204"/>
        <item x="205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8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t="default"/>
      </items>
    </pivotField>
    <pivotField showAll="0"/>
    <pivotField showAll="0"/>
    <pivotField axis="axisRow" showAll="0">
      <items count="42">
        <item sd="0" x="0"/>
        <item sd="0" x="17"/>
        <item sd="0" x="13"/>
        <item sd="0" x="1"/>
        <item sd="0" x="14"/>
        <item sd="0" x="19"/>
        <item sd="0" x="15"/>
        <item sd="0" x="10"/>
        <item sd="0" x="24"/>
        <item sd="0" x="25"/>
        <item sd="0" x="2"/>
        <item sd="0" x="22"/>
        <item sd="0" x="3"/>
        <item sd="0" x="4"/>
        <item sd="0" x="5"/>
        <item sd="0" x="18"/>
        <item sd="0" x="6"/>
        <item sd="0" x="27"/>
        <item sd="0" x="26"/>
        <item sd="0" x="7"/>
        <item sd="0" x="11"/>
        <item sd="0" x="8"/>
        <item sd="0" x="23"/>
        <item sd="0" x="20"/>
        <item sd="0" x="12"/>
        <item sd="0" x="21"/>
        <item sd="0" x="9"/>
        <item sd="0" x="39"/>
        <item sd="0" x="16"/>
        <item sd="0" x="28"/>
        <item sd="0" x="29"/>
        <item sd="0" x="30"/>
        <item sd="0" x="31"/>
        <item sd="0" x="32"/>
        <item sd="0" x="33"/>
        <item sd="0" x="34"/>
        <item sd="0" m="1" x="40"/>
        <item sd="0" x="35"/>
        <item sd="0" x="36"/>
        <item x="37"/>
        <item x="38"/>
        <item t="default"/>
      </items>
    </pivotField>
    <pivotField axis="axisPage" multipleItemSelectionAllowed="1" showAll="0">
      <items count="30"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x="19"/>
        <item m="1" x="28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t="default"/>
      </items>
    </pivotField>
    <pivotField axis="axisPage" multipleItemSelectionAllowed="1" showAll="0">
      <items count="42">
        <item x="0"/>
        <item x="17"/>
        <item x="13"/>
        <item x="1"/>
        <item x="14"/>
        <item x="19"/>
        <item x="15"/>
        <item x="10"/>
        <item x="24"/>
        <item x="25"/>
        <item x="2"/>
        <item x="22"/>
        <item x="3"/>
        <item x="4"/>
        <item x="5"/>
        <item x="18"/>
        <item x="6"/>
        <item x="27"/>
        <item x="26"/>
        <item x="7"/>
        <item x="11"/>
        <item x="8"/>
        <item x="23"/>
        <item x="20"/>
        <item x="12"/>
        <item x="21"/>
        <item x="9"/>
        <item x="39"/>
        <item x="16"/>
        <item x="28"/>
        <item x="29"/>
        <item x="30"/>
        <item x="31"/>
        <item x="32"/>
        <item x="33"/>
        <item x="34"/>
        <item m="1" x="40"/>
        <item x="35"/>
        <item x="36"/>
        <item x="37"/>
        <item x="38"/>
        <item t="default"/>
      </items>
    </pivotField>
    <pivotField axis="axisRow" showAll="0">
      <items count="498">
        <item m="1" x="342"/>
        <item sd="0" m="1" x="427"/>
        <item m="1" x="405"/>
        <item m="1" x="406"/>
        <item m="1" x="408"/>
        <item m="1" x="258"/>
        <item m="1" x="373"/>
        <item m="1" x="359"/>
        <item m="1" x="327"/>
        <item m="1" x="288"/>
        <item m="1" x="322"/>
        <item m="1" x="378"/>
        <item m="1" x="333"/>
        <item m="1" x="415"/>
        <item m="1" x="291"/>
        <item m="1" x="264"/>
        <item m="1" x="295"/>
        <item m="1" x="434"/>
        <item m="1" x="395"/>
        <item m="1" x="263"/>
        <item m="1" x="306"/>
        <item m="1" x="371"/>
        <item m="1" x="266"/>
        <item m="1" x="259"/>
        <item m="1" x="328"/>
        <item m="1" x="370"/>
        <item m="1" x="439"/>
        <item m="1" x="271"/>
        <item m="1" x="407"/>
        <item m="1" x="377"/>
        <item m="1" x="442"/>
        <item m="1" x="404"/>
        <item m="1" x="281"/>
        <item m="1" x="265"/>
        <item m="1" x="390"/>
        <item m="1" x="357"/>
        <item m="1" x="320"/>
        <item m="1" x="274"/>
        <item m="1" x="297"/>
        <item m="1" x="394"/>
        <item m="1" x="282"/>
        <item m="1" x="351"/>
        <item m="1" x="319"/>
        <item m="1" x="425"/>
        <item m="1" x="294"/>
        <item m="1" x="275"/>
        <item m="1" x="284"/>
        <item m="1" x="355"/>
        <item m="1" x="374"/>
        <item m="1" x="414"/>
        <item m="1" x="364"/>
        <item m="1" x="310"/>
        <item m="1" x="344"/>
        <item m="1" x="345"/>
        <item m="1" x="298"/>
        <item m="1" x="279"/>
        <item m="1" x="290"/>
        <item m="1" x="358"/>
        <item m="1" x="382"/>
        <item m="1" x="303"/>
        <item m="1" x="368"/>
        <item m="1" x="376"/>
        <item m="1" x="387"/>
        <item m="1" x="419"/>
        <item m="1" x="388"/>
        <item m="1" x="379"/>
        <item m="1" x="384"/>
        <item m="1" x="353"/>
        <item m="1" x="429"/>
        <item m="1" x="416"/>
        <item m="1" x="272"/>
        <item m="1" x="381"/>
        <item m="1" x="366"/>
        <item m="1" x="289"/>
        <item m="1" x="317"/>
        <item m="1" x="441"/>
        <item m="1" x="260"/>
        <item m="1" x="287"/>
        <item m="1" x="389"/>
        <item m="1" x="296"/>
        <item m="1" x="423"/>
        <item m="1" x="401"/>
        <item m="1" x="440"/>
        <item sd="0" m="1" x="332"/>
        <item m="1" x="361"/>
        <item m="1" x="325"/>
        <item m="1" x="314"/>
        <item m="1" x="417"/>
        <item m="1" x="403"/>
        <item m="1" x="363"/>
        <item m="1" x="392"/>
        <item m="1" x="362"/>
        <item m="1" x="350"/>
        <item m="1" x="386"/>
        <item m="1" x="352"/>
        <item m="1" x="318"/>
        <item m="1" x="397"/>
        <item m="1" x="285"/>
        <item m="1" x="426"/>
        <item m="1" x="369"/>
        <item m="1" x="267"/>
        <item m="1" x="261"/>
        <item m="1" x="329"/>
        <item m="1" x="269"/>
        <item m="1" x="276"/>
        <item m="1" x="399"/>
        <item m="1" x="311"/>
        <item m="1" x="301"/>
        <item m="1" x="402"/>
        <item m="1" x="336"/>
        <item m="1" x="312"/>
        <item m="1" x="326"/>
        <item m="1" x="346"/>
        <item m="1" x="432"/>
        <item m="1" x="435"/>
        <item m="1" x="280"/>
        <item m="1" x="304"/>
        <item m="1" x="420"/>
        <item m="1" x="372"/>
        <item m="1" x="330"/>
        <item m="1" x="421"/>
        <item m="1" x="398"/>
        <item m="1" x="413"/>
        <item m="1" x="385"/>
        <item m="1" x="343"/>
        <item m="1" x="391"/>
        <item m="1" x="315"/>
        <item m="1" x="422"/>
        <item m="1" x="339"/>
        <item m="1" x="383"/>
        <item m="1" x="309"/>
        <item m="1" x="277"/>
        <item m="1" x="334"/>
        <item m="1" x="323"/>
        <item m="1" x="299"/>
        <item m="1" x="338"/>
        <item m="1" x="438"/>
        <item m="1" x="348"/>
        <item m="1" x="400"/>
        <item m="1" x="367"/>
        <item m="1" x="433"/>
        <item m="1" x="428"/>
        <item m="1" x="335"/>
        <item m="1" x="337"/>
        <item m="1" x="424"/>
        <item m="1" x="360"/>
        <item m="1" x="340"/>
        <item m="1" x="316"/>
        <item m="1" x="268"/>
        <item m="1" x="436"/>
        <item m="1" x="283"/>
        <item m="1" x="411"/>
        <item m="1" x="437"/>
        <item m="1" x="375"/>
        <item m="1" x="354"/>
        <item m="1" x="341"/>
        <item m="1" x="412"/>
        <item m="1" x="292"/>
        <item m="1" x="365"/>
        <item m="1" x="430"/>
        <item m="1" x="431"/>
        <item m="1" x="349"/>
        <item m="1" x="308"/>
        <item m="1" x="278"/>
        <item m="1" x="443"/>
        <item m="1" x="380"/>
        <item m="1" x="418"/>
        <item m="1" x="410"/>
        <item m="1" x="347"/>
        <item m="1" x="302"/>
        <item m="1" x="270"/>
        <item m="1" x="396"/>
        <item m="1" x="273"/>
        <item m="1" x="305"/>
        <item m="1" x="331"/>
        <item m="1" x="393"/>
        <item m="1" x="356"/>
        <item m="1" x="324"/>
        <item m="1" x="293"/>
        <item m="1" x="409"/>
        <item m="1" x="286"/>
        <item m="1" x="307"/>
        <item m="1" x="300"/>
        <item m="1" x="321"/>
        <item m="1" x="262"/>
        <item m="1" x="313"/>
        <item x="257"/>
        <item m="1" x="444"/>
        <item m="1" x="445"/>
        <item m="1" x="446"/>
        <item m="1" x="447"/>
        <item m="1" x="448"/>
        <item m="1" x="449"/>
        <item m="1" x="450"/>
        <item m="1" x="451"/>
        <item sd="0" m="1" x="452"/>
        <item m="1" x="453"/>
        <item m="1" x="454"/>
        <item m="1" x="455"/>
        <item m="1" x="456"/>
        <item sd="0"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sd="0"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x="237"/>
        <item x="122"/>
        <item x="4"/>
        <item x="178"/>
        <item x="206"/>
        <item x="7"/>
        <item x="168"/>
        <item x="190"/>
        <item x="167"/>
        <item x="239"/>
        <item x="172"/>
        <item x="202"/>
        <item x="47"/>
        <item x="0"/>
        <item x="1"/>
        <item x="2"/>
        <item x="3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9"/>
        <item x="170"/>
        <item x="171"/>
        <item x="173"/>
        <item x="174"/>
        <item x="175"/>
        <item x="176"/>
        <item x="177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3"/>
        <item x="204"/>
        <item x="205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8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t="default"/>
      </items>
    </pivotField>
    <pivotField dataField="1" showAll="0"/>
    <pivotField dataField="1" showAll="0"/>
    <pivotField dataField="1" dragToRow="0" dragToCol="0" dragToPage="0" showAll="0" defaultSubtotal="0"/>
  </pivotFields>
  <rowFields count="2">
    <field x="4"/>
    <field x="7"/>
  </rowFields>
  <rowItems count="24">
    <i>
      <x/>
    </i>
    <i>
      <x v="2"/>
    </i>
    <i>
      <x v="3"/>
    </i>
    <i>
      <x v="4"/>
    </i>
    <i>
      <x v="6"/>
    </i>
    <i>
      <x v="8"/>
    </i>
    <i>
      <x v="11"/>
    </i>
    <i>
      <x v="13"/>
    </i>
    <i>
      <x v="16"/>
    </i>
    <i>
      <x v="18"/>
    </i>
    <i>
      <x v="19"/>
    </i>
    <i>
      <x v="20"/>
    </i>
    <i>
      <x v="21"/>
    </i>
    <i>
      <x v="23"/>
    </i>
    <i>
      <x v="24"/>
    </i>
    <i>
      <x v="28"/>
    </i>
    <i>
      <x v="29"/>
    </i>
    <i>
      <x v="31"/>
    </i>
    <i>
      <x v="32"/>
    </i>
    <i>
      <x v="34"/>
    </i>
    <i>
      <x v="35"/>
    </i>
    <i>
      <x v="37"/>
    </i>
    <i>
      <x v="3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1" hier="-1"/>
    <pageField fld="6" hier="-1"/>
    <pageField fld="5" hier="-1"/>
  </pageFields>
  <dataFields count="3">
    <dataField name="Total de EXCLUSÕES" fld="8" baseField="0" baseItem="0"/>
    <dataField name="Total de INCLUSÕES" fld="9" baseField="0" baseItem="0"/>
    <dataField name="Contagem" fld="10" baseField="0" baseItem="0"/>
  </dataFields>
  <formats count="28">
    <format dxfId="8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5">
      <pivotArea field="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84">
      <pivotArea collapsedLevelsAreSubtotals="1" fieldPosition="0">
        <references count="2">
          <reference field="4294967294" count="1" selected="0">
            <x v="2"/>
          </reference>
          <reference field="4" count="0"/>
        </references>
      </pivotArea>
    </format>
    <format dxfId="83">
      <pivotArea collapsedLevelsAreSubtotals="1" fieldPosition="0">
        <references count="2">
          <reference field="4294967294" count="2" selected="0">
            <x v="0"/>
            <x v="1"/>
          </reference>
          <reference field="4" count="0"/>
        </references>
      </pivotArea>
    </format>
    <format dxfId="82">
      <pivotArea dataOnly="0" labelOnly="1" fieldPosition="0">
        <references count="1">
          <reference field="4" count="0"/>
        </references>
      </pivotArea>
    </format>
    <format dxfId="8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9">
      <pivotArea collapsedLevelsAreSubtotals="1" fieldPosition="0">
        <references count="3">
          <reference field="4294967294" count="2" selected="0">
            <x v="0"/>
            <x v="1"/>
          </reference>
          <reference field="4" count="0" selected="0"/>
          <reference field="7" count="6">
            <x v="33"/>
            <x v="34"/>
            <x v="78"/>
            <x v="79"/>
            <x v="89"/>
            <x v="147"/>
          </reference>
        </references>
      </pivotArea>
    </format>
    <format dxfId="78">
      <pivotArea dataOnly="0" labelOnly="1" fieldPosition="0">
        <references count="2">
          <reference field="4" count="0" selected="0"/>
          <reference field="7" count="6">
            <x v="33"/>
            <x v="34"/>
            <x v="78"/>
            <x v="79"/>
            <x v="89"/>
            <x v="147"/>
          </reference>
        </references>
      </pivotArea>
    </format>
    <format dxfId="77">
      <pivotArea collapsedLevelsAreSubtotals="1" fieldPosition="0">
        <references count="3">
          <reference field="4294967294" count="1" selected="0">
            <x v="2"/>
          </reference>
          <reference field="4" count="0" selected="0"/>
          <reference field="7" count="1">
            <x v="78"/>
          </reference>
        </references>
      </pivotArea>
    </format>
    <format dxfId="76">
      <pivotArea collapsedLevelsAreSubtotals="1" fieldPosition="0">
        <references count="3">
          <reference field="4294967294" count="2" selected="0">
            <x v="0"/>
            <x v="1"/>
          </reference>
          <reference field="4" count="1" selected="0">
            <x v="16"/>
          </reference>
          <reference field="7" count="3">
            <x v="159"/>
            <x v="160"/>
            <x v="198"/>
          </reference>
        </references>
      </pivotArea>
    </format>
    <format dxfId="75">
      <pivotArea dataOnly="0" labelOnly="1" fieldPosition="0">
        <references count="2">
          <reference field="4" count="1" selected="0">
            <x v="16"/>
          </reference>
          <reference field="7" count="3">
            <x v="159"/>
            <x v="160"/>
            <x v="198"/>
          </reference>
        </references>
      </pivotArea>
    </format>
    <format dxfId="74">
      <pivotArea collapsedLevelsAreSubtotals="1" fieldPosition="0">
        <references count="3">
          <reference field="4294967294" count="1" selected="0">
            <x v="2"/>
          </reference>
          <reference field="4" count="1" selected="0">
            <x v="16"/>
          </reference>
          <reference field="7" count="1">
            <x v="159"/>
          </reference>
        </references>
      </pivotArea>
    </format>
    <format dxfId="73">
      <pivotArea collapsedLevelsAreSubtotals="1" fieldPosition="0">
        <references count="3">
          <reference field="4294967294" count="2" selected="0">
            <x v="0"/>
            <x v="1"/>
          </reference>
          <reference field="4" count="0" selected="0"/>
          <reference field="7" count="7">
            <x v="199"/>
            <x v="203"/>
            <x v="216"/>
            <x v="219"/>
            <x v="223"/>
            <x v="230"/>
            <x v="231"/>
          </reference>
        </references>
      </pivotArea>
    </format>
    <format dxfId="72">
      <pivotArea dataOnly="0" labelOnly="1" fieldPosition="0">
        <references count="2">
          <reference field="4" count="0" selected="0"/>
          <reference field="7" count="7">
            <x v="199"/>
            <x v="203"/>
            <x v="216"/>
            <x v="219"/>
            <x v="223"/>
            <x v="230"/>
            <x v="231"/>
          </reference>
        </references>
      </pivotArea>
    </format>
    <format dxfId="71">
      <pivotArea field="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70">
      <pivotArea field="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69">
      <pivotArea collapsedLevelsAreSubtotals="1" fieldPosition="0">
        <references count="3">
          <reference field="4294967294" count="2" selected="0">
            <x v="0"/>
            <x v="1"/>
          </reference>
          <reference field="4" count="0" selected="0"/>
          <reference field="7" count="5">
            <x v="65"/>
            <x v="95"/>
            <x v="165"/>
            <x v="173"/>
            <x v="234"/>
          </reference>
        </references>
      </pivotArea>
    </format>
    <format dxfId="68">
      <pivotArea dataOnly="0" labelOnly="1" fieldPosition="0">
        <references count="2">
          <reference field="4" count="0" selected="0"/>
          <reference field="7" count="5">
            <x v="65"/>
            <x v="95"/>
            <x v="165"/>
            <x v="173"/>
            <x v="234"/>
          </reference>
        </references>
      </pivotArea>
    </format>
    <format dxfId="67">
      <pivotArea collapsedLevelsAreSubtotals="1" fieldPosition="0">
        <references count="3">
          <reference field="4294967294" count="2" selected="0">
            <x v="0"/>
            <x v="1"/>
          </reference>
          <reference field="4" count="0" selected="0"/>
          <reference field="7" count="2">
            <x v="77"/>
            <x v="179"/>
          </reference>
        </references>
      </pivotArea>
    </format>
    <format dxfId="66">
      <pivotArea dataOnly="0" labelOnly="1" fieldPosition="0">
        <references count="2">
          <reference field="4" count="0" selected="0"/>
          <reference field="7" count="2">
            <x v="77"/>
            <x v="179"/>
          </reference>
        </references>
      </pivotArea>
    </format>
    <format dxfId="65">
      <pivotArea collapsedLevelsAreSubtotals="1" fieldPosition="0">
        <references count="3">
          <reference field="4294967294" count="2" selected="0">
            <x v="0"/>
            <x v="1"/>
          </reference>
          <reference field="4" count="0" selected="0"/>
          <reference field="7" count="6">
            <x v="55"/>
            <x v="73"/>
            <x v="93"/>
            <x v="166"/>
            <x v="195"/>
            <x v="229"/>
          </reference>
        </references>
      </pivotArea>
    </format>
    <format dxfId="64">
      <pivotArea dataOnly="0" labelOnly="1" fieldPosition="0">
        <references count="2">
          <reference field="4" count="0" selected="0"/>
          <reference field="7" count="6">
            <x v="55"/>
            <x v="73"/>
            <x v="93"/>
            <x v="166"/>
            <x v="195"/>
            <x v="229"/>
          </reference>
        </references>
      </pivotArea>
    </format>
    <format dxfId="63">
      <pivotArea collapsedLevelsAreSubtotals="1" fieldPosition="0">
        <references count="3">
          <reference field="4294967294" count="2" selected="0">
            <x v="0"/>
            <x v="1"/>
          </reference>
          <reference field="4" count="0" selected="0"/>
          <reference field="7" count="11">
            <x v="4"/>
            <x v="76"/>
            <x v="86"/>
            <x v="90"/>
            <x v="101"/>
            <x v="108"/>
            <x v="130"/>
            <x v="184"/>
            <x v="189"/>
            <x v="208"/>
            <x v="221"/>
          </reference>
        </references>
      </pivotArea>
    </format>
    <format dxfId="62">
      <pivotArea dataOnly="0" labelOnly="1" fieldPosition="0">
        <references count="2">
          <reference field="4" count="0" selected="0"/>
          <reference field="7" count="11">
            <x v="4"/>
            <x v="76"/>
            <x v="86"/>
            <x v="90"/>
            <x v="101"/>
            <x v="108"/>
            <x v="130"/>
            <x v="184"/>
            <x v="189"/>
            <x v="208"/>
            <x v="221"/>
          </reference>
        </references>
      </pivotArea>
    </format>
    <format dxfId="61">
      <pivotArea collapsedLevelsAreSubtotals="1" fieldPosition="0">
        <references count="3">
          <reference field="4294967294" count="2" selected="0">
            <x v="0"/>
            <x v="1"/>
          </reference>
          <reference field="4" count="0" selected="0"/>
          <reference field="7" count="7">
            <x v="20"/>
            <x v="43"/>
            <x v="92"/>
            <x v="113"/>
            <x v="123"/>
            <x v="149"/>
            <x v="214"/>
          </reference>
        </references>
      </pivotArea>
    </format>
    <format dxfId="60">
      <pivotArea dataOnly="0" labelOnly="1" fieldPosition="0">
        <references count="2">
          <reference field="4" count="0" selected="0"/>
          <reference field="7" count="7">
            <x v="20"/>
            <x v="43"/>
            <x v="92"/>
            <x v="113"/>
            <x v="123"/>
            <x v="149"/>
            <x v="214"/>
          </reference>
        </references>
      </pivotArea>
    </format>
  </format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3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Dark18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74EDF-CD31-443E-BB1D-040E7E63631F}" name="tblDados" displayName="tblDados" ref="A1:J3001" totalsRowShown="0">
  <autoFilter ref="A1:J3001" xr:uid="{4BC74EDF-CD31-443E-BB1D-040E7E63631F}"/>
  <tableColumns count="10">
    <tableColumn id="1" xr3:uid="{580832D1-047F-442E-AA90-0581027F63E3}" name="CNPJ"/>
    <tableColumn id="2" xr3:uid="{6EB0F9A8-4B4F-40A6-8DF1-5FD437488F39}" name="Razão Social"/>
    <tableColumn id="3" xr3:uid="{C7C3E441-540E-4AB0-A84D-F7EBC711FCB9}" name="Alteração"/>
    <tableColumn id="4" xr3:uid="{AD0E5C19-4994-4FBB-8FC6-31AED43DF708}" name="Data do recebimento do e-mail" dataDxfId="59"/>
    <tableColumn id="5" xr3:uid="{27DDD937-C40C-43A5-89D5-0920FFDF5938}" name="Gerente">
      <calculatedColumnFormula>VLOOKUP(B2,'PROCV GERENTES BD'!A:B,2,0)</calculatedColumnFormula>
    </tableColumn>
    <tableColumn id="6" xr3:uid="{152B9876-AEEC-4B15-B881-35A2464C3ECE}" name="Mês e Ano" dataDxfId="58">
      <calculatedColumnFormula>YEAR(D2)&amp;"-"&amp;TEXT(MONTH(D2),"00")&amp;"-"&amp;IF(DAY(D2)&lt;=15,"1",IF(DAY(D2)&gt;15,"2",""))</calculatedColumnFormula>
    </tableColumn>
    <tableColumn id="7" xr3:uid="{05310F21-8B05-4DB7-8F2C-8CC1124ABAD0}" name="Gerente 2">
      <calculatedColumnFormula>E2</calculatedColumnFormula>
    </tableColumn>
    <tableColumn id="8" xr3:uid="{09A2FDAA-CF9F-46FC-9972-792069B18481}" name="Cedente">
      <calculatedColumnFormula>B2</calculatedColumnFormula>
    </tableColumn>
    <tableColumn id="9" xr3:uid="{7C376DF1-3E5D-40FD-9F80-3C109B173DA0}" name="EXCLUSÕES" dataDxfId="57">
      <calculatedColumnFormula>IF(C2="EXCLUSAO  ANOT.INADIMPLENCIA",1,0)</calculatedColumnFormula>
    </tableColumn>
    <tableColumn id="10" xr3:uid="{2280508A-66FD-467E-8719-51776970412C}" name="INCLUSÕES" dataDxfId="56">
      <calculatedColumnFormula>IF(C2="INCLUSAO  ANOT.INADIMPLENCIA",1,0)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E8219-C36F-4946-8D0C-0B56B3CF6B9F}">
  <sheetPr codeName="Planilha1"/>
  <dimension ref="A1:D61"/>
  <sheetViews>
    <sheetView tabSelected="1" topLeftCell="A16" zoomScaleNormal="100" workbookViewId="0">
      <selection activeCell="A29" sqref="A29"/>
    </sheetView>
  </sheetViews>
  <sheetFormatPr defaultRowHeight="15" x14ac:dyDescent="0.25"/>
  <cols>
    <col min="1" max="1" width="27.140625" bestFit="1" customWidth="1"/>
    <col min="2" max="2" width="18.85546875" bestFit="1" customWidth="1"/>
    <col min="3" max="3" width="18.7109375" bestFit="1" customWidth="1"/>
    <col min="4" max="4" width="10" bestFit="1" customWidth="1"/>
    <col min="5" max="5" width="14" bestFit="1" customWidth="1"/>
    <col min="6" max="6" width="27" bestFit="1" customWidth="1"/>
    <col min="7" max="7" width="19" bestFit="1" customWidth="1"/>
    <col min="8" max="8" width="27" bestFit="1" customWidth="1"/>
    <col min="9" max="9" width="24.28515625" bestFit="1" customWidth="1"/>
    <col min="10" max="10" width="24.140625" bestFit="1" customWidth="1"/>
    <col min="11" max="11" width="10" bestFit="1" customWidth="1"/>
  </cols>
  <sheetData>
    <row r="1" spans="1:4" x14ac:dyDescent="0.25">
      <c r="A1" s="5" t="s">
        <v>0</v>
      </c>
      <c r="B1" t="s">
        <v>1</v>
      </c>
      <c r="D1" s="7"/>
    </row>
    <row r="2" spans="1:4" x14ac:dyDescent="0.25">
      <c r="A2" s="5" t="s">
        <v>2</v>
      </c>
      <c r="B2" t="s">
        <v>1</v>
      </c>
      <c r="D2" s="7"/>
    </row>
    <row r="3" spans="1:4" x14ac:dyDescent="0.25">
      <c r="A3" s="5" t="s">
        <v>37</v>
      </c>
      <c r="B3" t="s">
        <v>612</v>
      </c>
      <c r="D3" s="7"/>
    </row>
    <row r="5" spans="1:4" ht="15.75" thickBot="1" x14ac:dyDescent="0.3">
      <c r="B5" s="5" t="s">
        <v>48</v>
      </c>
    </row>
    <row r="6" spans="1:4" ht="15.75" thickBot="1" x14ac:dyDescent="0.3">
      <c r="A6" s="5" t="s">
        <v>3</v>
      </c>
      <c r="B6" t="s">
        <v>49</v>
      </c>
      <c r="C6" t="s">
        <v>50</v>
      </c>
      <c r="D6" s="8" t="s">
        <v>51</v>
      </c>
    </row>
    <row r="7" spans="1:4" x14ac:dyDescent="0.25">
      <c r="A7" s="9" t="s">
        <v>5</v>
      </c>
      <c r="B7" s="20">
        <v>6</v>
      </c>
      <c r="C7" s="20">
        <v>16</v>
      </c>
      <c r="D7" s="17">
        <v>10</v>
      </c>
    </row>
    <row r="8" spans="1:4" x14ac:dyDescent="0.25">
      <c r="A8" s="11" t="s">
        <v>7</v>
      </c>
      <c r="B8" s="21">
        <v>3</v>
      </c>
      <c r="C8" s="21">
        <v>2</v>
      </c>
      <c r="D8" s="18">
        <v>-1</v>
      </c>
    </row>
    <row r="9" spans="1:4" x14ac:dyDescent="0.25">
      <c r="A9" s="11" t="s">
        <v>8</v>
      </c>
      <c r="B9" s="21">
        <v>3</v>
      </c>
      <c r="C9" s="21">
        <v>12</v>
      </c>
      <c r="D9" s="18">
        <v>9</v>
      </c>
    </row>
    <row r="10" spans="1:4" x14ac:dyDescent="0.25">
      <c r="A10" s="11" t="s">
        <v>9</v>
      </c>
      <c r="B10" s="21">
        <v>0</v>
      </c>
      <c r="C10" s="21">
        <v>3</v>
      </c>
      <c r="D10" s="18">
        <v>3</v>
      </c>
    </row>
    <row r="11" spans="1:4" x14ac:dyDescent="0.25">
      <c r="A11" s="11" t="s">
        <v>10</v>
      </c>
      <c r="B11" s="21">
        <v>5</v>
      </c>
      <c r="C11" s="21">
        <v>10</v>
      </c>
      <c r="D11" s="18">
        <v>5</v>
      </c>
    </row>
    <row r="12" spans="1:4" x14ac:dyDescent="0.25">
      <c r="A12" s="11" t="s">
        <v>11</v>
      </c>
      <c r="B12" s="21">
        <v>3</v>
      </c>
      <c r="C12" s="21">
        <v>1</v>
      </c>
      <c r="D12" s="18">
        <v>-2</v>
      </c>
    </row>
    <row r="13" spans="1:4" x14ac:dyDescent="0.25">
      <c r="A13" s="11" t="s">
        <v>13</v>
      </c>
      <c r="B13" s="21">
        <v>1</v>
      </c>
      <c r="C13" s="21">
        <v>1</v>
      </c>
      <c r="D13" s="18">
        <v>0</v>
      </c>
    </row>
    <row r="14" spans="1:4" x14ac:dyDescent="0.25">
      <c r="A14" s="11" t="s">
        <v>14</v>
      </c>
      <c r="B14" s="21">
        <v>4</v>
      </c>
      <c r="C14" s="21">
        <v>11</v>
      </c>
      <c r="D14" s="18">
        <v>7</v>
      </c>
    </row>
    <row r="15" spans="1:4" x14ac:dyDescent="0.25">
      <c r="A15" s="11" t="s">
        <v>16</v>
      </c>
      <c r="B15" s="21">
        <v>1</v>
      </c>
      <c r="C15" s="21">
        <v>0</v>
      </c>
      <c r="D15" s="18">
        <v>-1</v>
      </c>
    </row>
    <row r="16" spans="1:4" x14ac:dyDescent="0.25">
      <c r="A16" s="11" t="s">
        <v>17</v>
      </c>
      <c r="B16" s="21">
        <v>0</v>
      </c>
      <c r="C16" s="21">
        <v>1</v>
      </c>
      <c r="D16" s="18">
        <v>1</v>
      </c>
    </row>
    <row r="17" spans="1:4" x14ac:dyDescent="0.25">
      <c r="A17" s="11" t="s">
        <v>18</v>
      </c>
      <c r="B17" s="21">
        <v>3</v>
      </c>
      <c r="C17" s="21">
        <v>6</v>
      </c>
      <c r="D17" s="18">
        <v>3</v>
      </c>
    </row>
    <row r="18" spans="1:4" x14ac:dyDescent="0.25">
      <c r="A18" s="11" t="s">
        <v>19</v>
      </c>
      <c r="B18" s="21">
        <v>2</v>
      </c>
      <c r="C18" s="21">
        <v>3</v>
      </c>
      <c r="D18" s="18">
        <v>1</v>
      </c>
    </row>
    <row r="19" spans="1:4" x14ac:dyDescent="0.25">
      <c r="A19" s="11" t="s">
        <v>20</v>
      </c>
      <c r="B19" s="21">
        <v>2</v>
      </c>
      <c r="C19" s="21">
        <v>13</v>
      </c>
      <c r="D19" s="18">
        <v>11</v>
      </c>
    </row>
    <row r="20" spans="1:4" x14ac:dyDescent="0.25">
      <c r="A20" s="11" t="s">
        <v>21</v>
      </c>
      <c r="B20" s="21">
        <v>2</v>
      </c>
      <c r="C20" s="21">
        <v>6</v>
      </c>
      <c r="D20" s="18">
        <v>4</v>
      </c>
    </row>
    <row r="21" spans="1:4" x14ac:dyDescent="0.25">
      <c r="A21" s="11" t="s">
        <v>22</v>
      </c>
      <c r="B21" s="21">
        <v>1</v>
      </c>
      <c r="C21" s="21">
        <v>1</v>
      </c>
      <c r="D21" s="18">
        <v>0</v>
      </c>
    </row>
    <row r="22" spans="1:4" x14ac:dyDescent="0.25">
      <c r="A22" s="11" t="s">
        <v>25</v>
      </c>
      <c r="B22" s="21">
        <v>5</v>
      </c>
      <c r="C22" s="21">
        <v>9</v>
      </c>
      <c r="D22" s="18">
        <v>4</v>
      </c>
    </row>
    <row r="23" spans="1:4" x14ac:dyDescent="0.25">
      <c r="A23" s="11" t="s">
        <v>26</v>
      </c>
      <c r="B23" s="21">
        <v>2</v>
      </c>
      <c r="C23" s="21">
        <v>2</v>
      </c>
      <c r="D23" s="18">
        <v>0</v>
      </c>
    </row>
    <row r="24" spans="1:4" x14ac:dyDescent="0.25">
      <c r="A24" s="11" t="s">
        <v>28</v>
      </c>
      <c r="B24" s="21">
        <v>0</v>
      </c>
      <c r="C24" s="21">
        <v>3</v>
      </c>
      <c r="D24" s="18">
        <v>3</v>
      </c>
    </row>
    <row r="25" spans="1:4" x14ac:dyDescent="0.25">
      <c r="A25" s="11" t="s">
        <v>29</v>
      </c>
      <c r="B25" s="21">
        <v>1</v>
      </c>
      <c r="C25" s="21">
        <v>2</v>
      </c>
      <c r="D25" s="18">
        <v>1</v>
      </c>
    </row>
    <row r="26" spans="1:4" x14ac:dyDescent="0.25">
      <c r="A26" s="11" t="s">
        <v>31</v>
      </c>
      <c r="B26" s="21">
        <v>0</v>
      </c>
      <c r="C26" s="21">
        <v>8</v>
      </c>
      <c r="D26" s="18">
        <v>8</v>
      </c>
    </row>
    <row r="27" spans="1:4" x14ac:dyDescent="0.25">
      <c r="A27" s="11" t="s">
        <v>32</v>
      </c>
      <c r="B27" s="21">
        <v>1</v>
      </c>
      <c r="C27" s="21">
        <v>4</v>
      </c>
      <c r="D27" s="18">
        <v>3</v>
      </c>
    </row>
    <row r="28" spans="1:4" x14ac:dyDescent="0.25">
      <c r="A28" s="11" t="s">
        <v>627</v>
      </c>
      <c r="B28" s="21">
        <v>0</v>
      </c>
      <c r="C28" s="21">
        <v>2</v>
      </c>
      <c r="D28" s="18">
        <v>2</v>
      </c>
    </row>
    <row r="29" spans="1:4" ht="15.75" thickBot="1" x14ac:dyDescent="0.3">
      <c r="A29" s="10" t="s">
        <v>634</v>
      </c>
      <c r="B29" s="22">
        <v>1</v>
      </c>
      <c r="C29" s="22">
        <v>0</v>
      </c>
      <c r="D29" s="19">
        <v>-1</v>
      </c>
    </row>
    <row r="30" spans="1:4" ht="15.75" thickBot="1" x14ac:dyDescent="0.3">
      <c r="A30" s="2" t="s">
        <v>4</v>
      </c>
      <c r="B30" s="22">
        <v>46</v>
      </c>
      <c r="C30" s="22">
        <v>116</v>
      </c>
      <c r="D30" s="23">
        <v>70</v>
      </c>
    </row>
    <row r="37" ht="15.75" thickBot="1" x14ac:dyDescent="0.3"/>
    <row r="38" ht="15.75" thickBot="1" x14ac:dyDescent="0.3"/>
    <row r="40" ht="15.75" thickBot="1" x14ac:dyDescent="0.3"/>
    <row r="41" ht="15.75" thickBot="1" x14ac:dyDescent="0.3"/>
    <row r="43" ht="15.75" thickBot="1" x14ac:dyDescent="0.3"/>
    <row r="49" ht="15.75" thickBot="1" x14ac:dyDescent="0.3"/>
    <row r="50" ht="15.75" thickBot="1" x14ac:dyDescent="0.3"/>
    <row r="52" ht="15.75" thickBot="1" x14ac:dyDescent="0.3"/>
    <row r="53" ht="15.75" thickBot="1" x14ac:dyDescent="0.3"/>
    <row r="58" ht="15.75" thickBot="1" x14ac:dyDescent="0.3"/>
    <row r="59" ht="15.75" thickBot="1" x14ac:dyDescent="0.3"/>
    <row r="61" ht="15.75" thickBot="1" x14ac:dyDescent="0.3"/>
  </sheetData>
  <conditionalFormatting pivot="1" sqref="D7:D30">
    <cfRule type="cellIs" dxfId="93" priority="7" operator="between">
      <formula>1</formula>
      <formula>5</formula>
    </cfRule>
  </conditionalFormatting>
  <conditionalFormatting pivot="1" sqref="D7:D30">
    <cfRule type="cellIs" dxfId="92" priority="5" operator="equal">
      <formula>0</formula>
    </cfRule>
  </conditionalFormatting>
  <conditionalFormatting sqref="E17">
    <cfRule type="cellIs" dxfId="91" priority="4" operator="lessThan">
      <formula>0</formula>
    </cfRule>
  </conditionalFormatting>
  <conditionalFormatting pivot="1" sqref="D7:D30">
    <cfRule type="cellIs" dxfId="90" priority="3" operator="lessThan">
      <formula>-5</formula>
    </cfRule>
  </conditionalFormatting>
  <conditionalFormatting pivot="1" sqref="D7:D30">
    <cfRule type="cellIs" dxfId="89" priority="2" operator="greaterThan">
      <formula>5</formula>
    </cfRule>
  </conditionalFormatting>
  <conditionalFormatting pivot="1" sqref="D7:D30">
    <cfRule type="cellIs" dxfId="88" priority="1" operator="between">
      <formula>-1</formula>
      <formula>-5</formula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J3001"/>
  <sheetViews>
    <sheetView topLeftCell="A2984" workbookViewId="0">
      <selection activeCell="A3002" sqref="A3002"/>
    </sheetView>
  </sheetViews>
  <sheetFormatPr defaultRowHeight="15" x14ac:dyDescent="0.25"/>
  <cols>
    <col min="1" max="1" width="20.5703125" customWidth="1"/>
    <col min="2" max="2" width="56.28515625" bestFit="1" customWidth="1"/>
    <col min="3" max="3" width="30.28515625" bestFit="1" customWidth="1"/>
    <col min="4" max="4" width="30.5703125" style="1" customWidth="1"/>
    <col min="5" max="5" width="27.7109375" customWidth="1"/>
    <col min="6" max="6" width="12.5703125" customWidth="1"/>
    <col min="7" max="7" width="23.7109375" bestFit="1" customWidth="1"/>
    <col min="8" max="8" width="56.28515625" bestFit="1" customWidth="1"/>
    <col min="9" max="9" width="13.140625" customWidth="1"/>
    <col min="10" max="10" width="13" customWidth="1"/>
  </cols>
  <sheetData>
    <row r="1" spans="1:10" x14ac:dyDescent="0.25">
      <c r="A1" t="s">
        <v>33</v>
      </c>
      <c r="B1" t="s">
        <v>0</v>
      </c>
      <c r="C1" t="s">
        <v>34</v>
      </c>
      <c r="D1" s="6" t="s">
        <v>35</v>
      </c>
      <c r="E1" t="s">
        <v>36</v>
      </c>
      <c r="F1" t="s">
        <v>37</v>
      </c>
      <c r="G1" t="s">
        <v>2</v>
      </c>
      <c r="H1" t="s">
        <v>38</v>
      </c>
      <c r="I1" t="s">
        <v>46</v>
      </c>
      <c r="J1" t="s">
        <v>47</v>
      </c>
    </row>
    <row r="2" spans="1:10" x14ac:dyDescent="0.25">
      <c r="A2" t="s">
        <v>338</v>
      </c>
      <c r="B2" t="s">
        <v>84</v>
      </c>
      <c r="C2" t="s">
        <v>56</v>
      </c>
      <c r="D2" s="3">
        <v>45537</v>
      </c>
      <c r="E2" t="str">
        <f>VLOOKUP(B2,'PROCV GERENTES BD'!A:B,2,0)</f>
        <v>ADMINISTRAÇÃO</v>
      </c>
      <c r="F2" s="4" t="str">
        <f>YEAR(D2)&amp;"-"&amp;TEXT(MONTH(D2),"00")&amp;"-"&amp;IF(DAY(D2)&lt;=15,"1",IF(DAY(D2)&gt;15,"2",""))</f>
        <v>2024-09-1</v>
      </c>
      <c r="G2" t="str">
        <f t="shared" ref="G2:G65" si="0">E2</f>
        <v>ADMINISTRAÇÃO</v>
      </c>
      <c r="H2" t="str">
        <f t="shared" ref="H2:H65" si="1">B2</f>
        <v>ACQUION FOODTECH S/A</v>
      </c>
      <c r="I2">
        <f t="shared" ref="I2:I65" si="2">IF(C2="EXCLUSAO  ANOT.INADIMPLENCIA",1,0)</f>
        <v>0</v>
      </c>
      <c r="J2">
        <f t="shared" ref="J2:J65" si="3">IF(C2="INCLUSAO  ANOT.INADIMPLENCIA",1,0)</f>
        <v>1</v>
      </c>
    </row>
    <row r="3" spans="1:10" x14ac:dyDescent="0.25">
      <c r="A3" t="s">
        <v>339</v>
      </c>
      <c r="B3" t="s">
        <v>85</v>
      </c>
      <c r="C3" t="s">
        <v>56</v>
      </c>
      <c r="D3" s="3">
        <v>45537</v>
      </c>
      <c r="E3" t="str">
        <f>VLOOKUP(B3,'PROCV GERENTES BD'!A:B,2,0)</f>
        <v>ADMINISTRAÇÃO</v>
      </c>
      <c r="F3" s="4" t="str">
        <f t="shared" ref="F3:F66" si="4">YEAR(D3)&amp;"-"&amp;TEXT(MONTH(D3),"00")&amp;"-"&amp;IF(DAY(D3)&lt;=15,"1",IF(DAY(D3)&gt;15,"2",""))</f>
        <v>2024-09-1</v>
      </c>
      <c r="G3" t="str">
        <f t="shared" si="0"/>
        <v>ADMINISTRAÇÃO</v>
      </c>
      <c r="H3" t="str">
        <f t="shared" si="1"/>
        <v>BOM PASTOR PAPEIS LTDA</v>
      </c>
      <c r="I3">
        <f t="shared" si="2"/>
        <v>0</v>
      </c>
      <c r="J3">
        <f t="shared" si="3"/>
        <v>1</v>
      </c>
    </row>
    <row r="4" spans="1:10" x14ac:dyDescent="0.25">
      <c r="A4" t="s">
        <v>326</v>
      </c>
      <c r="B4" t="s">
        <v>86</v>
      </c>
      <c r="C4" t="s">
        <v>56</v>
      </c>
      <c r="D4" s="3">
        <v>45537</v>
      </c>
      <c r="E4" t="str">
        <f>VLOOKUP(B4,'PROCV GERENTES BD'!A:B,2,0)</f>
        <v>CELIO PIMENTA</v>
      </c>
      <c r="F4" s="4" t="str">
        <f t="shared" si="4"/>
        <v>2024-09-1</v>
      </c>
      <c r="G4" t="str">
        <f t="shared" si="0"/>
        <v>CELIO PIMENTA</v>
      </c>
      <c r="H4" t="str">
        <f t="shared" si="1"/>
        <v>IMPORTEXTIL COMERCIO DE TECIDOS LTDA</v>
      </c>
      <c r="I4">
        <f t="shared" si="2"/>
        <v>0</v>
      </c>
      <c r="J4">
        <f t="shared" si="3"/>
        <v>1</v>
      </c>
    </row>
    <row r="5" spans="1:10" x14ac:dyDescent="0.25">
      <c r="A5" t="s">
        <v>318</v>
      </c>
      <c r="B5" t="s">
        <v>87</v>
      </c>
      <c r="C5" t="s">
        <v>56</v>
      </c>
      <c r="D5" s="3">
        <v>45537</v>
      </c>
      <c r="E5" t="str">
        <f>VLOOKUP(B5,'PROCV GERENTES BD'!A:B,2,0)</f>
        <v>CELIO PIMENTA</v>
      </c>
      <c r="F5" s="4" t="str">
        <f t="shared" si="4"/>
        <v>2024-09-1</v>
      </c>
      <c r="G5" t="str">
        <f t="shared" si="0"/>
        <v>CELIO PIMENTA</v>
      </c>
      <c r="H5" t="str">
        <f t="shared" si="1"/>
        <v>MBIOLOG DIAGNOSTICOS LTDA</v>
      </c>
      <c r="I5">
        <f t="shared" si="2"/>
        <v>0</v>
      </c>
      <c r="J5">
        <f t="shared" si="3"/>
        <v>1</v>
      </c>
    </row>
    <row r="6" spans="1:10" x14ac:dyDescent="0.25">
      <c r="A6" t="s">
        <v>340</v>
      </c>
      <c r="B6" t="s">
        <v>87</v>
      </c>
      <c r="C6" t="s">
        <v>72</v>
      </c>
      <c r="D6" s="3">
        <v>45537</v>
      </c>
      <c r="E6" t="str">
        <f>VLOOKUP(B6,'PROCV GERENTES BD'!A:B,2,0)</f>
        <v>CELIO PIMENTA</v>
      </c>
      <c r="F6" s="4" t="str">
        <f t="shared" si="4"/>
        <v>2024-09-1</v>
      </c>
      <c r="G6" t="str">
        <f t="shared" si="0"/>
        <v>CELIO PIMENTA</v>
      </c>
      <c r="H6" t="str">
        <f t="shared" si="1"/>
        <v>MBIOLOG DIAGNOSTICOS LTDA</v>
      </c>
      <c r="I6">
        <f t="shared" si="2"/>
        <v>1</v>
      </c>
      <c r="J6">
        <f t="shared" si="3"/>
        <v>0</v>
      </c>
    </row>
    <row r="7" spans="1:10" x14ac:dyDescent="0.25">
      <c r="A7" t="s">
        <v>60</v>
      </c>
      <c r="B7" t="s">
        <v>61</v>
      </c>
      <c r="C7" t="s">
        <v>56</v>
      </c>
      <c r="D7" s="3">
        <v>45537</v>
      </c>
      <c r="E7" t="str">
        <f>VLOOKUP(B7,'PROCV GERENTES BD'!A:B,2,0)</f>
        <v>CELIO PIMENTA</v>
      </c>
      <c r="F7" s="4" t="str">
        <f t="shared" si="4"/>
        <v>2024-09-1</v>
      </c>
      <c r="G7" t="str">
        <f t="shared" si="0"/>
        <v>CELIO PIMENTA</v>
      </c>
      <c r="H7" t="str">
        <f t="shared" si="1"/>
        <v>WJ CALDEIRARIA INDUSTRIA E COMERCIO LTDA ME</v>
      </c>
      <c r="I7">
        <f t="shared" si="2"/>
        <v>0</v>
      </c>
      <c r="J7">
        <f t="shared" si="3"/>
        <v>1</v>
      </c>
    </row>
    <row r="8" spans="1:10" x14ac:dyDescent="0.25">
      <c r="A8" t="s">
        <v>341</v>
      </c>
      <c r="B8" t="s">
        <v>88</v>
      </c>
      <c r="C8" t="s">
        <v>56</v>
      </c>
      <c r="D8" s="3">
        <v>45537</v>
      </c>
      <c r="E8" t="str">
        <f>VLOOKUP(B8,'PROCV GERENTES BD'!A:B,2,0)</f>
        <v>LUIS GUSTAVO</v>
      </c>
      <c r="F8" s="4" t="str">
        <f t="shared" si="4"/>
        <v>2024-09-1</v>
      </c>
      <c r="G8" t="str">
        <f t="shared" si="0"/>
        <v>LUIS GUSTAVO</v>
      </c>
      <c r="H8" t="str">
        <f t="shared" si="1"/>
        <v>BETMIX CONCRETO LTDA</v>
      </c>
      <c r="I8">
        <f t="shared" si="2"/>
        <v>0</v>
      </c>
      <c r="J8">
        <f t="shared" si="3"/>
        <v>1</v>
      </c>
    </row>
    <row r="9" spans="1:10" x14ac:dyDescent="0.25">
      <c r="A9" t="s">
        <v>342</v>
      </c>
      <c r="B9" t="s">
        <v>88</v>
      </c>
      <c r="C9" t="s">
        <v>72</v>
      </c>
      <c r="D9" s="3">
        <v>45537</v>
      </c>
      <c r="E9" t="str">
        <f>VLOOKUP(B9,'PROCV GERENTES BD'!A:B,2,0)</f>
        <v>LUIS GUSTAVO</v>
      </c>
      <c r="F9" s="4" t="str">
        <f t="shared" si="4"/>
        <v>2024-09-1</v>
      </c>
      <c r="G9" t="str">
        <f t="shared" si="0"/>
        <v>LUIS GUSTAVO</v>
      </c>
      <c r="H9" t="str">
        <f t="shared" si="1"/>
        <v>BETMIX CONCRETO LTDA</v>
      </c>
      <c r="I9">
        <f t="shared" si="2"/>
        <v>1</v>
      </c>
      <c r="J9">
        <f t="shared" si="3"/>
        <v>0</v>
      </c>
    </row>
    <row r="10" spans="1:10" x14ac:dyDescent="0.25">
      <c r="A10" t="s">
        <v>343</v>
      </c>
      <c r="B10" t="s">
        <v>89</v>
      </c>
      <c r="C10" t="s">
        <v>56</v>
      </c>
      <c r="D10" s="3">
        <v>45537</v>
      </c>
      <c r="E10" t="str">
        <f>VLOOKUP(B10,'PROCV GERENTES BD'!A:B,2,0)</f>
        <v>MARCOS SOUZA</v>
      </c>
      <c r="F10" s="4" t="str">
        <f t="shared" si="4"/>
        <v>2024-09-1</v>
      </c>
      <c r="G10" t="str">
        <f t="shared" si="0"/>
        <v>MARCOS SOUZA</v>
      </c>
      <c r="H10" t="str">
        <f t="shared" si="1"/>
        <v>ARCA CONSTRUCOES E INCORPORACOES LTDA</v>
      </c>
      <c r="I10">
        <f t="shared" si="2"/>
        <v>0</v>
      </c>
      <c r="J10">
        <f t="shared" si="3"/>
        <v>1</v>
      </c>
    </row>
    <row r="11" spans="1:10" x14ac:dyDescent="0.25">
      <c r="A11" t="s">
        <v>66</v>
      </c>
      <c r="B11" t="s">
        <v>67</v>
      </c>
      <c r="C11" t="s">
        <v>72</v>
      </c>
      <c r="D11" s="3">
        <v>45537</v>
      </c>
      <c r="E11" t="str">
        <f>VLOOKUP(B11,'PROCV GERENTES BD'!A:B,2,0)</f>
        <v xml:space="preserve">MARCUS VINICIUS </v>
      </c>
      <c r="F11" s="4" t="str">
        <f t="shared" si="4"/>
        <v>2024-09-1</v>
      </c>
      <c r="G11" t="str">
        <f t="shared" si="0"/>
        <v xml:space="preserve">MARCUS VINICIUS </v>
      </c>
      <c r="H11" t="str">
        <f t="shared" si="1"/>
        <v>COM IND DE CEREAIS E TRANSPORTES MACIEL LTDA</v>
      </c>
      <c r="I11">
        <f t="shared" si="2"/>
        <v>1</v>
      </c>
      <c r="J11">
        <f t="shared" si="3"/>
        <v>0</v>
      </c>
    </row>
    <row r="12" spans="1:10" x14ac:dyDescent="0.25">
      <c r="A12" t="s">
        <v>344</v>
      </c>
      <c r="B12" t="s">
        <v>90</v>
      </c>
      <c r="C12" t="s">
        <v>56</v>
      </c>
      <c r="D12" s="3">
        <v>45537</v>
      </c>
      <c r="E12" t="str">
        <f>VLOOKUP(B12,'PROCV GERENTES BD'!A:B,2,0)</f>
        <v>NATALIA NUBIA</v>
      </c>
      <c r="F12" s="4" t="str">
        <f t="shared" si="4"/>
        <v>2024-09-1</v>
      </c>
      <c r="G12" t="str">
        <f t="shared" si="0"/>
        <v>NATALIA NUBIA</v>
      </c>
      <c r="H12" t="str">
        <f t="shared" si="1"/>
        <v>BIOLIFE HEALTH IMPORTACAO E DISTRIBUICAO DE PRODUT</v>
      </c>
      <c r="I12">
        <f t="shared" si="2"/>
        <v>0</v>
      </c>
      <c r="J12">
        <f t="shared" si="3"/>
        <v>1</v>
      </c>
    </row>
    <row r="13" spans="1:10" x14ac:dyDescent="0.25">
      <c r="A13" t="s">
        <v>345</v>
      </c>
      <c r="B13" t="s">
        <v>90</v>
      </c>
      <c r="C13" t="s">
        <v>72</v>
      </c>
      <c r="D13" s="3">
        <v>45537</v>
      </c>
      <c r="E13" t="str">
        <f>VLOOKUP(B13,'PROCV GERENTES BD'!A:B,2,0)</f>
        <v>NATALIA NUBIA</v>
      </c>
      <c r="F13" s="4" t="str">
        <f t="shared" si="4"/>
        <v>2024-09-1</v>
      </c>
      <c r="G13" t="str">
        <f t="shared" si="0"/>
        <v>NATALIA NUBIA</v>
      </c>
      <c r="H13" t="str">
        <f t="shared" si="1"/>
        <v>BIOLIFE HEALTH IMPORTACAO E DISTRIBUICAO DE PRODUT</v>
      </c>
      <c r="I13">
        <f t="shared" si="2"/>
        <v>1</v>
      </c>
      <c r="J13">
        <f t="shared" si="3"/>
        <v>0</v>
      </c>
    </row>
    <row r="14" spans="1:10" x14ac:dyDescent="0.25">
      <c r="A14" t="s">
        <v>346</v>
      </c>
      <c r="B14" t="s">
        <v>91</v>
      </c>
      <c r="C14" t="s">
        <v>56</v>
      </c>
      <c r="D14" s="3">
        <v>45537</v>
      </c>
      <c r="E14" t="str">
        <f>VLOOKUP(B14,'PROCV GERENTES BD'!A:B,2,0)</f>
        <v>NOELI SALETE</v>
      </c>
      <c r="F14" s="4" t="str">
        <f t="shared" si="4"/>
        <v>2024-09-1</v>
      </c>
      <c r="G14" t="str">
        <f t="shared" si="0"/>
        <v>NOELI SALETE</v>
      </c>
      <c r="H14" t="str">
        <f t="shared" si="1"/>
        <v>MASTERVET COMERCIO DE PRODUTOS AGROPECUARIOS LTDA</v>
      </c>
      <c r="I14">
        <f t="shared" si="2"/>
        <v>0</v>
      </c>
      <c r="J14">
        <f t="shared" si="3"/>
        <v>1</v>
      </c>
    </row>
    <row r="15" spans="1:10" x14ac:dyDescent="0.25">
      <c r="A15" t="s">
        <v>347</v>
      </c>
      <c r="B15" t="s">
        <v>93</v>
      </c>
      <c r="C15" t="s">
        <v>56</v>
      </c>
      <c r="D15" s="3">
        <v>45537</v>
      </c>
      <c r="E15" t="str">
        <f>VLOOKUP(B15,'PROCV GERENTES BD'!A:B,2,0)</f>
        <v>NOELI SALETE</v>
      </c>
      <c r="F15" s="4" t="str">
        <f t="shared" si="4"/>
        <v>2024-09-1</v>
      </c>
      <c r="G15" t="str">
        <f t="shared" si="0"/>
        <v>NOELI SALETE</v>
      </c>
      <c r="H15" t="str">
        <f t="shared" si="1"/>
        <v>RODOBOX TRANSPORTES E ARMAZENAGEM DE CARGAS LTDA</v>
      </c>
      <c r="I15">
        <f t="shared" si="2"/>
        <v>0</v>
      </c>
      <c r="J15">
        <f t="shared" si="3"/>
        <v>1</v>
      </c>
    </row>
    <row r="16" spans="1:10" x14ac:dyDescent="0.25">
      <c r="A16" t="s">
        <v>348</v>
      </c>
      <c r="B16" t="s">
        <v>92</v>
      </c>
      <c r="C16" t="s">
        <v>56</v>
      </c>
      <c r="D16" s="3">
        <v>45537</v>
      </c>
      <c r="E16" t="str">
        <f>VLOOKUP(B16,'PROCV GERENTES BD'!A:B,2,0)</f>
        <v>NOELI SALETE</v>
      </c>
      <c r="F16" s="4" t="str">
        <f t="shared" si="4"/>
        <v>2024-09-1</v>
      </c>
      <c r="G16" t="str">
        <f t="shared" si="0"/>
        <v>NOELI SALETE</v>
      </c>
      <c r="H16" t="str">
        <f t="shared" si="1"/>
        <v>MEIO OESTE PAPEIS LTDA ME</v>
      </c>
      <c r="I16">
        <f t="shared" si="2"/>
        <v>0</v>
      </c>
      <c r="J16">
        <f t="shared" si="3"/>
        <v>1</v>
      </c>
    </row>
    <row r="17" spans="1:10" x14ac:dyDescent="0.25">
      <c r="A17" t="s">
        <v>349</v>
      </c>
      <c r="B17" t="s">
        <v>92</v>
      </c>
      <c r="C17" t="s">
        <v>72</v>
      </c>
      <c r="D17" s="3">
        <v>45537</v>
      </c>
      <c r="E17" t="str">
        <f>VLOOKUP(B17,'PROCV GERENTES BD'!A:B,2,0)</f>
        <v>NOELI SALETE</v>
      </c>
      <c r="F17" s="4" t="str">
        <f t="shared" si="4"/>
        <v>2024-09-1</v>
      </c>
      <c r="G17" t="str">
        <f t="shared" si="0"/>
        <v>NOELI SALETE</v>
      </c>
      <c r="H17" t="str">
        <f t="shared" si="1"/>
        <v>MEIO OESTE PAPEIS LTDA ME</v>
      </c>
      <c r="I17">
        <f t="shared" si="2"/>
        <v>1</v>
      </c>
      <c r="J17">
        <f t="shared" si="3"/>
        <v>0</v>
      </c>
    </row>
    <row r="18" spans="1:10" x14ac:dyDescent="0.25">
      <c r="A18" t="s">
        <v>350</v>
      </c>
      <c r="B18" t="s">
        <v>94</v>
      </c>
      <c r="C18" t="s">
        <v>56</v>
      </c>
      <c r="D18" s="3">
        <v>45537</v>
      </c>
      <c r="E18" t="str">
        <f>VLOOKUP(B18,'PROCV GERENTES BD'!A:B,2,0)</f>
        <v>NOELI SALETE</v>
      </c>
      <c r="F18" s="4" t="str">
        <f t="shared" si="4"/>
        <v>2024-09-1</v>
      </c>
      <c r="G18" t="str">
        <f t="shared" si="0"/>
        <v>NOELI SALETE</v>
      </c>
      <c r="H18" t="str">
        <f t="shared" si="1"/>
        <v>TRANSNECHER COMERCIO TRANSPORTES E EMPREENDIMENTOS</v>
      </c>
      <c r="I18">
        <f t="shared" si="2"/>
        <v>0</v>
      </c>
      <c r="J18">
        <f t="shared" si="3"/>
        <v>1</v>
      </c>
    </row>
    <row r="19" spans="1:10" x14ac:dyDescent="0.25">
      <c r="A19" t="s">
        <v>351</v>
      </c>
      <c r="B19" t="s">
        <v>94</v>
      </c>
      <c r="C19" t="s">
        <v>72</v>
      </c>
      <c r="D19" s="3">
        <v>45537</v>
      </c>
      <c r="E19" t="str">
        <f>VLOOKUP(B19,'PROCV GERENTES BD'!A:B,2,0)</f>
        <v>NOELI SALETE</v>
      </c>
      <c r="F19" s="4" t="str">
        <f t="shared" si="4"/>
        <v>2024-09-1</v>
      </c>
      <c r="G19" t="str">
        <f t="shared" si="0"/>
        <v>NOELI SALETE</v>
      </c>
      <c r="H19" t="str">
        <f t="shared" si="1"/>
        <v>TRANSNECHER COMERCIO TRANSPORTES E EMPREENDIMENTOS</v>
      </c>
      <c r="I19">
        <f t="shared" si="2"/>
        <v>1</v>
      </c>
      <c r="J19">
        <f t="shared" si="3"/>
        <v>0</v>
      </c>
    </row>
    <row r="20" spans="1:10" x14ac:dyDescent="0.25">
      <c r="A20" t="s">
        <v>352</v>
      </c>
      <c r="B20" t="s">
        <v>95</v>
      </c>
      <c r="C20" t="s">
        <v>56</v>
      </c>
      <c r="D20" s="3">
        <v>45537</v>
      </c>
      <c r="E20" t="str">
        <f>VLOOKUP(B20,'PROCV GERENTES BD'!A:B,2,0)</f>
        <v>POENATELA</v>
      </c>
      <c r="F20" s="4" t="str">
        <f t="shared" si="4"/>
        <v>2024-09-1</v>
      </c>
      <c r="G20" t="str">
        <f t="shared" si="0"/>
        <v>POENATELA</v>
      </c>
      <c r="H20" t="str">
        <f t="shared" si="1"/>
        <v>CERVEJARIA SOUZA LTDA</v>
      </c>
      <c r="I20">
        <f t="shared" si="2"/>
        <v>0</v>
      </c>
      <c r="J20">
        <f t="shared" si="3"/>
        <v>1</v>
      </c>
    </row>
    <row r="21" spans="1:10" x14ac:dyDescent="0.25">
      <c r="A21" t="s">
        <v>353</v>
      </c>
      <c r="B21" t="s">
        <v>96</v>
      </c>
      <c r="C21" t="s">
        <v>56</v>
      </c>
      <c r="D21" s="3">
        <v>45537</v>
      </c>
      <c r="E21" t="str">
        <f>VLOOKUP(B21,'PROCV GERENTES BD'!A:B,2,0)</f>
        <v>POENATELA</v>
      </c>
      <c r="F21" s="4" t="str">
        <f t="shared" si="4"/>
        <v>2024-09-1</v>
      </c>
      <c r="G21" t="str">
        <f t="shared" si="0"/>
        <v>POENATELA</v>
      </c>
      <c r="H21" t="str">
        <f t="shared" si="1"/>
        <v>GREEN FARMING FAZENDAS RENOVAVEIS LTDA</v>
      </c>
      <c r="I21">
        <f t="shared" si="2"/>
        <v>0</v>
      </c>
      <c r="J21">
        <f t="shared" si="3"/>
        <v>1</v>
      </c>
    </row>
    <row r="22" spans="1:10" x14ac:dyDescent="0.25">
      <c r="A22" t="s">
        <v>354</v>
      </c>
      <c r="B22" t="s">
        <v>97</v>
      </c>
      <c r="C22" t="s">
        <v>56</v>
      </c>
      <c r="D22" s="3">
        <v>45537</v>
      </c>
      <c r="E22" t="str">
        <f>VLOOKUP(B22,'PROCV GERENTES BD'!A:B,2,0)</f>
        <v>POENATELA</v>
      </c>
      <c r="F22" s="4" t="str">
        <f t="shared" si="4"/>
        <v>2024-09-1</v>
      </c>
      <c r="G22" t="str">
        <f t="shared" si="0"/>
        <v>POENATELA</v>
      </c>
      <c r="H22" t="str">
        <f t="shared" si="1"/>
        <v>UBERTEC SERVICE USINAGEM LTDA EPP</v>
      </c>
      <c r="I22">
        <f t="shared" si="2"/>
        <v>0</v>
      </c>
      <c r="J22">
        <f t="shared" si="3"/>
        <v>1</v>
      </c>
    </row>
    <row r="23" spans="1:10" x14ac:dyDescent="0.25">
      <c r="A23" t="s">
        <v>355</v>
      </c>
      <c r="B23" t="s">
        <v>98</v>
      </c>
      <c r="C23" t="s">
        <v>56</v>
      </c>
      <c r="D23" s="3">
        <v>45537</v>
      </c>
      <c r="E23" t="str">
        <f>VLOOKUP(B23,'PROCV GERENTES BD'!A:B,2,0)</f>
        <v>RAFAEL PARISE</v>
      </c>
      <c r="F23" s="4" t="str">
        <f t="shared" si="4"/>
        <v>2024-09-1</v>
      </c>
      <c r="G23" t="str">
        <f t="shared" si="0"/>
        <v>RAFAEL PARISE</v>
      </c>
      <c r="H23" t="str">
        <f t="shared" si="1"/>
        <v>CONSULOC ENGENHARIA LTDA EPP</v>
      </c>
      <c r="I23">
        <f t="shared" si="2"/>
        <v>0</v>
      </c>
      <c r="J23">
        <f t="shared" si="3"/>
        <v>1</v>
      </c>
    </row>
    <row r="24" spans="1:10" x14ac:dyDescent="0.25">
      <c r="A24" t="s">
        <v>356</v>
      </c>
      <c r="B24" t="s">
        <v>99</v>
      </c>
      <c r="C24" t="s">
        <v>56</v>
      </c>
      <c r="D24" s="3">
        <v>45537</v>
      </c>
      <c r="E24" t="str">
        <f>VLOOKUP(B24,'PROCV GERENTES BD'!A:B,2,0)</f>
        <v>WHELKYA IRIS</v>
      </c>
      <c r="F24" s="4" t="str">
        <f t="shared" si="4"/>
        <v>2024-09-1</v>
      </c>
      <c r="G24" t="str">
        <f t="shared" si="0"/>
        <v>WHELKYA IRIS</v>
      </c>
      <c r="H24" t="str">
        <f t="shared" si="1"/>
        <v>DIVINA INDUSTRIA DE COURO LTDA</v>
      </c>
      <c r="I24">
        <f t="shared" si="2"/>
        <v>0</v>
      </c>
      <c r="J24">
        <f t="shared" si="3"/>
        <v>1</v>
      </c>
    </row>
    <row r="25" spans="1:10" x14ac:dyDescent="0.25">
      <c r="A25" t="s">
        <v>357</v>
      </c>
      <c r="B25" t="s">
        <v>100</v>
      </c>
      <c r="C25" t="s">
        <v>56</v>
      </c>
      <c r="D25" s="3">
        <v>45538</v>
      </c>
      <c r="E25" t="str">
        <f>VLOOKUP(B25,'PROCV GERENTES BD'!A:B,2,0)</f>
        <v>ADMINISTRAÇÃO</v>
      </c>
      <c r="F25" s="4" t="str">
        <f t="shared" si="4"/>
        <v>2024-09-1</v>
      </c>
      <c r="G25" t="str">
        <f t="shared" si="0"/>
        <v>ADMINISTRAÇÃO</v>
      </c>
      <c r="H25" t="str">
        <f t="shared" si="1"/>
        <v>MEK SOL FUNDACOES E SERVICOS GEOTECNICOS LTDA EPP</v>
      </c>
      <c r="I25">
        <f t="shared" si="2"/>
        <v>0</v>
      </c>
      <c r="J25">
        <f t="shared" si="3"/>
        <v>1</v>
      </c>
    </row>
    <row r="26" spans="1:10" x14ac:dyDescent="0.25">
      <c r="A26" t="s">
        <v>339</v>
      </c>
      <c r="B26" t="s">
        <v>85</v>
      </c>
      <c r="C26" t="s">
        <v>72</v>
      </c>
      <c r="D26" s="3">
        <v>45538</v>
      </c>
      <c r="E26" t="str">
        <f>VLOOKUP(B26,'PROCV GERENTES BD'!A:B,2,0)</f>
        <v>ADMINISTRAÇÃO</v>
      </c>
      <c r="F26" s="4" t="str">
        <f t="shared" si="4"/>
        <v>2024-09-1</v>
      </c>
      <c r="G26" t="str">
        <f t="shared" si="0"/>
        <v>ADMINISTRAÇÃO</v>
      </c>
      <c r="H26" t="str">
        <f t="shared" si="1"/>
        <v>BOM PASTOR PAPEIS LTDA</v>
      </c>
      <c r="I26">
        <f t="shared" si="2"/>
        <v>1</v>
      </c>
      <c r="J26">
        <f t="shared" si="3"/>
        <v>0</v>
      </c>
    </row>
    <row r="27" spans="1:10" x14ac:dyDescent="0.25">
      <c r="A27" t="s">
        <v>326</v>
      </c>
      <c r="B27" t="s">
        <v>86</v>
      </c>
      <c r="C27" t="s">
        <v>56</v>
      </c>
      <c r="D27" s="3">
        <v>45538</v>
      </c>
      <c r="E27" t="str">
        <f>VLOOKUP(B27,'PROCV GERENTES BD'!A:B,2,0)</f>
        <v>CELIO PIMENTA</v>
      </c>
      <c r="F27" s="4" t="str">
        <f t="shared" si="4"/>
        <v>2024-09-1</v>
      </c>
      <c r="G27" t="str">
        <f t="shared" si="0"/>
        <v>CELIO PIMENTA</v>
      </c>
      <c r="H27" t="str">
        <f t="shared" si="1"/>
        <v>IMPORTEXTIL COMERCIO DE TECIDOS LTDA</v>
      </c>
      <c r="I27">
        <f t="shared" si="2"/>
        <v>0</v>
      </c>
      <c r="J27">
        <f t="shared" si="3"/>
        <v>1</v>
      </c>
    </row>
    <row r="28" spans="1:10" x14ac:dyDescent="0.25">
      <c r="A28" t="s">
        <v>358</v>
      </c>
      <c r="B28" t="s">
        <v>101</v>
      </c>
      <c r="C28" t="s">
        <v>56</v>
      </c>
      <c r="D28" s="3">
        <v>45538</v>
      </c>
      <c r="E28" t="str">
        <f>VLOOKUP(B28,'PROCV GERENTES BD'!A:B,2,0)</f>
        <v>GRUPO OTTO</v>
      </c>
      <c r="F28" s="4" t="str">
        <f t="shared" si="4"/>
        <v>2024-09-1</v>
      </c>
      <c r="G28" t="str">
        <f t="shared" si="0"/>
        <v>GRUPO OTTO</v>
      </c>
      <c r="H28" t="str">
        <f t="shared" si="1"/>
        <v>PLURIFORME INDUSTRIA E COMERCIO DE UNIFORMES LTDA</v>
      </c>
      <c r="I28">
        <f t="shared" si="2"/>
        <v>0</v>
      </c>
      <c r="J28">
        <f t="shared" si="3"/>
        <v>1</v>
      </c>
    </row>
    <row r="29" spans="1:10" x14ac:dyDescent="0.25">
      <c r="A29" t="s">
        <v>341</v>
      </c>
      <c r="B29" t="s">
        <v>88</v>
      </c>
      <c r="C29" t="s">
        <v>72</v>
      </c>
      <c r="D29" s="3">
        <v>45538</v>
      </c>
      <c r="E29" t="str">
        <f>VLOOKUP(B29,'PROCV GERENTES BD'!A:B,2,0)</f>
        <v>LUIS GUSTAVO</v>
      </c>
      <c r="F29" s="4" t="str">
        <f t="shared" si="4"/>
        <v>2024-09-1</v>
      </c>
      <c r="G29" t="str">
        <f t="shared" si="0"/>
        <v>LUIS GUSTAVO</v>
      </c>
      <c r="H29" t="str">
        <f t="shared" si="1"/>
        <v>BETMIX CONCRETO LTDA</v>
      </c>
      <c r="I29">
        <f t="shared" si="2"/>
        <v>1</v>
      </c>
      <c r="J29">
        <f t="shared" si="3"/>
        <v>0</v>
      </c>
    </row>
    <row r="30" spans="1:10" x14ac:dyDescent="0.25">
      <c r="A30" t="s">
        <v>346</v>
      </c>
      <c r="B30" t="s">
        <v>91</v>
      </c>
      <c r="C30" t="s">
        <v>56</v>
      </c>
      <c r="D30" s="3">
        <v>45538</v>
      </c>
      <c r="E30" t="str">
        <f>VLOOKUP(B30,'PROCV GERENTES BD'!A:B,2,0)</f>
        <v>NOELI SALETE</v>
      </c>
      <c r="F30" s="4" t="str">
        <f t="shared" si="4"/>
        <v>2024-09-1</v>
      </c>
      <c r="G30" t="str">
        <f t="shared" si="0"/>
        <v>NOELI SALETE</v>
      </c>
      <c r="H30" t="str">
        <f t="shared" si="1"/>
        <v>MASTERVET COMERCIO DE PRODUTOS AGROPECUARIOS LTDA</v>
      </c>
      <c r="I30">
        <f t="shared" si="2"/>
        <v>0</v>
      </c>
      <c r="J30">
        <f t="shared" si="3"/>
        <v>1</v>
      </c>
    </row>
    <row r="31" spans="1:10" x14ac:dyDescent="0.25">
      <c r="A31" t="s">
        <v>359</v>
      </c>
      <c r="B31" t="s">
        <v>91</v>
      </c>
      <c r="C31" t="s">
        <v>72</v>
      </c>
      <c r="D31" s="3">
        <v>45538</v>
      </c>
      <c r="E31" t="str">
        <f>VLOOKUP(B31,'PROCV GERENTES BD'!A:B,2,0)</f>
        <v>NOELI SALETE</v>
      </c>
      <c r="F31" s="4" t="str">
        <f t="shared" si="4"/>
        <v>2024-09-1</v>
      </c>
      <c r="G31" t="str">
        <f t="shared" si="0"/>
        <v>NOELI SALETE</v>
      </c>
      <c r="H31" t="str">
        <f t="shared" si="1"/>
        <v>MASTERVET COMERCIO DE PRODUTOS AGROPECUARIOS LTDA</v>
      </c>
      <c r="I31">
        <f t="shared" si="2"/>
        <v>1</v>
      </c>
      <c r="J31">
        <f t="shared" si="3"/>
        <v>0</v>
      </c>
    </row>
    <row r="32" spans="1:10" x14ac:dyDescent="0.25">
      <c r="A32" t="s">
        <v>347</v>
      </c>
      <c r="B32" t="s">
        <v>93</v>
      </c>
      <c r="C32" t="s">
        <v>56</v>
      </c>
      <c r="D32" s="3">
        <v>45538</v>
      </c>
      <c r="E32" t="str">
        <f>VLOOKUP(B32,'PROCV GERENTES BD'!A:B,2,0)</f>
        <v>NOELI SALETE</v>
      </c>
      <c r="F32" s="4" t="str">
        <f t="shared" si="4"/>
        <v>2024-09-1</v>
      </c>
      <c r="G32" t="str">
        <f t="shared" si="0"/>
        <v>NOELI SALETE</v>
      </c>
      <c r="H32" t="str">
        <f t="shared" si="1"/>
        <v>RODOBOX TRANSPORTES E ARMAZENAGEM DE CARGAS LTDA</v>
      </c>
      <c r="I32">
        <f t="shared" si="2"/>
        <v>0</v>
      </c>
      <c r="J32">
        <f t="shared" si="3"/>
        <v>1</v>
      </c>
    </row>
    <row r="33" spans="1:10" x14ac:dyDescent="0.25">
      <c r="A33" t="s">
        <v>348</v>
      </c>
      <c r="B33" t="s">
        <v>92</v>
      </c>
      <c r="C33" t="s">
        <v>72</v>
      </c>
      <c r="D33" s="3">
        <v>45538</v>
      </c>
      <c r="E33" t="str">
        <f>VLOOKUP(B33,'PROCV GERENTES BD'!A:B,2,0)</f>
        <v>NOELI SALETE</v>
      </c>
      <c r="F33" s="4" t="str">
        <f t="shared" si="4"/>
        <v>2024-09-1</v>
      </c>
      <c r="G33" t="str">
        <f t="shared" si="0"/>
        <v>NOELI SALETE</v>
      </c>
      <c r="H33" t="str">
        <f t="shared" si="1"/>
        <v>MEIO OESTE PAPEIS LTDA ME</v>
      </c>
      <c r="I33">
        <f t="shared" si="2"/>
        <v>1</v>
      </c>
      <c r="J33">
        <f t="shared" si="3"/>
        <v>0</v>
      </c>
    </row>
    <row r="34" spans="1:10" x14ac:dyDescent="0.25">
      <c r="A34" t="s">
        <v>350</v>
      </c>
      <c r="B34" t="s">
        <v>94</v>
      </c>
      <c r="C34" t="s">
        <v>72</v>
      </c>
      <c r="D34" s="3">
        <v>45538</v>
      </c>
      <c r="E34" t="str">
        <f>VLOOKUP(B34,'PROCV GERENTES BD'!A:B,2,0)</f>
        <v>NOELI SALETE</v>
      </c>
      <c r="F34" s="4" t="str">
        <f t="shared" si="4"/>
        <v>2024-09-1</v>
      </c>
      <c r="G34" t="str">
        <f t="shared" si="0"/>
        <v>NOELI SALETE</v>
      </c>
      <c r="H34" t="str">
        <f t="shared" si="1"/>
        <v>TRANSNECHER COMERCIO TRANSPORTES E EMPREENDIMENTOS</v>
      </c>
      <c r="I34">
        <f t="shared" si="2"/>
        <v>1</v>
      </c>
      <c r="J34">
        <f t="shared" si="3"/>
        <v>0</v>
      </c>
    </row>
    <row r="35" spans="1:10" x14ac:dyDescent="0.25">
      <c r="A35" t="s">
        <v>353</v>
      </c>
      <c r="B35" t="s">
        <v>96</v>
      </c>
      <c r="C35" t="s">
        <v>56</v>
      </c>
      <c r="D35" s="3">
        <v>45538</v>
      </c>
      <c r="E35" t="str">
        <f>VLOOKUP(B35,'PROCV GERENTES BD'!A:B,2,0)</f>
        <v>POENATELA</v>
      </c>
      <c r="F35" s="4" t="str">
        <f t="shared" si="4"/>
        <v>2024-09-1</v>
      </c>
      <c r="G35" t="str">
        <f t="shared" si="0"/>
        <v>POENATELA</v>
      </c>
      <c r="H35" t="str">
        <f t="shared" si="1"/>
        <v>GREEN FARMING FAZENDAS RENOVAVEIS LTDA</v>
      </c>
      <c r="I35">
        <f t="shared" si="2"/>
        <v>0</v>
      </c>
      <c r="J35">
        <f t="shared" si="3"/>
        <v>1</v>
      </c>
    </row>
    <row r="36" spans="1:10" x14ac:dyDescent="0.25">
      <c r="A36" t="s">
        <v>360</v>
      </c>
      <c r="B36" t="s">
        <v>102</v>
      </c>
      <c r="C36" t="s">
        <v>72</v>
      </c>
      <c r="D36" s="3">
        <v>45538</v>
      </c>
      <c r="E36" t="str">
        <f>VLOOKUP(B36,'PROCV GERENTES BD'!A:B,2,0)</f>
        <v>POENATELA</v>
      </c>
      <c r="F36" s="4" t="str">
        <f t="shared" si="4"/>
        <v>2024-09-1</v>
      </c>
      <c r="G36" t="str">
        <f t="shared" si="0"/>
        <v>POENATELA</v>
      </c>
      <c r="H36" t="str">
        <f t="shared" si="1"/>
        <v>SUPER HARD TECNOLOGIA EM TRATAMENTO DE SUPERFICIES</v>
      </c>
      <c r="I36">
        <f t="shared" si="2"/>
        <v>1</v>
      </c>
      <c r="J36">
        <f t="shared" si="3"/>
        <v>0</v>
      </c>
    </row>
    <row r="37" spans="1:10" x14ac:dyDescent="0.25">
      <c r="A37" t="s">
        <v>361</v>
      </c>
      <c r="B37" t="s">
        <v>103</v>
      </c>
      <c r="C37" t="s">
        <v>56</v>
      </c>
      <c r="D37" s="3">
        <v>45538</v>
      </c>
      <c r="E37" t="str">
        <f>VLOOKUP(B37,'PROCV GERENTES BD'!A:B,2,0)</f>
        <v>PRISCILA METZ</v>
      </c>
      <c r="F37" s="4" t="str">
        <f t="shared" si="4"/>
        <v>2024-09-1</v>
      </c>
      <c r="G37" t="str">
        <f t="shared" si="0"/>
        <v>PRISCILA METZ</v>
      </c>
      <c r="H37" t="str">
        <f t="shared" si="1"/>
        <v>ESSENZA INDUSTRIA QUIMICA LTDA</v>
      </c>
      <c r="I37">
        <f t="shared" si="2"/>
        <v>0</v>
      </c>
      <c r="J37">
        <f t="shared" si="3"/>
        <v>1</v>
      </c>
    </row>
    <row r="38" spans="1:10" x14ac:dyDescent="0.25">
      <c r="A38" t="s">
        <v>355</v>
      </c>
      <c r="B38" t="s">
        <v>98</v>
      </c>
      <c r="C38" t="s">
        <v>56</v>
      </c>
      <c r="D38" s="3">
        <v>45538</v>
      </c>
      <c r="E38" t="str">
        <f>VLOOKUP(B38,'PROCV GERENTES BD'!A:B,2,0)</f>
        <v>RAFAEL PARISE</v>
      </c>
      <c r="F38" s="4" t="str">
        <f t="shared" si="4"/>
        <v>2024-09-1</v>
      </c>
      <c r="G38" t="str">
        <f t="shared" si="0"/>
        <v>RAFAEL PARISE</v>
      </c>
      <c r="H38" t="str">
        <f t="shared" si="1"/>
        <v>CONSULOC ENGENHARIA LTDA EPP</v>
      </c>
      <c r="I38">
        <f t="shared" si="2"/>
        <v>0</v>
      </c>
      <c r="J38">
        <f t="shared" si="3"/>
        <v>1</v>
      </c>
    </row>
    <row r="39" spans="1:10" x14ac:dyDescent="0.25">
      <c r="A39" t="s">
        <v>321</v>
      </c>
      <c r="B39" t="s">
        <v>104</v>
      </c>
      <c r="C39" t="s">
        <v>72</v>
      </c>
      <c r="D39" s="3">
        <v>45538</v>
      </c>
      <c r="E39" t="str">
        <f>VLOOKUP(B39,'PROCV GERENTES BD'!A:B,2,0)</f>
        <v>THAYNA/COMERCIAL</v>
      </c>
      <c r="F39" s="4" t="str">
        <f t="shared" si="4"/>
        <v>2024-09-1</v>
      </c>
      <c r="G39" t="str">
        <f t="shared" si="0"/>
        <v>THAYNA/COMERCIAL</v>
      </c>
      <c r="H39" t="str">
        <f t="shared" si="1"/>
        <v>MUTCD CENTRO DISTRIBUICAO IND FABRICANTE COSMETICO</v>
      </c>
      <c r="I39">
        <f t="shared" si="2"/>
        <v>1</v>
      </c>
      <c r="J39">
        <f t="shared" si="3"/>
        <v>0</v>
      </c>
    </row>
    <row r="40" spans="1:10" x14ac:dyDescent="0.25">
      <c r="A40" t="s">
        <v>356</v>
      </c>
      <c r="B40" t="s">
        <v>99</v>
      </c>
      <c r="C40" t="s">
        <v>56</v>
      </c>
      <c r="D40" s="3">
        <v>45538</v>
      </c>
      <c r="E40" t="str">
        <f>VLOOKUP(B40,'PROCV GERENTES BD'!A:B,2,0)</f>
        <v>WHELKYA IRIS</v>
      </c>
      <c r="F40" s="4" t="str">
        <f t="shared" si="4"/>
        <v>2024-09-1</v>
      </c>
      <c r="G40" t="str">
        <f t="shared" si="0"/>
        <v>WHELKYA IRIS</v>
      </c>
      <c r="H40" t="str">
        <f t="shared" si="1"/>
        <v>DIVINA INDUSTRIA DE COURO LTDA</v>
      </c>
      <c r="I40">
        <f t="shared" si="2"/>
        <v>0</v>
      </c>
      <c r="J40">
        <f t="shared" si="3"/>
        <v>1</v>
      </c>
    </row>
    <row r="41" spans="1:10" x14ac:dyDescent="0.25">
      <c r="A41" t="s">
        <v>362</v>
      </c>
      <c r="B41" t="s">
        <v>105</v>
      </c>
      <c r="C41" t="s">
        <v>72</v>
      </c>
      <c r="D41" s="3">
        <v>45539</v>
      </c>
      <c r="E41" t="str">
        <f>VLOOKUP(B41,'PROCV GERENTES BD'!A:B,2,0)</f>
        <v>ADMINISTRAÇÃO</v>
      </c>
      <c r="F41" s="4" t="str">
        <f t="shared" si="4"/>
        <v>2024-09-1</v>
      </c>
      <c r="G41" t="str">
        <f t="shared" si="0"/>
        <v>ADMINISTRAÇÃO</v>
      </c>
      <c r="H41" t="str">
        <f t="shared" si="1"/>
        <v>COLIBRI IND MEDIC SUPLEMENTOS PARA PECUARIA VETERI</v>
      </c>
      <c r="I41">
        <f t="shared" si="2"/>
        <v>1</v>
      </c>
      <c r="J41">
        <f t="shared" si="3"/>
        <v>0</v>
      </c>
    </row>
    <row r="42" spans="1:10" x14ac:dyDescent="0.25">
      <c r="A42" t="s">
        <v>363</v>
      </c>
      <c r="B42" t="s">
        <v>106</v>
      </c>
      <c r="C42" t="s">
        <v>56</v>
      </c>
      <c r="D42" s="3">
        <v>45539</v>
      </c>
      <c r="E42" t="str">
        <f>VLOOKUP(B42,'PROCV GERENTES BD'!A:B,2,0)</f>
        <v>ADMINISTRAÇÃO</v>
      </c>
      <c r="F42" s="4" t="str">
        <f t="shared" si="4"/>
        <v>2024-09-1</v>
      </c>
      <c r="G42" t="str">
        <f t="shared" si="0"/>
        <v>ADMINISTRAÇÃO</v>
      </c>
      <c r="H42" t="str">
        <f t="shared" si="1"/>
        <v>DECISION DESENVOLVIMENTO DE SISTEMAS LTDA</v>
      </c>
      <c r="I42">
        <f t="shared" si="2"/>
        <v>0</v>
      </c>
      <c r="J42">
        <f t="shared" si="3"/>
        <v>1</v>
      </c>
    </row>
    <row r="43" spans="1:10" x14ac:dyDescent="0.25">
      <c r="A43" t="s">
        <v>364</v>
      </c>
      <c r="B43" t="s">
        <v>107</v>
      </c>
      <c r="C43" t="s">
        <v>72</v>
      </c>
      <c r="D43" s="3">
        <v>45539</v>
      </c>
      <c r="E43" t="str">
        <f>VLOOKUP(B43,'PROCV GERENTES BD'!A:B,2,0)</f>
        <v>ANTONIO CARLOS</v>
      </c>
      <c r="F43" s="4" t="str">
        <f t="shared" si="4"/>
        <v>2024-09-1</v>
      </c>
      <c r="G43" t="str">
        <f t="shared" si="0"/>
        <v>ANTONIO CARLOS</v>
      </c>
      <c r="H43" t="str">
        <f t="shared" si="1"/>
        <v>RPT SOLUCOES AMBIENTAIS LTDA</v>
      </c>
      <c r="I43">
        <f t="shared" si="2"/>
        <v>1</v>
      </c>
      <c r="J43">
        <f t="shared" si="3"/>
        <v>0</v>
      </c>
    </row>
    <row r="44" spans="1:10" x14ac:dyDescent="0.25">
      <c r="A44" t="s">
        <v>326</v>
      </c>
      <c r="B44" t="s">
        <v>86</v>
      </c>
      <c r="C44" t="s">
        <v>72</v>
      </c>
      <c r="D44" s="3">
        <v>45539</v>
      </c>
      <c r="E44" t="str">
        <f>VLOOKUP(B44,'PROCV GERENTES BD'!A:B,2,0)</f>
        <v>CELIO PIMENTA</v>
      </c>
      <c r="F44" s="4" t="str">
        <f t="shared" si="4"/>
        <v>2024-09-1</v>
      </c>
      <c r="G44" t="str">
        <f t="shared" si="0"/>
        <v>CELIO PIMENTA</v>
      </c>
      <c r="H44" t="str">
        <f t="shared" si="1"/>
        <v>IMPORTEXTIL COMERCIO DE TECIDOS LTDA</v>
      </c>
      <c r="I44">
        <f t="shared" si="2"/>
        <v>1</v>
      </c>
      <c r="J44">
        <f t="shared" si="3"/>
        <v>0</v>
      </c>
    </row>
    <row r="45" spans="1:10" x14ac:dyDescent="0.25">
      <c r="A45" t="s">
        <v>358</v>
      </c>
      <c r="B45" t="s">
        <v>101</v>
      </c>
      <c r="C45" t="s">
        <v>72</v>
      </c>
      <c r="D45" s="3">
        <v>45539</v>
      </c>
      <c r="E45" t="str">
        <f>VLOOKUP(B45,'PROCV GERENTES BD'!A:B,2,0)</f>
        <v>GRUPO OTTO</v>
      </c>
      <c r="F45" s="4" t="str">
        <f t="shared" si="4"/>
        <v>2024-09-1</v>
      </c>
      <c r="G45" t="str">
        <f t="shared" si="0"/>
        <v>GRUPO OTTO</v>
      </c>
      <c r="H45" t="str">
        <f t="shared" si="1"/>
        <v>PLURIFORME INDUSTRIA E COMERCIO DE UNIFORMES LTDA</v>
      </c>
      <c r="I45">
        <f t="shared" si="2"/>
        <v>1</v>
      </c>
      <c r="J45">
        <f t="shared" si="3"/>
        <v>0</v>
      </c>
    </row>
    <row r="46" spans="1:10" x14ac:dyDescent="0.25">
      <c r="A46" t="s">
        <v>348</v>
      </c>
      <c r="B46" t="s">
        <v>92</v>
      </c>
      <c r="C46" t="s">
        <v>72</v>
      </c>
      <c r="D46" s="3">
        <v>45539</v>
      </c>
      <c r="E46" t="str">
        <f>VLOOKUP(B46,'PROCV GERENTES BD'!A:B,2,0)</f>
        <v>NOELI SALETE</v>
      </c>
      <c r="F46" s="4" t="str">
        <f t="shared" si="4"/>
        <v>2024-09-1</v>
      </c>
      <c r="G46" t="str">
        <f t="shared" si="0"/>
        <v>NOELI SALETE</v>
      </c>
      <c r="H46" t="str">
        <f t="shared" si="1"/>
        <v>MEIO OESTE PAPEIS LTDA ME</v>
      </c>
      <c r="I46">
        <f t="shared" si="2"/>
        <v>1</v>
      </c>
      <c r="J46">
        <f t="shared" si="3"/>
        <v>0</v>
      </c>
    </row>
    <row r="47" spans="1:10" x14ac:dyDescent="0.25">
      <c r="A47" t="s">
        <v>352</v>
      </c>
      <c r="B47" t="s">
        <v>95</v>
      </c>
      <c r="C47" t="s">
        <v>72</v>
      </c>
      <c r="D47" s="3">
        <v>45539</v>
      </c>
      <c r="E47" t="str">
        <f>VLOOKUP(B47,'PROCV GERENTES BD'!A:B,2,0)</f>
        <v>POENATELA</v>
      </c>
      <c r="F47" s="4" t="str">
        <f t="shared" si="4"/>
        <v>2024-09-1</v>
      </c>
      <c r="G47" t="str">
        <f t="shared" si="0"/>
        <v>POENATELA</v>
      </c>
      <c r="H47" t="str">
        <f t="shared" si="1"/>
        <v>CERVEJARIA SOUZA LTDA</v>
      </c>
      <c r="I47">
        <f t="shared" si="2"/>
        <v>1</v>
      </c>
      <c r="J47">
        <f t="shared" si="3"/>
        <v>0</v>
      </c>
    </row>
    <row r="48" spans="1:10" x14ac:dyDescent="0.25">
      <c r="A48" t="s">
        <v>314</v>
      </c>
      <c r="B48" t="s">
        <v>108</v>
      </c>
      <c r="C48" t="s">
        <v>72</v>
      </c>
      <c r="D48" s="3">
        <v>45539</v>
      </c>
      <c r="E48" t="str">
        <f>VLOOKUP(B48,'PROCV GERENTES BD'!A:B,2,0)</f>
        <v>POENATELA</v>
      </c>
      <c r="F48" s="4" t="str">
        <f t="shared" si="4"/>
        <v>2024-09-1</v>
      </c>
      <c r="G48" t="str">
        <f t="shared" si="0"/>
        <v>POENATELA</v>
      </c>
      <c r="H48" t="str">
        <f t="shared" si="1"/>
        <v>ECOPINUS INDUSTRIA E COMERCIO DE EMBALAGENS DE MAD</v>
      </c>
      <c r="I48">
        <f t="shared" si="2"/>
        <v>1</v>
      </c>
      <c r="J48">
        <f t="shared" si="3"/>
        <v>0</v>
      </c>
    </row>
    <row r="49" spans="1:10" x14ac:dyDescent="0.25">
      <c r="A49" t="s">
        <v>355</v>
      </c>
      <c r="B49" t="s">
        <v>98</v>
      </c>
      <c r="C49" t="s">
        <v>56</v>
      </c>
      <c r="D49" s="3">
        <v>45539</v>
      </c>
      <c r="E49" t="str">
        <f>VLOOKUP(B49,'PROCV GERENTES BD'!A:B,2,0)</f>
        <v>RAFAEL PARISE</v>
      </c>
      <c r="F49" s="4" t="str">
        <f t="shared" si="4"/>
        <v>2024-09-1</v>
      </c>
      <c r="G49" t="str">
        <f t="shared" si="0"/>
        <v>RAFAEL PARISE</v>
      </c>
      <c r="H49" t="str">
        <f t="shared" si="1"/>
        <v>CONSULOC ENGENHARIA LTDA EPP</v>
      </c>
      <c r="I49">
        <f t="shared" si="2"/>
        <v>0</v>
      </c>
      <c r="J49">
        <f t="shared" si="3"/>
        <v>1</v>
      </c>
    </row>
    <row r="50" spans="1:10" x14ac:dyDescent="0.25">
      <c r="A50" t="s">
        <v>365</v>
      </c>
      <c r="B50" t="s">
        <v>109</v>
      </c>
      <c r="C50" t="s">
        <v>72</v>
      </c>
      <c r="D50" s="3">
        <v>45540</v>
      </c>
      <c r="E50" t="str">
        <f>VLOOKUP(B50,'PROCV GERENTES BD'!A:B,2,0)</f>
        <v>ADMINISTRAÇÃO</v>
      </c>
      <c r="F50" s="4" t="str">
        <f t="shared" si="4"/>
        <v>2024-09-1</v>
      </c>
      <c r="G50" t="str">
        <f t="shared" si="0"/>
        <v>ADMINISTRAÇÃO</v>
      </c>
      <c r="H50" t="str">
        <f t="shared" si="1"/>
        <v>MAPE TRATAMENTO DE RESIDUOS LTDA</v>
      </c>
      <c r="I50">
        <f t="shared" si="2"/>
        <v>1</v>
      </c>
      <c r="J50">
        <f t="shared" si="3"/>
        <v>0</v>
      </c>
    </row>
    <row r="51" spans="1:10" x14ac:dyDescent="0.25">
      <c r="A51" t="s">
        <v>363</v>
      </c>
      <c r="B51" t="s">
        <v>106</v>
      </c>
      <c r="C51" t="s">
        <v>72</v>
      </c>
      <c r="D51" s="3">
        <v>45540</v>
      </c>
      <c r="E51" t="str">
        <f>VLOOKUP(B51,'PROCV GERENTES BD'!A:B,2,0)</f>
        <v>ADMINISTRAÇÃO</v>
      </c>
      <c r="F51" s="4" t="str">
        <f t="shared" si="4"/>
        <v>2024-09-1</v>
      </c>
      <c r="G51" t="str">
        <f t="shared" si="0"/>
        <v>ADMINISTRAÇÃO</v>
      </c>
      <c r="H51" t="str">
        <f t="shared" si="1"/>
        <v>DECISION DESENVOLVIMENTO DE SISTEMAS LTDA</v>
      </c>
      <c r="I51">
        <f t="shared" si="2"/>
        <v>1</v>
      </c>
      <c r="J51">
        <f t="shared" si="3"/>
        <v>0</v>
      </c>
    </row>
    <row r="52" spans="1:10" x14ac:dyDescent="0.25">
      <c r="A52" t="s">
        <v>311</v>
      </c>
      <c r="B52" t="s">
        <v>110</v>
      </c>
      <c r="C52" t="s">
        <v>56</v>
      </c>
      <c r="D52" s="3">
        <v>45540</v>
      </c>
      <c r="E52" t="str">
        <f>VLOOKUP(B52,'PROCV GERENTES BD'!A:B,2,0)</f>
        <v>ANTONIO CARLOS</v>
      </c>
      <c r="F52" s="4" t="str">
        <f t="shared" si="4"/>
        <v>2024-09-1</v>
      </c>
      <c r="G52" t="str">
        <f t="shared" si="0"/>
        <v>ANTONIO CARLOS</v>
      </c>
      <c r="H52" t="str">
        <f t="shared" si="1"/>
        <v>VIC LOGISTICA LTDA</v>
      </c>
      <c r="I52">
        <f t="shared" si="2"/>
        <v>0</v>
      </c>
      <c r="J52">
        <f t="shared" si="3"/>
        <v>1</v>
      </c>
    </row>
    <row r="53" spans="1:10" x14ac:dyDescent="0.25">
      <c r="A53" t="s">
        <v>60</v>
      </c>
      <c r="B53" t="s">
        <v>61</v>
      </c>
      <c r="C53" t="s">
        <v>56</v>
      </c>
      <c r="D53" s="3">
        <v>45540</v>
      </c>
      <c r="E53" t="str">
        <f>VLOOKUP(B53,'PROCV GERENTES BD'!A:B,2,0)</f>
        <v>CELIO PIMENTA</v>
      </c>
      <c r="F53" s="4" t="str">
        <f t="shared" si="4"/>
        <v>2024-09-1</v>
      </c>
      <c r="G53" t="str">
        <f t="shared" si="0"/>
        <v>CELIO PIMENTA</v>
      </c>
      <c r="H53" t="str">
        <f t="shared" si="1"/>
        <v>WJ CALDEIRARIA INDUSTRIA E COMERCIO LTDA ME</v>
      </c>
      <c r="I53">
        <f t="shared" si="2"/>
        <v>0</v>
      </c>
      <c r="J53">
        <f t="shared" si="3"/>
        <v>1</v>
      </c>
    </row>
    <row r="54" spans="1:10" x14ac:dyDescent="0.25">
      <c r="A54" t="s">
        <v>366</v>
      </c>
      <c r="B54" t="s">
        <v>111</v>
      </c>
      <c r="C54" t="s">
        <v>56</v>
      </c>
      <c r="D54" s="3">
        <v>45540</v>
      </c>
      <c r="E54" t="str">
        <f>VLOOKUP(B54,'PROCV GERENTES BD'!A:B,2,0)</f>
        <v>DIOGO AZEVEDO</v>
      </c>
      <c r="F54" s="4" t="str">
        <f t="shared" si="4"/>
        <v>2024-09-1</v>
      </c>
      <c r="G54" t="str">
        <f t="shared" si="0"/>
        <v>DIOGO AZEVEDO</v>
      </c>
      <c r="H54" t="str">
        <f t="shared" si="1"/>
        <v>INDUSTRIA E CERVEJARIA ARTESANAL DE MINAS GERAIS L</v>
      </c>
      <c r="I54">
        <f t="shared" si="2"/>
        <v>0</v>
      </c>
      <c r="J54">
        <f t="shared" si="3"/>
        <v>1</v>
      </c>
    </row>
    <row r="55" spans="1:10" x14ac:dyDescent="0.25">
      <c r="A55" t="s">
        <v>367</v>
      </c>
      <c r="B55" t="s">
        <v>112</v>
      </c>
      <c r="C55" t="s">
        <v>72</v>
      </c>
      <c r="D55" s="3">
        <v>45540</v>
      </c>
      <c r="E55" t="str">
        <f>VLOOKUP(B55,'PROCV GERENTES BD'!A:B,2,0)</f>
        <v>FITZ</v>
      </c>
      <c r="F55" s="4" t="str">
        <f t="shared" si="4"/>
        <v>2024-09-1</v>
      </c>
      <c r="G55" t="str">
        <f t="shared" si="0"/>
        <v>FITZ</v>
      </c>
      <c r="H55" t="str">
        <f t="shared" si="1"/>
        <v>ALEXANDRE ROSA VICENTE E SERVICOS LTDA ME</v>
      </c>
      <c r="I55">
        <f t="shared" si="2"/>
        <v>1</v>
      </c>
      <c r="J55">
        <f t="shared" si="3"/>
        <v>0</v>
      </c>
    </row>
    <row r="56" spans="1:10" x14ac:dyDescent="0.25">
      <c r="A56" t="s">
        <v>346</v>
      </c>
      <c r="B56" t="s">
        <v>91</v>
      </c>
      <c r="C56" t="s">
        <v>56</v>
      </c>
      <c r="D56" s="3">
        <v>45540</v>
      </c>
      <c r="E56" t="str">
        <f>VLOOKUP(B56,'PROCV GERENTES BD'!A:B,2,0)</f>
        <v>NOELI SALETE</v>
      </c>
      <c r="F56" s="4" t="str">
        <f t="shared" si="4"/>
        <v>2024-09-1</v>
      </c>
      <c r="G56" t="str">
        <f t="shared" si="0"/>
        <v>NOELI SALETE</v>
      </c>
      <c r="H56" t="str">
        <f t="shared" si="1"/>
        <v>MASTERVET COMERCIO DE PRODUTOS AGROPECUARIOS LTDA</v>
      </c>
      <c r="I56">
        <f t="shared" si="2"/>
        <v>0</v>
      </c>
      <c r="J56">
        <f t="shared" si="3"/>
        <v>1</v>
      </c>
    </row>
    <row r="57" spans="1:10" x14ac:dyDescent="0.25">
      <c r="A57" t="s">
        <v>359</v>
      </c>
      <c r="B57" t="s">
        <v>91</v>
      </c>
      <c r="C57" t="s">
        <v>72</v>
      </c>
      <c r="D57" s="3">
        <v>45540</v>
      </c>
      <c r="E57" t="str">
        <f>VLOOKUP(B57,'PROCV GERENTES BD'!A:B,2,0)</f>
        <v>NOELI SALETE</v>
      </c>
      <c r="F57" s="4" t="str">
        <f t="shared" si="4"/>
        <v>2024-09-1</v>
      </c>
      <c r="G57" t="str">
        <f t="shared" si="0"/>
        <v>NOELI SALETE</v>
      </c>
      <c r="H57" t="str">
        <f t="shared" si="1"/>
        <v>MASTERVET COMERCIO DE PRODUTOS AGROPECUARIOS LTDA</v>
      </c>
      <c r="I57">
        <f t="shared" si="2"/>
        <v>1</v>
      </c>
      <c r="J57">
        <f t="shared" si="3"/>
        <v>0</v>
      </c>
    </row>
    <row r="58" spans="1:10" x14ac:dyDescent="0.25">
      <c r="A58" t="s">
        <v>347</v>
      </c>
      <c r="B58" t="s">
        <v>93</v>
      </c>
      <c r="C58" t="s">
        <v>72</v>
      </c>
      <c r="D58" s="3">
        <v>45540</v>
      </c>
      <c r="E58" t="str">
        <f>VLOOKUP(B58,'PROCV GERENTES BD'!A:B,2,0)</f>
        <v>NOELI SALETE</v>
      </c>
      <c r="F58" s="4" t="str">
        <f t="shared" si="4"/>
        <v>2024-09-1</v>
      </c>
      <c r="G58" t="str">
        <f t="shared" si="0"/>
        <v>NOELI SALETE</v>
      </c>
      <c r="H58" t="str">
        <f t="shared" si="1"/>
        <v>RODOBOX TRANSPORTES E ARMAZENAGEM DE CARGAS LTDA</v>
      </c>
      <c r="I58">
        <f t="shared" si="2"/>
        <v>1</v>
      </c>
      <c r="J58">
        <f t="shared" si="3"/>
        <v>0</v>
      </c>
    </row>
    <row r="59" spans="1:10" x14ac:dyDescent="0.25">
      <c r="A59" t="s">
        <v>348</v>
      </c>
      <c r="B59" t="s">
        <v>92</v>
      </c>
      <c r="C59" t="s">
        <v>56</v>
      </c>
      <c r="D59" s="3">
        <v>45540</v>
      </c>
      <c r="E59" t="str">
        <f>VLOOKUP(B59,'PROCV GERENTES BD'!A:B,2,0)</f>
        <v>NOELI SALETE</v>
      </c>
      <c r="F59" s="4" t="str">
        <f t="shared" si="4"/>
        <v>2024-09-1</v>
      </c>
      <c r="G59" t="str">
        <f t="shared" si="0"/>
        <v>NOELI SALETE</v>
      </c>
      <c r="H59" t="str">
        <f t="shared" si="1"/>
        <v>MEIO OESTE PAPEIS LTDA ME</v>
      </c>
      <c r="I59">
        <f t="shared" si="2"/>
        <v>0</v>
      </c>
      <c r="J59">
        <f t="shared" si="3"/>
        <v>1</v>
      </c>
    </row>
    <row r="60" spans="1:10" x14ac:dyDescent="0.25">
      <c r="A60" t="s">
        <v>350</v>
      </c>
      <c r="B60" t="s">
        <v>94</v>
      </c>
      <c r="C60" t="s">
        <v>56</v>
      </c>
      <c r="D60" s="3">
        <v>45540</v>
      </c>
      <c r="E60" t="str">
        <f>VLOOKUP(B60,'PROCV GERENTES BD'!A:B,2,0)</f>
        <v>NOELI SALETE</v>
      </c>
      <c r="F60" s="4" t="str">
        <f t="shared" si="4"/>
        <v>2024-09-1</v>
      </c>
      <c r="G60" t="str">
        <f t="shared" si="0"/>
        <v>NOELI SALETE</v>
      </c>
      <c r="H60" t="str">
        <f t="shared" si="1"/>
        <v>TRANSNECHER COMERCIO TRANSPORTES E EMPREENDIMENTOS</v>
      </c>
      <c r="I60">
        <f t="shared" si="2"/>
        <v>0</v>
      </c>
      <c r="J60">
        <f t="shared" si="3"/>
        <v>1</v>
      </c>
    </row>
    <row r="61" spans="1:10" x14ac:dyDescent="0.25">
      <c r="A61" t="s">
        <v>351</v>
      </c>
      <c r="B61" t="s">
        <v>94</v>
      </c>
      <c r="C61" t="s">
        <v>72</v>
      </c>
      <c r="D61" s="3">
        <v>45540</v>
      </c>
      <c r="E61" t="str">
        <f>VLOOKUP(B61,'PROCV GERENTES BD'!A:B,2,0)</f>
        <v>NOELI SALETE</v>
      </c>
      <c r="F61" s="4" t="str">
        <f t="shared" si="4"/>
        <v>2024-09-1</v>
      </c>
      <c r="G61" t="str">
        <f t="shared" si="0"/>
        <v>NOELI SALETE</v>
      </c>
      <c r="H61" t="str">
        <f t="shared" si="1"/>
        <v>TRANSNECHER COMERCIO TRANSPORTES E EMPREENDIMENTOS</v>
      </c>
      <c r="I61">
        <f t="shared" si="2"/>
        <v>1</v>
      </c>
      <c r="J61">
        <f t="shared" si="3"/>
        <v>0</v>
      </c>
    </row>
    <row r="62" spans="1:10" x14ac:dyDescent="0.25">
      <c r="A62" t="s">
        <v>353</v>
      </c>
      <c r="B62" t="s">
        <v>96</v>
      </c>
      <c r="C62" t="s">
        <v>56</v>
      </c>
      <c r="D62" s="3">
        <v>45540</v>
      </c>
      <c r="E62" t="str">
        <f>VLOOKUP(B62,'PROCV GERENTES BD'!A:B,2,0)</f>
        <v>POENATELA</v>
      </c>
      <c r="F62" s="4" t="str">
        <f t="shared" si="4"/>
        <v>2024-09-1</v>
      </c>
      <c r="G62" t="str">
        <f t="shared" si="0"/>
        <v>POENATELA</v>
      </c>
      <c r="H62" t="str">
        <f t="shared" si="1"/>
        <v>GREEN FARMING FAZENDAS RENOVAVEIS LTDA</v>
      </c>
      <c r="I62">
        <f t="shared" si="2"/>
        <v>0</v>
      </c>
      <c r="J62">
        <f t="shared" si="3"/>
        <v>1</v>
      </c>
    </row>
    <row r="63" spans="1:10" x14ac:dyDescent="0.25">
      <c r="A63" t="s">
        <v>368</v>
      </c>
      <c r="B63" t="s">
        <v>96</v>
      </c>
      <c r="C63" t="s">
        <v>72</v>
      </c>
      <c r="D63" s="3">
        <v>45540</v>
      </c>
      <c r="E63" t="str">
        <f>VLOOKUP(B63,'PROCV GERENTES BD'!A:B,2,0)</f>
        <v>POENATELA</v>
      </c>
      <c r="F63" s="4" t="str">
        <f t="shared" si="4"/>
        <v>2024-09-1</v>
      </c>
      <c r="G63" t="str">
        <f t="shared" si="0"/>
        <v>POENATELA</v>
      </c>
      <c r="H63" t="str">
        <f t="shared" si="1"/>
        <v>GREEN FARMING FAZENDAS RENOVAVEIS LTDA</v>
      </c>
      <c r="I63">
        <f t="shared" si="2"/>
        <v>1</v>
      </c>
      <c r="J63">
        <f t="shared" si="3"/>
        <v>0</v>
      </c>
    </row>
    <row r="64" spans="1:10" x14ac:dyDescent="0.25">
      <c r="A64" t="s">
        <v>354</v>
      </c>
      <c r="B64" t="s">
        <v>97</v>
      </c>
      <c r="C64" t="s">
        <v>56</v>
      </c>
      <c r="D64" s="3">
        <v>45540</v>
      </c>
      <c r="E64" t="str">
        <f>VLOOKUP(B64,'PROCV GERENTES BD'!A:B,2,0)</f>
        <v>POENATELA</v>
      </c>
      <c r="F64" s="4" t="str">
        <f t="shared" si="4"/>
        <v>2024-09-1</v>
      </c>
      <c r="G64" t="str">
        <f t="shared" si="0"/>
        <v>POENATELA</v>
      </c>
      <c r="H64" t="str">
        <f t="shared" si="1"/>
        <v>UBERTEC SERVICE USINAGEM LTDA EPP</v>
      </c>
      <c r="I64">
        <f t="shared" si="2"/>
        <v>0</v>
      </c>
      <c r="J64">
        <f t="shared" si="3"/>
        <v>1</v>
      </c>
    </row>
    <row r="65" spans="1:10" x14ac:dyDescent="0.25">
      <c r="A65" t="s">
        <v>361</v>
      </c>
      <c r="B65" t="s">
        <v>103</v>
      </c>
      <c r="C65" t="s">
        <v>56</v>
      </c>
      <c r="D65" s="3">
        <v>45540</v>
      </c>
      <c r="E65" t="str">
        <f>VLOOKUP(B65,'PROCV GERENTES BD'!A:B,2,0)</f>
        <v>PRISCILA METZ</v>
      </c>
      <c r="F65" s="4" t="str">
        <f t="shared" si="4"/>
        <v>2024-09-1</v>
      </c>
      <c r="G65" t="str">
        <f t="shared" si="0"/>
        <v>PRISCILA METZ</v>
      </c>
      <c r="H65" t="str">
        <f t="shared" si="1"/>
        <v>ESSENZA INDUSTRIA QUIMICA LTDA</v>
      </c>
      <c r="I65">
        <f t="shared" si="2"/>
        <v>0</v>
      </c>
      <c r="J65">
        <f t="shared" si="3"/>
        <v>1</v>
      </c>
    </row>
    <row r="66" spans="1:10" x14ac:dyDescent="0.25">
      <c r="A66" t="s">
        <v>369</v>
      </c>
      <c r="B66" t="s">
        <v>113</v>
      </c>
      <c r="C66" t="s">
        <v>72</v>
      </c>
      <c r="D66" s="3">
        <v>45540</v>
      </c>
      <c r="E66" t="str">
        <f>VLOOKUP(B66,'PROCV GERENTES BD'!A:B,2,0)</f>
        <v>PRISCILA METZ</v>
      </c>
      <c r="F66" s="4" t="str">
        <f t="shared" si="4"/>
        <v>2024-09-1</v>
      </c>
      <c r="G66" t="str">
        <f t="shared" ref="G66:G129" si="5">E66</f>
        <v>PRISCILA METZ</v>
      </c>
      <c r="H66" t="str">
        <f t="shared" ref="H66:H129" si="6">B66</f>
        <v>HERBAMED LABORATORIO NUTRACEUTICO LTDA</v>
      </c>
      <c r="I66">
        <f t="shared" ref="I66:I129" si="7">IF(C66="EXCLUSAO  ANOT.INADIMPLENCIA",1,0)</f>
        <v>1</v>
      </c>
      <c r="J66">
        <f t="shared" ref="J66:J129" si="8">IF(C66="INCLUSAO  ANOT.INADIMPLENCIA",1,0)</f>
        <v>0</v>
      </c>
    </row>
    <row r="67" spans="1:10" x14ac:dyDescent="0.25">
      <c r="A67" t="s">
        <v>355</v>
      </c>
      <c r="B67" t="s">
        <v>98</v>
      </c>
      <c r="C67" t="s">
        <v>56</v>
      </c>
      <c r="D67" s="3">
        <v>45540</v>
      </c>
      <c r="E67" t="str">
        <f>VLOOKUP(B67,'PROCV GERENTES BD'!A:B,2,0)</f>
        <v>RAFAEL PARISE</v>
      </c>
      <c r="F67" s="4" t="str">
        <f t="shared" ref="F67:F130" si="9">YEAR(D67)&amp;"-"&amp;TEXT(MONTH(D67),"00")&amp;"-"&amp;IF(DAY(D67)&lt;=15,"1",IF(DAY(D67)&gt;15,"2",""))</f>
        <v>2024-09-1</v>
      </c>
      <c r="G67" t="str">
        <f t="shared" si="5"/>
        <v>RAFAEL PARISE</v>
      </c>
      <c r="H67" t="str">
        <f t="shared" si="6"/>
        <v>CONSULOC ENGENHARIA LTDA EPP</v>
      </c>
      <c r="I67">
        <f t="shared" si="7"/>
        <v>0</v>
      </c>
      <c r="J67">
        <f t="shared" si="8"/>
        <v>1</v>
      </c>
    </row>
    <row r="68" spans="1:10" x14ac:dyDescent="0.25">
      <c r="A68" t="s">
        <v>370</v>
      </c>
      <c r="B68" t="s">
        <v>114</v>
      </c>
      <c r="C68" t="s">
        <v>56</v>
      </c>
      <c r="D68" s="3">
        <v>45540</v>
      </c>
      <c r="E68" t="s">
        <v>25</v>
      </c>
      <c r="F68" s="4" t="str">
        <f t="shared" si="9"/>
        <v>2024-09-1</v>
      </c>
      <c r="G68" t="str">
        <f t="shared" si="5"/>
        <v xml:space="preserve">ROGERIO </v>
      </c>
      <c r="H68" t="str">
        <f t="shared" si="6"/>
        <v>EVOLUTION MACHINES LTDA ME</v>
      </c>
      <c r="I68">
        <f t="shared" si="7"/>
        <v>0</v>
      </c>
      <c r="J68">
        <f t="shared" si="8"/>
        <v>1</v>
      </c>
    </row>
    <row r="69" spans="1:10" x14ac:dyDescent="0.25">
      <c r="A69" t="s">
        <v>356</v>
      </c>
      <c r="B69" t="s">
        <v>99</v>
      </c>
      <c r="C69" t="s">
        <v>56</v>
      </c>
      <c r="D69" s="3">
        <v>45540</v>
      </c>
      <c r="E69" t="str">
        <f>VLOOKUP(B69,'PROCV GERENTES BD'!A:B,2,0)</f>
        <v>WHELKYA IRIS</v>
      </c>
      <c r="F69" s="4" t="str">
        <f t="shared" si="9"/>
        <v>2024-09-1</v>
      </c>
      <c r="G69" t="str">
        <f t="shared" si="5"/>
        <v>WHELKYA IRIS</v>
      </c>
      <c r="H69" t="str">
        <f t="shared" si="6"/>
        <v>DIVINA INDUSTRIA DE COURO LTDA</v>
      </c>
      <c r="I69">
        <f t="shared" si="7"/>
        <v>0</v>
      </c>
      <c r="J69">
        <f t="shared" si="8"/>
        <v>1</v>
      </c>
    </row>
    <row r="70" spans="1:10" x14ac:dyDescent="0.25">
      <c r="A70" t="s">
        <v>371</v>
      </c>
      <c r="B70" t="s">
        <v>115</v>
      </c>
      <c r="C70" t="s">
        <v>56</v>
      </c>
      <c r="D70" s="3">
        <v>45541</v>
      </c>
      <c r="E70" t="str">
        <f>VLOOKUP(B70,'PROCV GERENTES BD'!A:B,2,0)</f>
        <v>ANDERSON FRAGA</v>
      </c>
      <c r="F70" s="4" t="str">
        <f t="shared" si="9"/>
        <v>2024-09-1</v>
      </c>
      <c r="G70" t="str">
        <f t="shared" si="5"/>
        <v>ANDERSON FRAGA</v>
      </c>
      <c r="H70" t="str">
        <f t="shared" si="6"/>
        <v>AMP INDUSTRIA E COMERCIO DE CONDUTORES LTDA</v>
      </c>
      <c r="I70">
        <f t="shared" si="7"/>
        <v>0</v>
      </c>
      <c r="J70">
        <f t="shared" si="8"/>
        <v>1</v>
      </c>
    </row>
    <row r="71" spans="1:10" x14ac:dyDescent="0.25">
      <c r="A71" t="s">
        <v>364</v>
      </c>
      <c r="B71" t="s">
        <v>107</v>
      </c>
      <c r="C71" t="s">
        <v>72</v>
      </c>
      <c r="D71" s="3">
        <v>45541</v>
      </c>
      <c r="E71" t="str">
        <f>VLOOKUP(B71,'PROCV GERENTES BD'!A:B,2,0)</f>
        <v>ANTONIO CARLOS</v>
      </c>
      <c r="F71" s="4" t="str">
        <f t="shared" si="9"/>
        <v>2024-09-1</v>
      </c>
      <c r="G71" t="str">
        <f t="shared" si="5"/>
        <v>ANTONIO CARLOS</v>
      </c>
      <c r="H71" t="str">
        <f t="shared" si="6"/>
        <v>RPT SOLUCOES AMBIENTAIS LTDA</v>
      </c>
      <c r="I71">
        <f t="shared" si="7"/>
        <v>1</v>
      </c>
      <c r="J71">
        <f t="shared" si="8"/>
        <v>0</v>
      </c>
    </row>
    <row r="72" spans="1:10" x14ac:dyDescent="0.25">
      <c r="A72" t="s">
        <v>311</v>
      </c>
      <c r="B72" t="s">
        <v>110</v>
      </c>
      <c r="C72" t="s">
        <v>72</v>
      </c>
      <c r="D72" s="3">
        <v>45541</v>
      </c>
      <c r="E72" t="str">
        <f>VLOOKUP(B72,'PROCV GERENTES BD'!A:B,2,0)</f>
        <v>ANTONIO CARLOS</v>
      </c>
      <c r="F72" s="4" t="str">
        <f t="shared" si="9"/>
        <v>2024-09-1</v>
      </c>
      <c r="G72" t="str">
        <f t="shared" si="5"/>
        <v>ANTONIO CARLOS</v>
      </c>
      <c r="H72" t="str">
        <f t="shared" si="6"/>
        <v>VIC LOGISTICA LTDA</v>
      </c>
      <c r="I72">
        <f t="shared" si="7"/>
        <v>1</v>
      </c>
      <c r="J72">
        <f t="shared" si="8"/>
        <v>0</v>
      </c>
    </row>
    <row r="73" spans="1:10" x14ac:dyDescent="0.25">
      <c r="A73" t="s">
        <v>326</v>
      </c>
      <c r="B73" t="s">
        <v>86</v>
      </c>
      <c r="C73" t="s">
        <v>56</v>
      </c>
      <c r="D73" s="3">
        <v>45541</v>
      </c>
      <c r="E73" t="str">
        <f>VLOOKUP(B73,'PROCV GERENTES BD'!A:B,2,0)</f>
        <v>CELIO PIMENTA</v>
      </c>
      <c r="F73" s="4" t="str">
        <f t="shared" si="9"/>
        <v>2024-09-1</v>
      </c>
      <c r="G73" t="str">
        <f t="shared" si="5"/>
        <v>CELIO PIMENTA</v>
      </c>
      <c r="H73" t="str">
        <f t="shared" si="6"/>
        <v>IMPORTEXTIL COMERCIO DE TECIDOS LTDA</v>
      </c>
      <c r="I73">
        <f t="shared" si="7"/>
        <v>0</v>
      </c>
      <c r="J73">
        <f t="shared" si="8"/>
        <v>1</v>
      </c>
    </row>
    <row r="74" spans="1:10" x14ac:dyDescent="0.25">
      <c r="A74" t="s">
        <v>372</v>
      </c>
      <c r="B74" t="s">
        <v>86</v>
      </c>
      <c r="C74" t="s">
        <v>72</v>
      </c>
      <c r="D74" s="3">
        <v>45541</v>
      </c>
      <c r="E74" t="str">
        <f>VLOOKUP(B74,'PROCV GERENTES BD'!A:B,2,0)</f>
        <v>CELIO PIMENTA</v>
      </c>
      <c r="F74" s="4" t="str">
        <f t="shared" si="9"/>
        <v>2024-09-1</v>
      </c>
      <c r="G74" t="str">
        <f t="shared" si="5"/>
        <v>CELIO PIMENTA</v>
      </c>
      <c r="H74" t="str">
        <f t="shared" si="6"/>
        <v>IMPORTEXTIL COMERCIO DE TECIDOS LTDA</v>
      </c>
      <c r="I74">
        <f t="shared" si="7"/>
        <v>1</v>
      </c>
      <c r="J74">
        <f t="shared" si="8"/>
        <v>0</v>
      </c>
    </row>
    <row r="75" spans="1:10" x14ac:dyDescent="0.25">
      <c r="A75" t="s">
        <v>60</v>
      </c>
      <c r="B75" t="s">
        <v>61</v>
      </c>
      <c r="C75" t="s">
        <v>56</v>
      </c>
      <c r="D75" s="3">
        <v>45541</v>
      </c>
      <c r="E75" t="str">
        <f>VLOOKUP(B75,'PROCV GERENTES BD'!A:B,2,0)</f>
        <v>CELIO PIMENTA</v>
      </c>
      <c r="F75" s="4" t="str">
        <f t="shared" si="9"/>
        <v>2024-09-1</v>
      </c>
      <c r="G75" t="str">
        <f t="shared" si="5"/>
        <v>CELIO PIMENTA</v>
      </c>
      <c r="H75" t="str">
        <f t="shared" si="6"/>
        <v>WJ CALDEIRARIA INDUSTRIA E COMERCIO LTDA ME</v>
      </c>
      <c r="I75">
        <f t="shared" si="7"/>
        <v>0</v>
      </c>
      <c r="J75">
        <f t="shared" si="8"/>
        <v>1</v>
      </c>
    </row>
    <row r="76" spans="1:10" x14ac:dyDescent="0.25">
      <c r="A76" t="s">
        <v>373</v>
      </c>
      <c r="B76" t="s">
        <v>61</v>
      </c>
      <c r="C76" t="s">
        <v>72</v>
      </c>
      <c r="D76" s="3">
        <v>45541</v>
      </c>
      <c r="E76" t="str">
        <f>VLOOKUP(B76,'PROCV GERENTES BD'!A:B,2,0)</f>
        <v>CELIO PIMENTA</v>
      </c>
      <c r="F76" s="4" t="str">
        <f t="shared" si="9"/>
        <v>2024-09-1</v>
      </c>
      <c r="G76" t="str">
        <f t="shared" si="5"/>
        <v>CELIO PIMENTA</v>
      </c>
      <c r="H76" t="str">
        <f t="shared" si="6"/>
        <v>WJ CALDEIRARIA INDUSTRIA E COMERCIO LTDA ME</v>
      </c>
      <c r="I76">
        <f t="shared" si="7"/>
        <v>1</v>
      </c>
      <c r="J76">
        <f t="shared" si="8"/>
        <v>0</v>
      </c>
    </row>
    <row r="77" spans="1:10" x14ac:dyDescent="0.25">
      <c r="A77" t="s">
        <v>366</v>
      </c>
      <c r="B77" t="s">
        <v>111</v>
      </c>
      <c r="C77" t="s">
        <v>56</v>
      </c>
      <c r="D77" s="3">
        <v>45541</v>
      </c>
      <c r="E77" t="str">
        <f>VLOOKUP(B77,'PROCV GERENTES BD'!A:B,2,0)</f>
        <v>DIOGO AZEVEDO</v>
      </c>
      <c r="F77" s="4" t="str">
        <f t="shared" si="9"/>
        <v>2024-09-1</v>
      </c>
      <c r="G77" t="str">
        <f t="shared" si="5"/>
        <v>DIOGO AZEVEDO</v>
      </c>
      <c r="H77" t="str">
        <f t="shared" si="6"/>
        <v>INDUSTRIA E CERVEJARIA ARTESANAL DE MINAS GERAIS L</v>
      </c>
      <c r="I77">
        <f t="shared" si="7"/>
        <v>0</v>
      </c>
      <c r="J77">
        <f t="shared" si="8"/>
        <v>1</v>
      </c>
    </row>
    <row r="78" spans="1:10" x14ac:dyDescent="0.25">
      <c r="A78" t="s">
        <v>330</v>
      </c>
      <c r="B78" t="s">
        <v>116</v>
      </c>
      <c r="C78" t="s">
        <v>56</v>
      </c>
      <c r="D78" s="3">
        <v>45541</v>
      </c>
      <c r="E78" t="str">
        <f>VLOOKUP(B78,'PROCV GERENTES BD'!A:B,2,0)</f>
        <v>FITZ</v>
      </c>
      <c r="F78" s="4" t="str">
        <f t="shared" si="9"/>
        <v>2024-09-1</v>
      </c>
      <c r="G78" t="str">
        <f t="shared" si="5"/>
        <v>FITZ</v>
      </c>
      <c r="H78" t="str">
        <f t="shared" si="6"/>
        <v>SIAP COMERCIO DE PRODUTOS AGROPECUARIOS LTDA</v>
      </c>
      <c r="I78">
        <f t="shared" si="7"/>
        <v>0</v>
      </c>
      <c r="J78">
        <f t="shared" si="8"/>
        <v>1</v>
      </c>
    </row>
    <row r="79" spans="1:10" x14ac:dyDescent="0.25">
      <c r="A79" t="s">
        <v>341</v>
      </c>
      <c r="B79" t="s">
        <v>88</v>
      </c>
      <c r="C79" t="s">
        <v>56</v>
      </c>
      <c r="D79" s="3">
        <v>45541</v>
      </c>
      <c r="E79" t="str">
        <f>VLOOKUP(B79,'PROCV GERENTES BD'!A:B,2,0)</f>
        <v>LUIS GUSTAVO</v>
      </c>
      <c r="F79" s="4" t="str">
        <f t="shared" si="9"/>
        <v>2024-09-1</v>
      </c>
      <c r="G79" t="str">
        <f t="shared" si="5"/>
        <v>LUIS GUSTAVO</v>
      </c>
      <c r="H79" t="str">
        <f t="shared" si="6"/>
        <v>BETMIX CONCRETO LTDA</v>
      </c>
      <c r="I79">
        <f t="shared" si="7"/>
        <v>0</v>
      </c>
      <c r="J79">
        <f t="shared" si="8"/>
        <v>1</v>
      </c>
    </row>
    <row r="80" spans="1:10" x14ac:dyDescent="0.25">
      <c r="A80" t="s">
        <v>342</v>
      </c>
      <c r="B80" t="s">
        <v>88</v>
      </c>
      <c r="C80" t="s">
        <v>72</v>
      </c>
      <c r="D80" s="3">
        <v>45541</v>
      </c>
      <c r="E80" t="str">
        <f>VLOOKUP(B80,'PROCV GERENTES BD'!A:B,2,0)</f>
        <v>LUIS GUSTAVO</v>
      </c>
      <c r="F80" s="4" t="str">
        <f t="shared" si="9"/>
        <v>2024-09-1</v>
      </c>
      <c r="G80" t="str">
        <f t="shared" si="5"/>
        <v>LUIS GUSTAVO</v>
      </c>
      <c r="H80" t="str">
        <f t="shared" si="6"/>
        <v>BETMIX CONCRETO LTDA</v>
      </c>
      <c r="I80">
        <f t="shared" si="7"/>
        <v>1</v>
      </c>
      <c r="J80">
        <f t="shared" si="8"/>
        <v>0</v>
      </c>
    </row>
    <row r="81" spans="1:10" x14ac:dyDescent="0.25">
      <c r="A81" t="s">
        <v>374</v>
      </c>
      <c r="B81" t="s">
        <v>117</v>
      </c>
      <c r="C81" t="s">
        <v>56</v>
      </c>
      <c r="D81" s="3">
        <v>45541</v>
      </c>
      <c r="E81" t="str">
        <f>VLOOKUP(B81,'PROCV GERENTES BD'!A:B,2,0)</f>
        <v>NELSON</v>
      </c>
      <c r="F81" s="4" t="str">
        <f t="shared" si="9"/>
        <v>2024-09-1</v>
      </c>
      <c r="G81" t="str">
        <f t="shared" si="5"/>
        <v>NELSON</v>
      </c>
      <c r="H81" t="str">
        <f t="shared" si="6"/>
        <v>VALENTE PRODUCOES LTDA ME</v>
      </c>
      <c r="I81">
        <f t="shared" si="7"/>
        <v>0</v>
      </c>
      <c r="J81">
        <f t="shared" si="8"/>
        <v>1</v>
      </c>
    </row>
    <row r="82" spans="1:10" x14ac:dyDescent="0.25">
      <c r="A82" t="s">
        <v>347</v>
      </c>
      <c r="B82" t="s">
        <v>93</v>
      </c>
      <c r="C82" t="s">
        <v>56</v>
      </c>
      <c r="D82" s="3">
        <v>45541</v>
      </c>
      <c r="E82" t="str">
        <f>VLOOKUP(B82,'PROCV GERENTES BD'!A:B,2,0)</f>
        <v>NOELI SALETE</v>
      </c>
      <c r="F82" s="4" t="str">
        <f t="shared" si="9"/>
        <v>2024-09-1</v>
      </c>
      <c r="G82" t="str">
        <f t="shared" si="5"/>
        <v>NOELI SALETE</v>
      </c>
      <c r="H82" t="str">
        <f t="shared" si="6"/>
        <v>RODOBOX TRANSPORTES E ARMAZENAGEM DE CARGAS LTDA</v>
      </c>
      <c r="I82">
        <f t="shared" si="7"/>
        <v>0</v>
      </c>
      <c r="J82">
        <f t="shared" si="8"/>
        <v>1</v>
      </c>
    </row>
    <row r="83" spans="1:10" x14ac:dyDescent="0.25">
      <c r="A83" t="s">
        <v>348</v>
      </c>
      <c r="B83" t="s">
        <v>92</v>
      </c>
      <c r="C83" t="s">
        <v>56</v>
      </c>
      <c r="D83" s="3">
        <v>45541</v>
      </c>
      <c r="E83" t="str">
        <f>VLOOKUP(B83,'PROCV GERENTES BD'!A:B,2,0)</f>
        <v>NOELI SALETE</v>
      </c>
      <c r="F83" s="4" t="str">
        <f t="shared" si="9"/>
        <v>2024-09-1</v>
      </c>
      <c r="G83" t="str">
        <f t="shared" si="5"/>
        <v>NOELI SALETE</v>
      </c>
      <c r="H83" t="str">
        <f t="shared" si="6"/>
        <v>MEIO OESTE PAPEIS LTDA ME</v>
      </c>
      <c r="I83">
        <f t="shared" si="7"/>
        <v>0</v>
      </c>
      <c r="J83">
        <f t="shared" si="8"/>
        <v>1</v>
      </c>
    </row>
    <row r="84" spans="1:10" x14ac:dyDescent="0.25">
      <c r="A84" t="s">
        <v>350</v>
      </c>
      <c r="B84" t="s">
        <v>94</v>
      </c>
      <c r="C84" t="s">
        <v>72</v>
      </c>
      <c r="D84" s="3">
        <v>45541</v>
      </c>
      <c r="E84" t="str">
        <f>VLOOKUP(B84,'PROCV GERENTES BD'!A:B,2,0)</f>
        <v>NOELI SALETE</v>
      </c>
      <c r="F84" s="4" t="str">
        <f t="shared" si="9"/>
        <v>2024-09-1</v>
      </c>
      <c r="G84" t="str">
        <f t="shared" si="5"/>
        <v>NOELI SALETE</v>
      </c>
      <c r="H84" t="str">
        <f t="shared" si="6"/>
        <v>TRANSNECHER COMERCIO TRANSPORTES E EMPREENDIMENTOS</v>
      </c>
      <c r="I84">
        <f t="shared" si="7"/>
        <v>1</v>
      </c>
      <c r="J84">
        <f t="shared" si="8"/>
        <v>0</v>
      </c>
    </row>
    <row r="85" spans="1:10" x14ac:dyDescent="0.25">
      <c r="A85" t="s">
        <v>353</v>
      </c>
      <c r="B85" t="s">
        <v>96</v>
      </c>
      <c r="C85" t="s">
        <v>56</v>
      </c>
      <c r="D85" s="3">
        <v>45541</v>
      </c>
      <c r="E85" t="str">
        <f>VLOOKUP(B85,'PROCV GERENTES BD'!A:B,2,0)</f>
        <v>POENATELA</v>
      </c>
      <c r="F85" s="4" t="str">
        <f t="shared" si="9"/>
        <v>2024-09-1</v>
      </c>
      <c r="G85" t="str">
        <f t="shared" si="5"/>
        <v>POENATELA</v>
      </c>
      <c r="H85" t="str">
        <f t="shared" si="6"/>
        <v>GREEN FARMING FAZENDAS RENOVAVEIS LTDA</v>
      </c>
      <c r="I85">
        <f t="shared" si="7"/>
        <v>0</v>
      </c>
      <c r="J85">
        <f t="shared" si="8"/>
        <v>1</v>
      </c>
    </row>
    <row r="86" spans="1:10" x14ac:dyDescent="0.25">
      <c r="A86" t="s">
        <v>354</v>
      </c>
      <c r="B86" t="s">
        <v>97</v>
      </c>
      <c r="C86" t="s">
        <v>56</v>
      </c>
      <c r="D86" s="3">
        <v>45541</v>
      </c>
      <c r="E86" t="str">
        <f>VLOOKUP(B86,'PROCV GERENTES BD'!A:B,2,0)</f>
        <v>POENATELA</v>
      </c>
      <c r="F86" s="4" t="str">
        <f t="shared" si="9"/>
        <v>2024-09-1</v>
      </c>
      <c r="G86" t="str">
        <f t="shared" si="5"/>
        <v>POENATELA</v>
      </c>
      <c r="H86" t="str">
        <f t="shared" si="6"/>
        <v>UBERTEC SERVICE USINAGEM LTDA EPP</v>
      </c>
      <c r="I86">
        <f t="shared" si="7"/>
        <v>0</v>
      </c>
      <c r="J86">
        <f t="shared" si="8"/>
        <v>1</v>
      </c>
    </row>
    <row r="87" spans="1:10" x14ac:dyDescent="0.25">
      <c r="A87" t="s">
        <v>361</v>
      </c>
      <c r="B87" t="s">
        <v>103</v>
      </c>
      <c r="C87" t="s">
        <v>56</v>
      </c>
      <c r="D87" s="3">
        <v>45541</v>
      </c>
      <c r="E87" t="str">
        <f>VLOOKUP(B87,'PROCV GERENTES BD'!A:B,2,0)</f>
        <v>PRISCILA METZ</v>
      </c>
      <c r="F87" s="4" t="str">
        <f t="shared" si="9"/>
        <v>2024-09-1</v>
      </c>
      <c r="G87" t="str">
        <f t="shared" si="5"/>
        <v>PRISCILA METZ</v>
      </c>
      <c r="H87" t="str">
        <f t="shared" si="6"/>
        <v>ESSENZA INDUSTRIA QUIMICA LTDA</v>
      </c>
      <c r="I87">
        <f t="shared" si="7"/>
        <v>0</v>
      </c>
      <c r="J87">
        <f t="shared" si="8"/>
        <v>1</v>
      </c>
    </row>
    <row r="88" spans="1:10" x14ac:dyDescent="0.25">
      <c r="A88" t="s">
        <v>355</v>
      </c>
      <c r="B88" t="s">
        <v>98</v>
      </c>
      <c r="C88" t="s">
        <v>56</v>
      </c>
      <c r="D88" s="3">
        <v>45541</v>
      </c>
      <c r="E88" t="str">
        <f>VLOOKUP(B88,'PROCV GERENTES BD'!A:B,2,0)</f>
        <v>RAFAEL PARISE</v>
      </c>
      <c r="F88" s="4" t="str">
        <f t="shared" si="9"/>
        <v>2024-09-1</v>
      </c>
      <c r="G88" t="str">
        <f t="shared" si="5"/>
        <v>RAFAEL PARISE</v>
      </c>
      <c r="H88" t="str">
        <f t="shared" si="6"/>
        <v>CONSULOC ENGENHARIA LTDA EPP</v>
      </c>
      <c r="I88">
        <f t="shared" si="7"/>
        <v>0</v>
      </c>
      <c r="J88">
        <f t="shared" si="8"/>
        <v>1</v>
      </c>
    </row>
    <row r="89" spans="1:10" x14ac:dyDescent="0.25">
      <c r="A89" t="s">
        <v>375</v>
      </c>
      <c r="B89" t="s">
        <v>119</v>
      </c>
      <c r="C89" t="s">
        <v>56</v>
      </c>
      <c r="D89" s="3">
        <v>45544</v>
      </c>
      <c r="E89" t="str">
        <f>VLOOKUP(B89,'PROCV GERENTES BD'!A:B,2,0)</f>
        <v>ADMINISTRAÇÃO</v>
      </c>
      <c r="F89" s="4" t="str">
        <f t="shared" si="9"/>
        <v>2024-09-1</v>
      </c>
      <c r="G89" t="str">
        <f t="shared" si="5"/>
        <v>ADMINISTRAÇÃO</v>
      </c>
      <c r="H89" t="str">
        <f t="shared" si="6"/>
        <v>DISPA DISTRIBUIDORA SAO PAULO LTDA ME</v>
      </c>
      <c r="I89">
        <f t="shared" si="7"/>
        <v>0</v>
      </c>
      <c r="J89">
        <f t="shared" si="8"/>
        <v>1</v>
      </c>
    </row>
    <row r="90" spans="1:10" x14ac:dyDescent="0.25">
      <c r="A90" t="s">
        <v>376</v>
      </c>
      <c r="B90" t="s">
        <v>118</v>
      </c>
      <c r="C90" t="s">
        <v>72</v>
      </c>
      <c r="D90" s="3">
        <v>45544</v>
      </c>
      <c r="E90" t="str">
        <f>VLOOKUP(B90,'PROCV GERENTES BD'!A:B,2,0)</f>
        <v>ADMINISTRAÇÃO</v>
      </c>
      <c r="F90" s="4" t="str">
        <f t="shared" si="9"/>
        <v>2024-09-1</v>
      </c>
      <c r="G90" t="str">
        <f t="shared" si="5"/>
        <v>ADMINISTRAÇÃO</v>
      </c>
      <c r="H90" t="str">
        <f t="shared" si="6"/>
        <v>ARTECAL ELETROCENTROS S/A</v>
      </c>
      <c r="I90">
        <f t="shared" si="7"/>
        <v>1</v>
      </c>
      <c r="J90">
        <f t="shared" si="8"/>
        <v>0</v>
      </c>
    </row>
    <row r="91" spans="1:10" x14ac:dyDescent="0.25">
      <c r="A91" t="s">
        <v>326</v>
      </c>
      <c r="B91" t="s">
        <v>86</v>
      </c>
      <c r="C91" t="s">
        <v>56</v>
      </c>
      <c r="D91" s="3">
        <v>45544</v>
      </c>
      <c r="E91" t="str">
        <f>VLOOKUP(B91,'PROCV GERENTES BD'!A:B,2,0)</f>
        <v>CELIO PIMENTA</v>
      </c>
      <c r="F91" s="4" t="str">
        <f t="shared" si="9"/>
        <v>2024-09-1</v>
      </c>
      <c r="G91" t="str">
        <f t="shared" si="5"/>
        <v>CELIO PIMENTA</v>
      </c>
      <c r="H91" t="str">
        <f t="shared" si="6"/>
        <v>IMPORTEXTIL COMERCIO DE TECIDOS LTDA</v>
      </c>
      <c r="I91">
        <f t="shared" si="7"/>
        <v>0</v>
      </c>
      <c r="J91">
        <f t="shared" si="8"/>
        <v>1</v>
      </c>
    </row>
    <row r="92" spans="1:10" x14ac:dyDescent="0.25">
      <c r="A92" t="s">
        <v>326</v>
      </c>
      <c r="B92" t="s">
        <v>86</v>
      </c>
      <c r="C92" t="s">
        <v>56</v>
      </c>
      <c r="D92" s="3">
        <f>D91</f>
        <v>45544</v>
      </c>
      <c r="E92" t="str">
        <f>VLOOKUP(B92,'PROCV GERENTES BD'!A:B,2,0)</f>
        <v>CELIO PIMENTA</v>
      </c>
      <c r="F92" s="4" t="str">
        <f t="shared" si="9"/>
        <v>2024-09-1</v>
      </c>
      <c r="G92" t="str">
        <f t="shared" si="5"/>
        <v>CELIO PIMENTA</v>
      </c>
      <c r="H92" t="str">
        <f t="shared" si="6"/>
        <v>IMPORTEXTIL COMERCIO DE TECIDOS LTDA</v>
      </c>
      <c r="I92">
        <f t="shared" si="7"/>
        <v>0</v>
      </c>
      <c r="J92">
        <f t="shared" si="8"/>
        <v>1</v>
      </c>
    </row>
    <row r="93" spans="1:10" x14ac:dyDescent="0.25">
      <c r="A93" t="s">
        <v>330</v>
      </c>
      <c r="B93" t="s">
        <v>116</v>
      </c>
      <c r="C93" t="s">
        <v>56</v>
      </c>
      <c r="D93" s="3">
        <v>45544</v>
      </c>
      <c r="E93" t="str">
        <f>VLOOKUP(B93,'PROCV GERENTES BD'!A:B,2,0)</f>
        <v>FITZ</v>
      </c>
      <c r="F93" s="4" t="str">
        <f t="shared" si="9"/>
        <v>2024-09-1</v>
      </c>
      <c r="G93" t="str">
        <f t="shared" si="5"/>
        <v>FITZ</v>
      </c>
      <c r="H93" t="str">
        <f t="shared" si="6"/>
        <v>SIAP COMERCIO DE PRODUTOS AGROPECUARIOS LTDA</v>
      </c>
      <c r="I93">
        <f t="shared" si="7"/>
        <v>0</v>
      </c>
      <c r="J93">
        <f t="shared" si="8"/>
        <v>1</v>
      </c>
    </row>
    <row r="94" spans="1:10" x14ac:dyDescent="0.25">
      <c r="A94" t="s">
        <v>341</v>
      </c>
      <c r="B94" t="s">
        <v>88</v>
      </c>
      <c r="C94" t="s">
        <v>56</v>
      </c>
      <c r="D94" s="3">
        <v>45544</v>
      </c>
      <c r="E94" t="str">
        <f>VLOOKUP(B94,'PROCV GERENTES BD'!A:B,2,0)</f>
        <v>LUIS GUSTAVO</v>
      </c>
      <c r="F94" s="4" t="str">
        <f t="shared" si="9"/>
        <v>2024-09-1</v>
      </c>
      <c r="G94" t="str">
        <f t="shared" si="5"/>
        <v>LUIS GUSTAVO</v>
      </c>
      <c r="H94" t="str">
        <f t="shared" si="6"/>
        <v>BETMIX CONCRETO LTDA</v>
      </c>
      <c r="I94">
        <f t="shared" si="7"/>
        <v>0</v>
      </c>
      <c r="J94">
        <f t="shared" si="8"/>
        <v>1</v>
      </c>
    </row>
    <row r="95" spans="1:10" x14ac:dyDescent="0.25">
      <c r="A95" t="s">
        <v>341</v>
      </c>
      <c r="B95" t="s">
        <v>88</v>
      </c>
      <c r="C95" t="s">
        <v>56</v>
      </c>
      <c r="D95" s="3">
        <f>D94</f>
        <v>45544</v>
      </c>
      <c r="E95" t="str">
        <f>VLOOKUP(B95,'PROCV GERENTES BD'!A:B,2,0)</f>
        <v>LUIS GUSTAVO</v>
      </c>
      <c r="F95" s="4" t="str">
        <f t="shared" si="9"/>
        <v>2024-09-1</v>
      </c>
      <c r="G95" t="str">
        <f t="shared" si="5"/>
        <v>LUIS GUSTAVO</v>
      </c>
      <c r="H95" t="str">
        <f t="shared" si="6"/>
        <v>BETMIX CONCRETO LTDA</v>
      </c>
      <c r="I95">
        <f t="shared" si="7"/>
        <v>0</v>
      </c>
      <c r="J95">
        <f t="shared" si="8"/>
        <v>1</v>
      </c>
    </row>
    <row r="96" spans="1:10" x14ac:dyDescent="0.25">
      <c r="A96" t="s">
        <v>377</v>
      </c>
      <c r="B96" t="s">
        <v>120</v>
      </c>
      <c r="C96" t="s">
        <v>56</v>
      </c>
      <c r="D96" s="3">
        <v>45544</v>
      </c>
      <c r="E96" t="str">
        <f>VLOOKUP(B96,'PROCV GERENTES BD'!A:B,2,0)</f>
        <v xml:space="preserve">MARCUS VINICIUS </v>
      </c>
      <c r="F96" s="4" t="str">
        <f t="shared" si="9"/>
        <v>2024-09-1</v>
      </c>
      <c r="G96" t="str">
        <f t="shared" si="5"/>
        <v xml:space="preserve">MARCUS VINICIUS </v>
      </c>
      <c r="H96" t="str">
        <f t="shared" si="6"/>
        <v>ISOBASE POLIESTIRENO LTDA EPP</v>
      </c>
      <c r="I96">
        <f t="shared" si="7"/>
        <v>0</v>
      </c>
      <c r="J96">
        <f t="shared" si="8"/>
        <v>1</v>
      </c>
    </row>
    <row r="97" spans="1:10" x14ac:dyDescent="0.25">
      <c r="A97" t="s">
        <v>344</v>
      </c>
      <c r="B97" t="s">
        <v>90</v>
      </c>
      <c r="C97" t="s">
        <v>56</v>
      </c>
      <c r="D97" s="3">
        <v>45544</v>
      </c>
      <c r="E97" t="str">
        <f>VLOOKUP(B97,'PROCV GERENTES BD'!A:B,2,0)</f>
        <v>NATALIA NUBIA</v>
      </c>
      <c r="F97" s="4" t="str">
        <f t="shared" si="9"/>
        <v>2024-09-1</v>
      </c>
      <c r="G97" t="str">
        <f t="shared" si="5"/>
        <v>NATALIA NUBIA</v>
      </c>
      <c r="H97" t="str">
        <f t="shared" si="6"/>
        <v>BIOLIFE HEALTH IMPORTACAO E DISTRIBUICAO DE PRODUT</v>
      </c>
      <c r="I97">
        <f t="shared" si="7"/>
        <v>0</v>
      </c>
      <c r="J97">
        <f t="shared" si="8"/>
        <v>1</v>
      </c>
    </row>
    <row r="98" spans="1:10" x14ac:dyDescent="0.25">
      <c r="A98" t="s">
        <v>345</v>
      </c>
      <c r="B98" t="s">
        <v>90</v>
      </c>
      <c r="C98" t="s">
        <v>72</v>
      </c>
      <c r="D98" s="3">
        <v>45544</v>
      </c>
      <c r="E98" t="str">
        <f>VLOOKUP(B98,'PROCV GERENTES BD'!A:B,2,0)</f>
        <v>NATALIA NUBIA</v>
      </c>
      <c r="F98" s="4" t="str">
        <f t="shared" si="9"/>
        <v>2024-09-1</v>
      </c>
      <c r="G98" t="str">
        <f t="shared" si="5"/>
        <v>NATALIA NUBIA</v>
      </c>
      <c r="H98" t="str">
        <f t="shared" si="6"/>
        <v>BIOLIFE HEALTH IMPORTACAO E DISTRIBUICAO DE PRODUT</v>
      </c>
      <c r="I98">
        <f t="shared" si="7"/>
        <v>1</v>
      </c>
      <c r="J98">
        <f t="shared" si="8"/>
        <v>0</v>
      </c>
    </row>
    <row r="99" spans="1:10" x14ac:dyDescent="0.25">
      <c r="A99" t="s">
        <v>374</v>
      </c>
      <c r="B99" t="s">
        <v>117</v>
      </c>
      <c r="C99" t="s">
        <v>56</v>
      </c>
      <c r="D99" s="3">
        <v>45544</v>
      </c>
      <c r="E99" t="str">
        <f>VLOOKUP(B99,'PROCV GERENTES BD'!A:B,2,0)</f>
        <v>NELSON</v>
      </c>
      <c r="F99" s="4" t="str">
        <f t="shared" si="9"/>
        <v>2024-09-1</v>
      </c>
      <c r="G99" t="str">
        <f t="shared" si="5"/>
        <v>NELSON</v>
      </c>
      <c r="H99" t="str">
        <f t="shared" si="6"/>
        <v>VALENTE PRODUCOES LTDA ME</v>
      </c>
      <c r="I99">
        <f t="shared" si="7"/>
        <v>0</v>
      </c>
      <c r="J99">
        <f t="shared" si="8"/>
        <v>1</v>
      </c>
    </row>
    <row r="100" spans="1:10" x14ac:dyDescent="0.25">
      <c r="A100" t="s">
        <v>347</v>
      </c>
      <c r="B100" t="s">
        <v>93</v>
      </c>
      <c r="C100" t="s">
        <v>56</v>
      </c>
      <c r="D100" s="3">
        <v>45544</v>
      </c>
      <c r="E100" t="str">
        <f>VLOOKUP(B100,'PROCV GERENTES BD'!A:B,2,0)</f>
        <v>NOELI SALETE</v>
      </c>
      <c r="F100" s="4" t="str">
        <f t="shared" si="9"/>
        <v>2024-09-1</v>
      </c>
      <c r="G100" t="str">
        <f t="shared" si="5"/>
        <v>NOELI SALETE</v>
      </c>
      <c r="H100" t="str">
        <f t="shared" si="6"/>
        <v>RODOBOX TRANSPORTES E ARMAZENAGEM DE CARGAS LTDA</v>
      </c>
      <c r="I100">
        <f t="shared" si="7"/>
        <v>0</v>
      </c>
      <c r="J100">
        <f t="shared" si="8"/>
        <v>1</v>
      </c>
    </row>
    <row r="101" spans="1:10" x14ac:dyDescent="0.25">
      <c r="A101" t="s">
        <v>348</v>
      </c>
      <c r="B101" t="s">
        <v>92</v>
      </c>
      <c r="C101" t="s">
        <v>56</v>
      </c>
      <c r="D101" s="3">
        <v>45544</v>
      </c>
      <c r="E101" t="str">
        <f>VLOOKUP(B101,'PROCV GERENTES BD'!A:B,2,0)</f>
        <v>NOELI SALETE</v>
      </c>
      <c r="F101" s="4" t="str">
        <f t="shared" si="9"/>
        <v>2024-09-1</v>
      </c>
      <c r="G101" t="str">
        <f t="shared" si="5"/>
        <v>NOELI SALETE</v>
      </c>
      <c r="H101" t="str">
        <f t="shared" si="6"/>
        <v>MEIO OESTE PAPEIS LTDA ME</v>
      </c>
      <c r="I101">
        <f t="shared" si="7"/>
        <v>0</v>
      </c>
      <c r="J101">
        <f t="shared" si="8"/>
        <v>1</v>
      </c>
    </row>
    <row r="102" spans="1:10" x14ac:dyDescent="0.25">
      <c r="A102" t="s">
        <v>349</v>
      </c>
      <c r="B102" t="s">
        <v>92</v>
      </c>
      <c r="C102" t="s">
        <v>72</v>
      </c>
      <c r="D102" s="3">
        <v>45544</v>
      </c>
      <c r="E102" t="str">
        <f>VLOOKUP(B102,'PROCV GERENTES BD'!A:B,2,0)</f>
        <v>NOELI SALETE</v>
      </c>
      <c r="F102" s="4" t="str">
        <f t="shared" si="9"/>
        <v>2024-09-1</v>
      </c>
      <c r="G102" t="str">
        <f t="shared" si="5"/>
        <v>NOELI SALETE</v>
      </c>
      <c r="H102" t="str">
        <f t="shared" si="6"/>
        <v>MEIO OESTE PAPEIS LTDA ME</v>
      </c>
      <c r="I102">
        <f t="shared" si="7"/>
        <v>1</v>
      </c>
      <c r="J102">
        <f t="shared" si="8"/>
        <v>0</v>
      </c>
    </row>
    <row r="103" spans="1:10" x14ac:dyDescent="0.25">
      <c r="A103" t="s">
        <v>348</v>
      </c>
      <c r="B103" t="s">
        <v>92</v>
      </c>
      <c r="C103" t="s">
        <v>56</v>
      </c>
      <c r="D103" s="3">
        <f>D102</f>
        <v>45544</v>
      </c>
      <c r="E103" t="str">
        <f>VLOOKUP(B103,'PROCV GERENTES BD'!A:B,2,0)</f>
        <v>NOELI SALETE</v>
      </c>
      <c r="F103" s="4" t="str">
        <f t="shared" si="9"/>
        <v>2024-09-1</v>
      </c>
      <c r="G103" t="str">
        <f t="shared" si="5"/>
        <v>NOELI SALETE</v>
      </c>
      <c r="H103" t="str">
        <f t="shared" si="6"/>
        <v>MEIO OESTE PAPEIS LTDA ME</v>
      </c>
      <c r="I103">
        <f t="shared" si="7"/>
        <v>0</v>
      </c>
      <c r="J103">
        <f t="shared" si="8"/>
        <v>1</v>
      </c>
    </row>
    <row r="104" spans="1:10" x14ac:dyDescent="0.25">
      <c r="A104" t="s">
        <v>350</v>
      </c>
      <c r="B104" t="s">
        <v>94</v>
      </c>
      <c r="C104" t="s">
        <v>72</v>
      </c>
      <c r="D104" s="3">
        <v>45544</v>
      </c>
      <c r="E104" t="str">
        <f>VLOOKUP(B104,'PROCV GERENTES BD'!A:B,2,0)</f>
        <v>NOELI SALETE</v>
      </c>
      <c r="F104" s="4" t="str">
        <f t="shared" si="9"/>
        <v>2024-09-1</v>
      </c>
      <c r="G104" t="str">
        <f t="shared" si="5"/>
        <v>NOELI SALETE</v>
      </c>
      <c r="H104" t="str">
        <f t="shared" si="6"/>
        <v>TRANSNECHER COMERCIO TRANSPORTES E EMPREENDIMENTOS</v>
      </c>
      <c r="I104">
        <f t="shared" si="7"/>
        <v>1</v>
      </c>
      <c r="J104">
        <f t="shared" si="8"/>
        <v>0</v>
      </c>
    </row>
    <row r="105" spans="1:10" x14ac:dyDescent="0.25">
      <c r="A105" t="s">
        <v>378</v>
      </c>
      <c r="B105" t="s">
        <v>121</v>
      </c>
      <c r="C105" t="s">
        <v>56</v>
      </c>
      <c r="D105" s="3">
        <v>45544</v>
      </c>
      <c r="E105" t="str">
        <f>VLOOKUP(B105,'PROCV GERENTES BD'!A:B,2,0)</f>
        <v>POENATELA</v>
      </c>
      <c r="F105" s="4" t="str">
        <f t="shared" si="9"/>
        <v>2024-09-1</v>
      </c>
      <c r="G105" t="str">
        <f t="shared" si="5"/>
        <v>POENATELA</v>
      </c>
      <c r="H105" t="str">
        <f t="shared" si="6"/>
        <v>COOPERATIVA TRANSP AUTON CARGAS PASSAG SERVICOS LO</v>
      </c>
      <c r="I105">
        <f t="shared" si="7"/>
        <v>0</v>
      </c>
      <c r="J105">
        <f t="shared" si="8"/>
        <v>1</v>
      </c>
    </row>
    <row r="106" spans="1:10" x14ac:dyDescent="0.25">
      <c r="A106" t="s">
        <v>378</v>
      </c>
      <c r="B106" t="s">
        <v>121</v>
      </c>
      <c r="C106" t="s">
        <v>56</v>
      </c>
      <c r="D106" s="3">
        <f>D105</f>
        <v>45544</v>
      </c>
      <c r="E106" t="str">
        <f>VLOOKUP(B106,'PROCV GERENTES BD'!A:B,2,0)</f>
        <v>POENATELA</v>
      </c>
      <c r="F106" s="4" t="str">
        <f t="shared" si="9"/>
        <v>2024-09-1</v>
      </c>
      <c r="G106" t="str">
        <f t="shared" si="5"/>
        <v>POENATELA</v>
      </c>
      <c r="H106" t="str">
        <f t="shared" si="6"/>
        <v>COOPERATIVA TRANSP AUTON CARGAS PASSAG SERVICOS LO</v>
      </c>
      <c r="I106">
        <f t="shared" si="7"/>
        <v>0</v>
      </c>
      <c r="J106">
        <f t="shared" si="8"/>
        <v>1</v>
      </c>
    </row>
    <row r="107" spans="1:10" x14ac:dyDescent="0.25">
      <c r="A107" t="s">
        <v>353</v>
      </c>
      <c r="B107" t="s">
        <v>96</v>
      </c>
      <c r="C107" t="s">
        <v>56</v>
      </c>
      <c r="D107" s="3">
        <v>45544</v>
      </c>
      <c r="E107" t="str">
        <f>VLOOKUP(B107,'PROCV GERENTES BD'!A:B,2,0)</f>
        <v>POENATELA</v>
      </c>
      <c r="F107" s="4" t="str">
        <f t="shared" si="9"/>
        <v>2024-09-1</v>
      </c>
      <c r="G107" t="str">
        <f t="shared" si="5"/>
        <v>POENATELA</v>
      </c>
      <c r="H107" t="str">
        <f t="shared" si="6"/>
        <v>GREEN FARMING FAZENDAS RENOVAVEIS LTDA</v>
      </c>
      <c r="I107">
        <f t="shared" si="7"/>
        <v>0</v>
      </c>
      <c r="J107">
        <f t="shared" si="8"/>
        <v>1</v>
      </c>
    </row>
    <row r="108" spans="1:10" x14ac:dyDescent="0.25">
      <c r="A108" t="s">
        <v>354</v>
      </c>
      <c r="B108" t="s">
        <v>97</v>
      </c>
      <c r="C108" t="s">
        <v>56</v>
      </c>
      <c r="D108" s="3">
        <v>45544</v>
      </c>
      <c r="E108" t="str">
        <f>VLOOKUP(B108,'PROCV GERENTES BD'!A:B,2,0)</f>
        <v>POENATELA</v>
      </c>
      <c r="F108" s="4" t="str">
        <f t="shared" si="9"/>
        <v>2024-09-1</v>
      </c>
      <c r="G108" t="str">
        <f t="shared" si="5"/>
        <v>POENATELA</v>
      </c>
      <c r="H108" t="str">
        <f t="shared" si="6"/>
        <v>UBERTEC SERVICE USINAGEM LTDA EPP</v>
      </c>
      <c r="I108">
        <f t="shared" si="7"/>
        <v>0</v>
      </c>
      <c r="J108">
        <f t="shared" si="8"/>
        <v>1</v>
      </c>
    </row>
    <row r="109" spans="1:10" x14ac:dyDescent="0.25">
      <c r="A109" t="s">
        <v>354</v>
      </c>
      <c r="B109" t="s">
        <v>97</v>
      </c>
      <c r="C109" t="s">
        <v>56</v>
      </c>
      <c r="D109" s="3">
        <f>D108</f>
        <v>45544</v>
      </c>
      <c r="E109" t="str">
        <f>VLOOKUP(B109,'PROCV GERENTES BD'!A:B,2,0)</f>
        <v>POENATELA</v>
      </c>
      <c r="F109" s="4" t="str">
        <f t="shared" si="9"/>
        <v>2024-09-1</v>
      </c>
      <c r="G109" t="str">
        <f t="shared" si="5"/>
        <v>POENATELA</v>
      </c>
      <c r="H109" t="str">
        <f t="shared" si="6"/>
        <v>UBERTEC SERVICE USINAGEM LTDA EPP</v>
      </c>
      <c r="I109">
        <f t="shared" si="7"/>
        <v>0</v>
      </c>
      <c r="J109">
        <f t="shared" si="8"/>
        <v>1</v>
      </c>
    </row>
    <row r="110" spans="1:10" x14ac:dyDescent="0.25">
      <c r="A110" t="s">
        <v>361</v>
      </c>
      <c r="B110" t="s">
        <v>103</v>
      </c>
      <c r="C110" t="s">
        <v>56</v>
      </c>
      <c r="D110" s="3">
        <v>45544</v>
      </c>
      <c r="E110" t="str">
        <f>VLOOKUP(B110,'PROCV GERENTES BD'!A:B,2,0)</f>
        <v>PRISCILA METZ</v>
      </c>
      <c r="F110" s="4" t="str">
        <f t="shared" si="9"/>
        <v>2024-09-1</v>
      </c>
      <c r="G110" t="str">
        <f t="shared" si="5"/>
        <v>PRISCILA METZ</v>
      </c>
      <c r="H110" t="str">
        <f t="shared" si="6"/>
        <v>ESSENZA INDUSTRIA QUIMICA LTDA</v>
      </c>
      <c r="I110">
        <f t="shared" si="7"/>
        <v>0</v>
      </c>
      <c r="J110">
        <f t="shared" si="8"/>
        <v>1</v>
      </c>
    </row>
    <row r="111" spans="1:10" x14ac:dyDescent="0.25">
      <c r="A111" t="s">
        <v>369</v>
      </c>
      <c r="B111" t="s">
        <v>113</v>
      </c>
      <c r="C111" t="s">
        <v>56</v>
      </c>
      <c r="D111" s="3">
        <v>45544</v>
      </c>
      <c r="E111" t="str">
        <f>VLOOKUP(B111,'PROCV GERENTES BD'!A:B,2,0)</f>
        <v>PRISCILA METZ</v>
      </c>
      <c r="F111" s="4" t="str">
        <f t="shared" si="9"/>
        <v>2024-09-1</v>
      </c>
      <c r="G111" t="str">
        <f t="shared" si="5"/>
        <v>PRISCILA METZ</v>
      </c>
      <c r="H111" t="str">
        <f t="shared" si="6"/>
        <v>HERBAMED LABORATORIO NUTRACEUTICO LTDA</v>
      </c>
      <c r="I111">
        <f t="shared" si="7"/>
        <v>0</v>
      </c>
      <c r="J111">
        <f t="shared" si="8"/>
        <v>1</v>
      </c>
    </row>
    <row r="112" spans="1:10" x14ac:dyDescent="0.25">
      <c r="A112" t="s">
        <v>355</v>
      </c>
      <c r="B112" t="s">
        <v>98</v>
      </c>
      <c r="C112" t="s">
        <v>56</v>
      </c>
      <c r="D112" s="3">
        <v>45544</v>
      </c>
      <c r="E112" t="str">
        <f>VLOOKUP(B112,'PROCV GERENTES BD'!A:B,2,0)</f>
        <v>RAFAEL PARISE</v>
      </c>
      <c r="F112" s="4" t="str">
        <f t="shared" si="9"/>
        <v>2024-09-1</v>
      </c>
      <c r="G112" t="str">
        <f t="shared" si="5"/>
        <v>RAFAEL PARISE</v>
      </c>
      <c r="H112" t="str">
        <f t="shared" si="6"/>
        <v>CONSULOC ENGENHARIA LTDA EPP</v>
      </c>
      <c r="I112">
        <f t="shared" si="7"/>
        <v>0</v>
      </c>
      <c r="J112">
        <f t="shared" si="8"/>
        <v>1</v>
      </c>
    </row>
    <row r="113" spans="1:10" x14ac:dyDescent="0.25">
      <c r="A113" t="s">
        <v>356</v>
      </c>
      <c r="B113" t="s">
        <v>99</v>
      </c>
      <c r="C113" t="s">
        <v>56</v>
      </c>
      <c r="D113" s="3">
        <v>45544</v>
      </c>
      <c r="E113" t="str">
        <f>VLOOKUP(B113,'PROCV GERENTES BD'!A:B,2,0)</f>
        <v>WHELKYA IRIS</v>
      </c>
      <c r="F113" s="4" t="str">
        <f t="shared" si="9"/>
        <v>2024-09-1</v>
      </c>
      <c r="G113" t="str">
        <f t="shared" si="5"/>
        <v>WHELKYA IRIS</v>
      </c>
      <c r="H113" t="str">
        <f t="shared" si="6"/>
        <v>DIVINA INDUSTRIA DE COURO LTDA</v>
      </c>
      <c r="I113">
        <f t="shared" si="7"/>
        <v>0</v>
      </c>
      <c r="J113">
        <f t="shared" si="8"/>
        <v>1</v>
      </c>
    </row>
    <row r="114" spans="1:10" x14ac:dyDescent="0.25">
      <c r="A114" t="s">
        <v>356</v>
      </c>
      <c r="B114" t="s">
        <v>99</v>
      </c>
      <c r="C114" t="s">
        <v>56</v>
      </c>
      <c r="D114" s="3">
        <f>D113</f>
        <v>45544</v>
      </c>
      <c r="E114" t="str">
        <f>VLOOKUP(B114,'PROCV GERENTES BD'!A:B,2,0)</f>
        <v>WHELKYA IRIS</v>
      </c>
      <c r="F114" s="4" t="str">
        <f t="shared" si="9"/>
        <v>2024-09-1</v>
      </c>
      <c r="G114" t="str">
        <f t="shared" si="5"/>
        <v>WHELKYA IRIS</v>
      </c>
      <c r="H114" t="str">
        <f t="shared" si="6"/>
        <v>DIVINA INDUSTRIA DE COURO LTDA</v>
      </c>
      <c r="I114">
        <f t="shared" si="7"/>
        <v>0</v>
      </c>
      <c r="J114">
        <f t="shared" si="8"/>
        <v>1</v>
      </c>
    </row>
    <row r="115" spans="1:10" x14ac:dyDescent="0.25">
      <c r="A115" t="s">
        <v>338</v>
      </c>
      <c r="B115" t="s">
        <v>84</v>
      </c>
      <c r="C115" t="s">
        <v>72</v>
      </c>
      <c r="D115" s="3">
        <v>45545</v>
      </c>
      <c r="E115" t="str">
        <f>VLOOKUP(B115,'PROCV GERENTES BD'!A:B,2,0)</f>
        <v>ADMINISTRAÇÃO</v>
      </c>
      <c r="F115" s="4" t="str">
        <f t="shared" si="9"/>
        <v>2024-09-1</v>
      </c>
      <c r="G115" t="str">
        <f t="shared" si="5"/>
        <v>ADMINISTRAÇÃO</v>
      </c>
      <c r="H115" t="str">
        <f t="shared" si="6"/>
        <v>ACQUION FOODTECH S/A</v>
      </c>
      <c r="I115">
        <f t="shared" si="7"/>
        <v>1</v>
      </c>
      <c r="J115">
        <f t="shared" si="8"/>
        <v>0</v>
      </c>
    </row>
    <row r="116" spans="1:10" x14ac:dyDescent="0.25">
      <c r="A116" t="s">
        <v>379</v>
      </c>
      <c r="B116" t="s">
        <v>122</v>
      </c>
      <c r="C116" t="s">
        <v>56</v>
      </c>
      <c r="D116" s="3">
        <v>45545</v>
      </c>
      <c r="E116" t="str">
        <f>VLOOKUP(B116,'PROCV GERENTES BD'!A:B,2,0)</f>
        <v>ADMINISTRAÇÃO</v>
      </c>
      <c r="F116" s="4" t="str">
        <f t="shared" si="9"/>
        <v>2024-09-1</v>
      </c>
      <c r="G116" t="str">
        <f t="shared" si="5"/>
        <v>ADMINISTRAÇÃO</v>
      </c>
      <c r="H116" t="str">
        <f t="shared" si="6"/>
        <v>ESPECIALI INDUSTRIA DE ALIMENTOS LTDA ME</v>
      </c>
      <c r="I116">
        <f t="shared" si="7"/>
        <v>0</v>
      </c>
      <c r="J116">
        <f t="shared" si="8"/>
        <v>1</v>
      </c>
    </row>
    <row r="117" spans="1:10" x14ac:dyDescent="0.25">
      <c r="A117" t="s">
        <v>380</v>
      </c>
      <c r="B117" t="s">
        <v>123</v>
      </c>
      <c r="C117" t="s">
        <v>72</v>
      </c>
      <c r="D117" s="3">
        <v>45545</v>
      </c>
      <c r="E117" t="str">
        <f>VLOOKUP(B117,'PROCV GERENTES BD'!A:B,2,0)</f>
        <v>ANTONIO CARLOS</v>
      </c>
      <c r="F117" s="4" t="str">
        <f t="shared" si="9"/>
        <v>2024-09-1</v>
      </c>
      <c r="G117" t="str">
        <f t="shared" si="5"/>
        <v>ANTONIO CARLOS</v>
      </c>
      <c r="H117" t="str">
        <f t="shared" si="6"/>
        <v>PREMOLDADOS MATOSINHOS LTDA EPP</v>
      </c>
      <c r="I117">
        <f t="shared" si="7"/>
        <v>1</v>
      </c>
      <c r="J117">
        <f t="shared" si="8"/>
        <v>0</v>
      </c>
    </row>
    <row r="118" spans="1:10" x14ac:dyDescent="0.25">
      <c r="A118" t="s">
        <v>381</v>
      </c>
      <c r="B118" t="s">
        <v>124</v>
      </c>
      <c r="C118" t="s">
        <v>72</v>
      </c>
      <c r="D118" s="3">
        <v>45545</v>
      </c>
      <c r="E118" t="str">
        <f>VLOOKUP(B118,'PROCV GERENTES BD'!A:B,2,0)</f>
        <v>ANTONIO CARLOS</v>
      </c>
      <c r="F118" s="4" t="str">
        <f t="shared" si="9"/>
        <v>2024-09-1</v>
      </c>
      <c r="G118" t="str">
        <f t="shared" si="5"/>
        <v>ANTONIO CARLOS</v>
      </c>
      <c r="H118" t="str">
        <f t="shared" si="6"/>
        <v>VIVAN TRANSPORTES LTDA</v>
      </c>
      <c r="I118">
        <f t="shared" si="7"/>
        <v>1</v>
      </c>
      <c r="J118">
        <f t="shared" si="8"/>
        <v>0</v>
      </c>
    </row>
    <row r="119" spans="1:10" x14ac:dyDescent="0.25">
      <c r="A119" t="s">
        <v>326</v>
      </c>
      <c r="B119" t="s">
        <v>86</v>
      </c>
      <c r="C119" t="s">
        <v>56</v>
      </c>
      <c r="D119" s="3">
        <v>45545</v>
      </c>
      <c r="E119" t="str">
        <f>VLOOKUP(B119,'PROCV GERENTES BD'!A:B,2,0)</f>
        <v>CELIO PIMENTA</v>
      </c>
      <c r="F119" s="4" t="str">
        <f t="shared" si="9"/>
        <v>2024-09-1</v>
      </c>
      <c r="G119" t="str">
        <f t="shared" si="5"/>
        <v>CELIO PIMENTA</v>
      </c>
      <c r="H119" t="str">
        <f t="shared" si="6"/>
        <v>IMPORTEXTIL COMERCIO DE TECIDOS LTDA</v>
      </c>
      <c r="I119">
        <f t="shared" si="7"/>
        <v>0</v>
      </c>
      <c r="J119">
        <f t="shared" si="8"/>
        <v>1</v>
      </c>
    </row>
    <row r="120" spans="1:10" x14ac:dyDescent="0.25">
      <c r="A120" t="s">
        <v>382</v>
      </c>
      <c r="B120" t="s">
        <v>125</v>
      </c>
      <c r="C120" t="s">
        <v>56</v>
      </c>
      <c r="D120" s="3">
        <v>45545</v>
      </c>
      <c r="E120" t="str">
        <f>VLOOKUP(B120,'PROCV GERENTES BD'!A:B,2,0)</f>
        <v>CELIO PIMENTA</v>
      </c>
      <c r="F120" s="4" t="str">
        <f t="shared" si="9"/>
        <v>2024-09-1</v>
      </c>
      <c r="G120" t="str">
        <f t="shared" si="5"/>
        <v>CELIO PIMENTA</v>
      </c>
      <c r="H120" t="str">
        <f t="shared" si="6"/>
        <v>MINAS ALIMENTOS E FRUTAS SECAS LTDA EPP</v>
      </c>
      <c r="I120">
        <f t="shared" si="7"/>
        <v>0</v>
      </c>
      <c r="J120">
        <f t="shared" si="8"/>
        <v>1</v>
      </c>
    </row>
    <row r="121" spans="1:10" x14ac:dyDescent="0.25">
      <c r="A121" t="s">
        <v>331</v>
      </c>
      <c r="B121" t="s">
        <v>126</v>
      </c>
      <c r="C121" t="s">
        <v>56</v>
      </c>
      <c r="D121" s="3">
        <v>45545</v>
      </c>
      <c r="E121" t="str">
        <f>VLOOKUP(B121,'PROCV GERENTES BD'!A:B,2,0)</f>
        <v>FITZ</v>
      </c>
      <c r="F121" s="4" t="str">
        <f t="shared" si="9"/>
        <v>2024-09-1</v>
      </c>
      <c r="G121" t="str">
        <f t="shared" si="5"/>
        <v>FITZ</v>
      </c>
      <c r="H121" t="str">
        <f t="shared" si="6"/>
        <v>TRANSHENRY TRANSPORTES LTDA</v>
      </c>
      <c r="I121">
        <f t="shared" si="7"/>
        <v>0</v>
      </c>
      <c r="J121">
        <f t="shared" si="8"/>
        <v>1</v>
      </c>
    </row>
    <row r="122" spans="1:10" x14ac:dyDescent="0.25">
      <c r="A122" t="s">
        <v>358</v>
      </c>
      <c r="B122" t="s">
        <v>101</v>
      </c>
      <c r="C122" t="s">
        <v>56</v>
      </c>
      <c r="D122" s="3">
        <v>45545</v>
      </c>
      <c r="E122" t="str">
        <f>VLOOKUP(B122,'PROCV GERENTES BD'!A:B,2,0)</f>
        <v>GRUPO OTTO</v>
      </c>
      <c r="F122" s="4" t="str">
        <f t="shared" si="9"/>
        <v>2024-09-1</v>
      </c>
      <c r="G122" t="str">
        <f t="shared" si="5"/>
        <v>GRUPO OTTO</v>
      </c>
      <c r="H122" t="str">
        <f t="shared" si="6"/>
        <v>PLURIFORME INDUSTRIA E COMERCIO DE UNIFORMES LTDA</v>
      </c>
      <c r="I122">
        <f t="shared" si="7"/>
        <v>0</v>
      </c>
      <c r="J122">
        <f t="shared" si="8"/>
        <v>1</v>
      </c>
    </row>
    <row r="123" spans="1:10" x14ac:dyDescent="0.25">
      <c r="A123" t="s">
        <v>383</v>
      </c>
      <c r="B123" t="s">
        <v>127</v>
      </c>
      <c r="C123" t="s">
        <v>72</v>
      </c>
      <c r="D123" s="3">
        <v>45545</v>
      </c>
      <c r="E123" t="str">
        <f>VLOOKUP(B123,'PROCV GERENTES BD'!A:B,2,0)</f>
        <v>NATALIA NUBIA</v>
      </c>
      <c r="F123" s="4" t="str">
        <f t="shared" si="9"/>
        <v>2024-09-1</v>
      </c>
      <c r="G123" t="str">
        <f t="shared" si="5"/>
        <v>NATALIA NUBIA</v>
      </c>
      <c r="H123" t="str">
        <f t="shared" si="6"/>
        <v>FARINELLI NUTRIMENTOS LTDA</v>
      </c>
      <c r="I123">
        <f t="shared" si="7"/>
        <v>1</v>
      </c>
      <c r="J123">
        <f t="shared" si="8"/>
        <v>0</v>
      </c>
    </row>
    <row r="124" spans="1:10" x14ac:dyDescent="0.25">
      <c r="A124" t="s">
        <v>348</v>
      </c>
      <c r="B124" t="s">
        <v>92</v>
      </c>
      <c r="C124" t="s">
        <v>56</v>
      </c>
      <c r="D124" s="3">
        <v>45545</v>
      </c>
      <c r="E124" t="str">
        <f>VLOOKUP(B124,'PROCV GERENTES BD'!A:B,2,0)</f>
        <v>NOELI SALETE</v>
      </c>
      <c r="F124" s="4" t="str">
        <f t="shared" si="9"/>
        <v>2024-09-1</v>
      </c>
      <c r="G124" t="str">
        <f t="shared" si="5"/>
        <v>NOELI SALETE</v>
      </c>
      <c r="H124" t="str">
        <f t="shared" si="6"/>
        <v>MEIO OESTE PAPEIS LTDA ME</v>
      </c>
      <c r="I124">
        <f t="shared" si="7"/>
        <v>0</v>
      </c>
      <c r="J124">
        <f t="shared" si="8"/>
        <v>1</v>
      </c>
    </row>
    <row r="125" spans="1:10" x14ac:dyDescent="0.25">
      <c r="A125" t="s">
        <v>378</v>
      </c>
      <c r="B125" t="s">
        <v>121</v>
      </c>
      <c r="C125" t="s">
        <v>72</v>
      </c>
      <c r="D125" s="3">
        <v>45545</v>
      </c>
      <c r="E125" t="str">
        <f>VLOOKUP(B125,'PROCV GERENTES BD'!A:B,2,0)</f>
        <v>POENATELA</v>
      </c>
      <c r="F125" s="4" t="str">
        <f t="shared" si="9"/>
        <v>2024-09-1</v>
      </c>
      <c r="G125" t="str">
        <f t="shared" si="5"/>
        <v>POENATELA</v>
      </c>
      <c r="H125" t="str">
        <f t="shared" si="6"/>
        <v>COOPERATIVA TRANSP AUTON CARGAS PASSAG SERVICOS LO</v>
      </c>
      <c r="I125">
        <f t="shared" si="7"/>
        <v>1</v>
      </c>
      <c r="J125">
        <f t="shared" si="8"/>
        <v>0</v>
      </c>
    </row>
    <row r="126" spans="1:10" x14ac:dyDescent="0.25">
      <c r="A126" t="s">
        <v>353</v>
      </c>
      <c r="B126" t="s">
        <v>96</v>
      </c>
      <c r="C126" t="s">
        <v>56</v>
      </c>
      <c r="D126" s="3">
        <v>45545</v>
      </c>
      <c r="E126" t="str">
        <f>VLOOKUP(B126,'PROCV GERENTES BD'!A:B,2,0)</f>
        <v>POENATELA</v>
      </c>
      <c r="F126" s="4" t="str">
        <f t="shared" si="9"/>
        <v>2024-09-1</v>
      </c>
      <c r="G126" t="str">
        <f t="shared" si="5"/>
        <v>POENATELA</v>
      </c>
      <c r="H126" t="str">
        <f t="shared" si="6"/>
        <v>GREEN FARMING FAZENDAS RENOVAVEIS LTDA</v>
      </c>
      <c r="I126">
        <f t="shared" si="7"/>
        <v>0</v>
      </c>
      <c r="J126">
        <f t="shared" si="8"/>
        <v>1</v>
      </c>
    </row>
    <row r="127" spans="1:10" x14ac:dyDescent="0.25">
      <c r="A127" t="s">
        <v>354</v>
      </c>
      <c r="B127" t="s">
        <v>97</v>
      </c>
      <c r="C127" t="s">
        <v>56</v>
      </c>
      <c r="D127" s="3">
        <v>45545</v>
      </c>
      <c r="E127" t="str">
        <f>VLOOKUP(B127,'PROCV GERENTES BD'!A:B,2,0)</f>
        <v>POENATELA</v>
      </c>
      <c r="F127" s="4" t="str">
        <f t="shared" si="9"/>
        <v>2024-09-1</v>
      </c>
      <c r="G127" t="str">
        <f t="shared" si="5"/>
        <v>POENATELA</v>
      </c>
      <c r="H127" t="str">
        <f t="shared" si="6"/>
        <v>UBERTEC SERVICE USINAGEM LTDA EPP</v>
      </c>
      <c r="I127">
        <f t="shared" si="7"/>
        <v>0</v>
      </c>
      <c r="J127">
        <f t="shared" si="8"/>
        <v>1</v>
      </c>
    </row>
    <row r="128" spans="1:10" x14ac:dyDescent="0.25">
      <c r="A128" t="s">
        <v>361</v>
      </c>
      <c r="B128" t="s">
        <v>103</v>
      </c>
      <c r="C128" t="s">
        <v>56</v>
      </c>
      <c r="D128" s="3">
        <v>45545</v>
      </c>
      <c r="E128" t="str">
        <f>VLOOKUP(B128,'PROCV GERENTES BD'!A:B,2,0)</f>
        <v>PRISCILA METZ</v>
      </c>
      <c r="F128" s="4" t="str">
        <f t="shared" si="9"/>
        <v>2024-09-1</v>
      </c>
      <c r="G128" t="str">
        <f t="shared" si="5"/>
        <v>PRISCILA METZ</v>
      </c>
      <c r="H128" t="str">
        <f t="shared" si="6"/>
        <v>ESSENZA INDUSTRIA QUIMICA LTDA</v>
      </c>
      <c r="I128">
        <f t="shared" si="7"/>
        <v>0</v>
      </c>
      <c r="J128">
        <f t="shared" si="8"/>
        <v>1</v>
      </c>
    </row>
    <row r="129" spans="1:10" x14ac:dyDescent="0.25">
      <c r="A129" t="s">
        <v>384</v>
      </c>
      <c r="B129" t="s">
        <v>128</v>
      </c>
      <c r="C129" t="s">
        <v>56</v>
      </c>
      <c r="D129" s="3">
        <v>45545</v>
      </c>
      <c r="E129" t="str">
        <f>VLOOKUP(B129,'PROCV GERENTES BD'!A:B,2,0)</f>
        <v>PRISCILA METZ</v>
      </c>
      <c r="F129" s="4" t="str">
        <f t="shared" si="9"/>
        <v>2024-09-1</v>
      </c>
      <c r="G129" t="str">
        <f t="shared" si="5"/>
        <v>PRISCILA METZ</v>
      </c>
      <c r="H129" t="str">
        <f t="shared" si="6"/>
        <v>NOVA DISTRIBUIDORA E ATACADO DE LIMPEZA LTDA</v>
      </c>
      <c r="I129">
        <f t="shared" si="7"/>
        <v>0</v>
      </c>
      <c r="J129">
        <f t="shared" si="8"/>
        <v>1</v>
      </c>
    </row>
    <row r="130" spans="1:10" x14ac:dyDescent="0.25">
      <c r="A130" t="s">
        <v>82</v>
      </c>
      <c r="B130" t="s">
        <v>83</v>
      </c>
      <c r="C130" t="s">
        <v>56</v>
      </c>
      <c r="D130" s="3">
        <v>45545</v>
      </c>
      <c r="E130" t="str">
        <f>VLOOKUP(B130,'PROCV GERENTES BD'!A:B,2,0)</f>
        <v>RAFAEL PARISE</v>
      </c>
      <c r="F130" s="4" t="str">
        <f t="shared" si="9"/>
        <v>2024-09-1</v>
      </c>
      <c r="G130" t="str">
        <f t="shared" ref="G130:G193" si="10">E130</f>
        <v>RAFAEL PARISE</v>
      </c>
      <c r="H130" t="str">
        <f t="shared" ref="H130:H193" si="11">B130</f>
        <v>UNITA AUTO PECAS LTDA EPP</v>
      </c>
      <c r="I130">
        <f t="shared" ref="I130:I193" si="12">IF(C130="EXCLUSAO  ANOT.INADIMPLENCIA",1,0)</f>
        <v>0</v>
      </c>
      <c r="J130">
        <f t="shared" ref="J130:J193" si="13">IF(C130="INCLUSAO  ANOT.INADIMPLENCIA",1,0)</f>
        <v>1</v>
      </c>
    </row>
    <row r="131" spans="1:10" x14ac:dyDescent="0.25">
      <c r="A131" t="s">
        <v>333</v>
      </c>
      <c r="B131" t="s">
        <v>129</v>
      </c>
      <c r="C131" t="s">
        <v>56</v>
      </c>
      <c r="D131" s="3">
        <v>45545</v>
      </c>
      <c r="E131" t="s">
        <v>25</v>
      </c>
      <c r="F131" s="4" t="str">
        <f t="shared" ref="F131:F194" si="14">YEAR(D131)&amp;"-"&amp;TEXT(MONTH(D131),"00")&amp;"-"&amp;IF(DAY(D131)&lt;=15,"1",IF(DAY(D131)&gt;15,"2",""))</f>
        <v>2024-09-1</v>
      </c>
      <c r="G131" t="str">
        <f t="shared" si="10"/>
        <v xml:space="preserve">ROGERIO </v>
      </c>
      <c r="H131" t="str">
        <f t="shared" si="11"/>
        <v>BIBE PRODUTOS INFANTIS LTDA</v>
      </c>
      <c r="I131">
        <f t="shared" si="12"/>
        <v>0</v>
      </c>
      <c r="J131">
        <f t="shared" si="13"/>
        <v>1</v>
      </c>
    </row>
    <row r="132" spans="1:10" x14ac:dyDescent="0.25">
      <c r="A132" t="s">
        <v>338</v>
      </c>
      <c r="B132" t="s">
        <v>84</v>
      </c>
      <c r="C132" t="s">
        <v>72</v>
      </c>
      <c r="D132" s="3">
        <v>45546</v>
      </c>
      <c r="E132" t="str">
        <f>VLOOKUP(B132,'PROCV GERENTES BD'!A:B,2,0)</f>
        <v>ADMINISTRAÇÃO</v>
      </c>
      <c r="F132" s="4" t="str">
        <f t="shared" si="14"/>
        <v>2024-09-1</v>
      </c>
      <c r="G132" t="str">
        <f t="shared" si="10"/>
        <v>ADMINISTRAÇÃO</v>
      </c>
      <c r="H132" t="str">
        <f t="shared" si="11"/>
        <v>ACQUION FOODTECH S/A</v>
      </c>
      <c r="I132">
        <f t="shared" si="12"/>
        <v>1</v>
      </c>
      <c r="J132">
        <f t="shared" si="13"/>
        <v>0</v>
      </c>
    </row>
    <row r="133" spans="1:10" x14ac:dyDescent="0.25">
      <c r="A133" t="s">
        <v>380</v>
      </c>
      <c r="B133" t="s">
        <v>123</v>
      </c>
      <c r="C133" t="s">
        <v>56</v>
      </c>
      <c r="D133" s="3">
        <v>45546</v>
      </c>
      <c r="E133" t="str">
        <f>VLOOKUP(B133,'PROCV GERENTES BD'!A:B,2,0)</f>
        <v>ANTONIO CARLOS</v>
      </c>
      <c r="F133" s="4" t="str">
        <f t="shared" si="14"/>
        <v>2024-09-1</v>
      </c>
      <c r="G133" t="str">
        <f t="shared" si="10"/>
        <v>ANTONIO CARLOS</v>
      </c>
      <c r="H133" t="str">
        <f t="shared" si="11"/>
        <v>PREMOLDADOS MATOSINHOS LTDA EPP</v>
      </c>
      <c r="I133">
        <f t="shared" si="12"/>
        <v>0</v>
      </c>
      <c r="J133">
        <f t="shared" si="13"/>
        <v>1</v>
      </c>
    </row>
    <row r="134" spans="1:10" x14ac:dyDescent="0.25">
      <c r="A134" t="s">
        <v>326</v>
      </c>
      <c r="B134" t="s">
        <v>86</v>
      </c>
      <c r="C134" t="s">
        <v>56</v>
      </c>
      <c r="D134" s="3">
        <v>45546</v>
      </c>
      <c r="E134" t="str">
        <f>VLOOKUP(B134,'PROCV GERENTES BD'!A:B,2,0)</f>
        <v>CELIO PIMENTA</v>
      </c>
      <c r="F134" s="4" t="str">
        <f t="shared" si="14"/>
        <v>2024-09-1</v>
      </c>
      <c r="G134" t="str">
        <f t="shared" si="10"/>
        <v>CELIO PIMENTA</v>
      </c>
      <c r="H134" t="str">
        <f t="shared" si="11"/>
        <v>IMPORTEXTIL COMERCIO DE TECIDOS LTDA</v>
      </c>
      <c r="I134">
        <f t="shared" si="12"/>
        <v>0</v>
      </c>
      <c r="J134">
        <f t="shared" si="13"/>
        <v>1</v>
      </c>
    </row>
    <row r="135" spans="1:10" x14ac:dyDescent="0.25">
      <c r="A135" t="s">
        <v>326</v>
      </c>
      <c r="B135" t="s">
        <v>86</v>
      </c>
      <c r="C135" t="s">
        <v>72</v>
      </c>
      <c r="D135" s="3">
        <v>45546</v>
      </c>
      <c r="E135" t="str">
        <f>VLOOKUP(B135,'PROCV GERENTES BD'!A:B,2,0)</f>
        <v>CELIO PIMENTA</v>
      </c>
      <c r="F135" s="4" t="str">
        <f t="shared" si="14"/>
        <v>2024-09-1</v>
      </c>
      <c r="G135" t="str">
        <f t="shared" si="10"/>
        <v>CELIO PIMENTA</v>
      </c>
      <c r="H135" t="str">
        <f t="shared" si="11"/>
        <v>IMPORTEXTIL COMERCIO DE TECIDOS LTDA</v>
      </c>
      <c r="I135">
        <f t="shared" si="12"/>
        <v>1</v>
      </c>
      <c r="J135">
        <f t="shared" si="13"/>
        <v>0</v>
      </c>
    </row>
    <row r="136" spans="1:10" x14ac:dyDescent="0.25">
      <c r="A136" t="s">
        <v>382</v>
      </c>
      <c r="B136" t="s">
        <v>125</v>
      </c>
      <c r="C136" t="s">
        <v>56</v>
      </c>
      <c r="D136" s="3">
        <v>45546</v>
      </c>
      <c r="E136" t="str">
        <f>VLOOKUP(B136,'PROCV GERENTES BD'!A:B,2,0)</f>
        <v>CELIO PIMENTA</v>
      </c>
      <c r="F136" s="4" t="str">
        <f t="shared" si="14"/>
        <v>2024-09-1</v>
      </c>
      <c r="G136" t="str">
        <f t="shared" si="10"/>
        <v>CELIO PIMENTA</v>
      </c>
      <c r="H136" t="str">
        <f t="shared" si="11"/>
        <v>MINAS ALIMENTOS E FRUTAS SECAS LTDA EPP</v>
      </c>
      <c r="I136">
        <f t="shared" si="12"/>
        <v>0</v>
      </c>
      <c r="J136">
        <f t="shared" si="13"/>
        <v>1</v>
      </c>
    </row>
    <row r="137" spans="1:10" x14ac:dyDescent="0.25">
      <c r="A137" t="s">
        <v>366</v>
      </c>
      <c r="B137" t="s">
        <v>111</v>
      </c>
      <c r="C137" t="s">
        <v>56</v>
      </c>
      <c r="D137" s="3">
        <v>45546</v>
      </c>
      <c r="E137" t="str">
        <f>VLOOKUP(B137,'PROCV GERENTES BD'!A:B,2,0)</f>
        <v>DIOGO AZEVEDO</v>
      </c>
      <c r="F137" s="4" t="str">
        <f t="shared" si="14"/>
        <v>2024-09-1</v>
      </c>
      <c r="G137" t="str">
        <f t="shared" si="10"/>
        <v>DIOGO AZEVEDO</v>
      </c>
      <c r="H137" t="str">
        <f t="shared" si="11"/>
        <v>INDUSTRIA E CERVEJARIA ARTESANAL DE MINAS GERAIS L</v>
      </c>
      <c r="I137">
        <f t="shared" si="12"/>
        <v>0</v>
      </c>
      <c r="J137">
        <f t="shared" si="13"/>
        <v>1</v>
      </c>
    </row>
    <row r="138" spans="1:10" x14ac:dyDescent="0.25">
      <c r="A138" t="s">
        <v>347</v>
      </c>
      <c r="B138" t="s">
        <v>93</v>
      </c>
      <c r="C138" t="s">
        <v>56</v>
      </c>
      <c r="D138" s="3">
        <v>45546</v>
      </c>
      <c r="E138" t="str">
        <f>VLOOKUP(B138,'PROCV GERENTES BD'!A:B,2,0)</f>
        <v>NOELI SALETE</v>
      </c>
      <c r="F138" s="4" t="str">
        <f t="shared" si="14"/>
        <v>2024-09-1</v>
      </c>
      <c r="G138" t="str">
        <f t="shared" si="10"/>
        <v>NOELI SALETE</v>
      </c>
      <c r="H138" t="str">
        <f t="shared" si="11"/>
        <v>RODOBOX TRANSPORTES E ARMAZENAGEM DE CARGAS LTDA</v>
      </c>
      <c r="I138">
        <f t="shared" si="12"/>
        <v>0</v>
      </c>
      <c r="J138">
        <f t="shared" si="13"/>
        <v>1</v>
      </c>
    </row>
    <row r="139" spans="1:10" x14ac:dyDescent="0.25">
      <c r="A139" t="s">
        <v>348</v>
      </c>
      <c r="B139" t="s">
        <v>92</v>
      </c>
      <c r="C139" t="s">
        <v>56</v>
      </c>
      <c r="D139" s="3">
        <v>45546</v>
      </c>
      <c r="E139" t="str">
        <f>VLOOKUP(B139,'PROCV GERENTES BD'!A:B,2,0)</f>
        <v>NOELI SALETE</v>
      </c>
      <c r="F139" s="4" t="str">
        <f t="shared" si="14"/>
        <v>2024-09-1</v>
      </c>
      <c r="G139" t="str">
        <f t="shared" si="10"/>
        <v>NOELI SALETE</v>
      </c>
      <c r="H139" t="str">
        <f t="shared" si="11"/>
        <v>MEIO OESTE PAPEIS LTDA ME</v>
      </c>
      <c r="I139">
        <f t="shared" si="12"/>
        <v>0</v>
      </c>
      <c r="J139">
        <f t="shared" si="13"/>
        <v>1</v>
      </c>
    </row>
    <row r="140" spans="1:10" x14ac:dyDescent="0.25">
      <c r="A140" t="s">
        <v>353</v>
      </c>
      <c r="B140" t="s">
        <v>96</v>
      </c>
      <c r="C140" t="s">
        <v>56</v>
      </c>
      <c r="D140" s="3">
        <v>45546</v>
      </c>
      <c r="E140" t="str">
        <f>VLOOKUP(B140,'PROCV GERENTES BD'!A:B,2,0)</f>
        <v>POENATELA</v>
      </c>
      <c r="F140" s="4" t="str">
        <f t="shared" si="14"/>
        <v>2024-09-1</v>
      </c>
      <c r="G140" t="str">
        <f t="shared" si="10"/>
        <v>POENATELA</v>
      </c>
      <c r="H140" t="str">
        <f t="shared" si="11"/>
        <v>GREEN FARMING FAZENDAS RENOVAVEIS LTDA</v>
      </c>
      <c r="I140">
        <f t="shared" si="12"/>
        <v>0</v>
      </c>
      <c r="J140">
        <f t="shared" si="13"/>
        <v>1</v>
      </c>
    </row>
    <row r="141" spans="1:10" x14ac:dyDescent="0.25">
      <c r="A141" t="s">
        <v>354</v>
      </c>
      <c r="B141" t="s">
        <v>97</v>
      </c>
      <c r="C141" t="s">
        <v>72</v>
      </c>
      <c r="D141" s="3">
        <v>45546</v>
      </c>
      <c r="E141" t="str">
        <f>VLOOKUP(B141,'PROCV GERENTES BD'!A:B,2,0)</f>
        <v>POENATELA</v>
      </c>
      <c r="F141" s="4" t="str">
        <f t="shared" si="14"/>
        <v>2024-09-1</v>
      </c>
      <c r="G141" t="str">
        <f t="shared" si="10"/>
        <v>POENATELA</v>
      </c>
      <c r="H141" t="str">
        <f t="shared" si="11"/>
        <v>UBERTEC SERVICE USINAGEM LTDA EPP</v>
      </c>
      <c r="I141">
        <f t="shared" si="12"/>
        <v>1</v>
      </c>
      <c r="J141">
        <f t="shared" si="13"/>
        <v>0</v>
      </c>
    </row>
    <row r="142" spans="1:10" x14ac:dyDescent="0.25">
      <c r="A142" t="s">
        <v>82</v>
      </c>
      <c r="B142" t="s">
        <v>83</v>
      </c>
      <c r="C142" t="s">
        <v>72</v>
      </c>
      <c r="D142" s="3">
        <v>45546</v>
      </c>
      <c r="E142" t="str">
        <f>VLOOKUP(B142,'PROCV GERENTES BD'!A:B,2,0)</f>
        <v>RAFAEL PARISE</v>
      </c>
      <c r="F142" s="4" t="str">
        <f t="shared" si="14"/>
        <v>2024-09-1</v>
      </c>
      <c r="G142" t="str">
        <f t="shared" si="10"/>
        <v>RAFAEL PARISE</v>
      </c>
      <c r="H142" t="str">
        <f t="shared" si="11"/>
        <v>UNITA AUTO PECAS LTDA EPP</v>
      </c>
      <c r="I142">
        <f t="shared" si="12"/>
        <v>1</v>
      </c>
      <c r="J142">
        <f t="shared" si="13"/>
        <v>0</v>
      </c>
    </row>
    <row r="143" spans="1:10" x14ac:dyDescent="0.25">
      <c r="A143" t="s">
        <v>375</v>
      </c>
      <c r="B143" t="s">
        <v>119</v>
      </c>
      <c r="C143" t="s">
        <v>56</v>
      </c>
      <c r="D143" s="3">
        <v>45547</v>
      </c>
      <c r="E143" t="str">
        <f>VLOOKUP(B143,'PROCV GERENTES BD'!A:B,2,0)</f>
        <v>ADMINISTRAÇÃO</v>
      </c>
      <c r="F143" s="4" t="str">
        <f t="shared" si="14"/>
        <v>2024-09-1</v>
      </c>
      <c r="G143" t="str">
        <f t="shared" si="10"/>
        <v>ADMINISTRAÇÃO</v>
      </c>
      <c r="H143" t="str">
        <f t="shared" si="11"/>
        <v>DISPA DISTRIBUIDORA SAO PAULO LTDA ME</v>
      </c>
      <c r="I143">
        <f t="shared" si="12"/>
        <v>0</v>
      </c>
      <c r="J143">
        <f t="shared" si="13"/>
        <v>1</v>
      </c>
    </row>
    <row r="144" spans="1:10" x14ac:dyDescent="0.25">
      <c r="A144" t="s">
        <v>380</v>
      </c>
      <c r="B144" t="s">
        <v>123</v>
      </c>
      <c r="C144" t="s">
        <v>72</v>
      </c>
      <c r="D144" s="3">
        <v>45547</v>
      </c>
      <c r="E144" t="str">
        <f>VLOOKUP(B144,'PROCV GERENTES BD'!A:B,2,0)</f>
        <v>ANTONIO CARLOS</v>
      </c>
      <c r="F144" s="4" t="str">
        <f t="shared" si="14"/>
        <v>2024-09-1</v>
      </c>
      <c r="G144" t="str">
        <f t="shared" si="10"/>
        <v>ANTONIO CARLOS</v>
      </c>
      <c r="H144" t="str">
        <f t="shared" si="11"/>
        <v>PREMOLDADOS MATOSINHOS LTDA EPP</v>
      </c>
      <c r="I144">
        <f t="shared" si="12"/>
        <v>1</v>
      </c>
      <c r="J144">
        <f t="shared" si="13"/>
        <v>0</v>
      </c>
    </row>
    <row r="145" spans="1:10" x14ac:dyDescent="0.25">
      <c r="A145" t="s">
        <v>311</v>
      </c>
      <c r="B145" t="s">
        <v>130</v>
      </c>
      <c r="C145" t="s">
        <v>56</v>
      </c>
      <c r="D145" s="3">
        <v>45547</v>
      </c>
      <c r="E145" t="str">
        <f>VLOOKUP(B145,'PROCV GERENTES BD'!A:B,2,0)</f>
        <v>ANTONIO CARLOS</v>
      </c>
      <c r="F145" s="4" t="str">
        <f t="shared" si="14"/>
        <v>2024-09-1</v>
      </c>
      <c r="G145" t="str">
        <f t="shared" si="10"/>
        <v>ANTONIO CARLOS</v>
      </c>
      <c r="H145" t="str">
        <f t="shared" si="11"/>
        <v>VIC LOGISTICA LTDA EM RECUPERACAO JUDICIAL</v>
      </c>
      <c r="I145">
        <f t="shared" si="12"/>
        <v>0</v>
      </c>
      <c r="J145">
        <f t="shared" si="13"/>
        <v>1</v>
      </c>
    </row>
    <row r="146" spans="1:10" x14ac:dyDescent="0.25">
      <c r="A146" t="s">
        <v>385</v>
      </c>
      <c r="B146" t="s">
        <v>131</v>
      </c>
      <c r="C146" t="s">
        <v>56</v>
      </c>
      <c r="D146" s="3">
        <v>45547</v>
      </c>
      <c r="E146" t="str">
        <f>VLOOKUP(B146,'PROCV GERENTES BD'!A:B,2,0)</f>
        <v>EDUARDO MATOSO</v>
      </c>
      <c r="F146" s="4" t="str">
        <f t="shared" si="14"/>
        <v>2024-09-1</v>
      </c>
      <c r="G146" t="str">
        <f t="shared" si="10"/>
        <v>EDUARDO MATOSO</v>
      </c>
      <c r="H146" t="str">
        <f t="shared" si="11"/>
        <v>STONE ENGENHARIA E MONTAGENS INDUSTRIAIS LTDA</v>
      </c>
      <c r="I146">
        <f t="shared" si="12"/>
        <v>0</v>
      </c>
      <c r="J146">
        <f t="shared" si="13"/>
        <v>1</v>
      </c>
    </row>
    <row r="147" spans="1:10" x14ac:dyDescent="0.25">
      <c r="A147" t="s">
        <v>341</v>
      </c>
      <c r="B147" t="s">
        <v>88</v>
      </c>
      <c r="C147" t="s">
        <v>72</v>
      </c>
      <c r="D147" s="3">
        <v>45547</v>
      </c>
      <c r="E147" t="str">
        <f>VLOOKUP(B147,'PROCV GERENTES BD'!A:B,2,0)</f>
        <v>LUIS GUSTAVO</v>
      </c>
      <c r="F147" s="4" t="str">
        <f t="shared" si="14"/>
        <v>2024-09-1</v>
      </c>
      <c r="G147" t="str">
        <f t="shared" si="10"/>
        <v>LUIS GUSTAVO</v>
      </c>
      <c r="H147" t="str">
        <f t="shared" si="11"/>
        <v>BETMIX CONCRETO LTDA</v>
      </c>
      <c r="I147">
        <f t="shared" si="12"/>
        <v>1</v>
      </c>
      <c r="J147">
        <f t="shared" si="13"/>
        <v>0</v>
      </c>
    </row>
    <row r="148" spans="1:10" x14ac:dyDescent="0.25">
      <c r="A148" t="s">
        <v>348</v>
      </c>
      <c r="B148" t="s">
        <v>92</v>
      </c>
      <c r="C148" t="s">
        <v>56</v>
      </c>
      <c r="D148" s="3">
        <v>45547</v>
      </c>
      <c r="E148" t="str">
        <f>VLOOKUP(B148,'PROCV GERENTES BD'!A:B,2,0)</f>
        <v>NOELI SALETE</v>
      </c>
      <c r="F148" s="4" t="str">
        <f t="shared" si="14"/>
        <v>2024-09-1</v>
      </c>
      <c r="G148" t="str">
        <f t="shared" si="10"/>
        <v>NOELI SALETE</v>
      </c>
      <c r="H148" t="str">
        <f t="shared" si="11"/>
        <v>MEIO OESTE PAPEIS LTDA ME</v>
      </c>
      <c r="I148">
        <f t="shared" si="12"/>
        <v>0</v>
      </c>
      <c r="J148">
        <f t="shared" si="13"/>
        <v>1</v>
      </c>
    </row>
    <row r="149" spans="1:10" x14ac:dyDescent="0.25">
      <c r="A149" t="s">
        <v>353</v>
      </c>
      <c r="B149" t="s">
        <v>96</v>
      </c>
      <c r="C149" t="s">
        <v>56</v>
      </c>
      <c r="D149" s="3">
        <v>45547</v>
      </c>
      <c r="E149" t="str">
        <f>VLOOKUP(B149,'PROCV GERENTES BD'!A:B,2,0)</f>
        <v>POENATELA</v>
      </c>
      <c r="F149" s="4" t="str">
        <f t="shared" si="14"/>
        <v>2024-09-1</v>
      </c>
      <c r="G149" t="str">
        <f t="shared" si="10"/>
        <v>POENATELA</v>
      </c>
      <c r="H149" t="str">
        <f t="shared" si="11"/>
        <v>GREEN FARMING FAZENDAS RENOVAVEIS LTDA</v>
      </c>
      <c r="I149">
        <f t="shared" si="12"/>
        <v>0</v>
      </c>
      <c r="J149">
        <f t="shared" si="13"/>
        <v>1</v>
      </c>
    </row>
    <row r="150" spans="1:10" x14ac:dyDescent="0.25">
      <c r="A150" t="s">
        <v>354</v>
      </c>
      <c r="B150" t="s">
        <v>97</v>
      </c>
      <c r="C150" t="s">
        <v>56</v>
      </c>
      <c r="D150" s="3">
        <v>45547</v>
      </c>
      <c r="E150" t="str">
        <f>VLOOKUP(B150,'PROCV GERENTES BD'!A:B,2,0)</f>
        <v>POENATELA</v>
      </c>
      <c r="F150" s="4" t="str">
        <f t="shared" si="14"/>
        <v>2024-09-1</v>
      </c>
      <c r="G150" t="str">
        <f t="shared" si="10"/>
        <v>POENATELA</v>
      </c>
      <c r="H150" t="str">
        <f t="shared" si="11"/>
        <v>UBERTEC SERVICE USINAGEM LTDA EPP</v>
      </c>
      <c r="I150">
        <f t="shared" si="12"/>
        <v>0</v>
      </c>
      <c r="J150">
        <f t="shared" si="13"/>
        <v>1</v>
      </c>
    </row>
    <row r="151" spans="1:10" x14ac:dyDescent="0.25">
      <c r="A151" t="s">
        <v>384</v>
      </c>
      <c r="B151" t="s">
        <v>128</v>
      </c>
      <c r="C151" t="s">
        <v>72</v>
      </c>
      <c r="D151" s="3">
        <v>45547</v>
      </c>
      <c r="E151" t="str">
        <f>VLOOKUP(B151,'PROCV GERENTES BD'!A:B,2,0)</f>
        <v>PRISCILA METZ</v>
      </c>
      <c r="F151" s="4" t="str">
        <f t="shared" si="14"/>
        <v>2024-09-1</v>
      </c>
      <c r="G151" t="str">
        <f t="shared" si="10"/>
        <v>PRISCILA METZ</v>
      </c>
      <c r="H151" t="str">
        <f t="shared" si="11"/>
        <v>NOVA DISTRIBUIDORA E ATACADO DE LIMPEZA LTDA</v>
      </c>
      <c r="I151">
        <f t="shared" si="12"/>
        <v>1</v>
      </c>
      <c r="J151">
        <f t="shared" si="13"/>
        <v>0</v>
      </c>
    </row>
    <row r="152" spans="1:10" x14ac:dyDescent="0.25">
      <c r="A152" t="s">
        <v>375</v>
      </c>
      <c r="B152" t="s">
        <v>119</v>
      </c>
      <c r="C152" t="s">
        <v>56</v>
      </c>
      <c r="D152" s="3">
        <v>45548</v>
      </c>
      <c r="E152" t="str">
        <f>VLOOKUP(B152,'PROCV GERENTES BD'!A:B,2,0)</f>
        <v>ADMINISTRAÇÃO</v>
      </c>
      <c r="F152" s="4" t="str">
        <f t="shared" si="14"/>
        <v>2024-09-1</v>
      </c>
      <c r="G152" t="str">
        <f t="shared" si="10"/>
        <v>ADMINISTRAÇÃO</v>
      </c>
      <c r="H152" t="str">
        <f t="shared" si="11"/>
        <v>DISPA DISTRIBUIDORA SAO PAULO LTDA ME</v>
      </c>
      <c r="I152">
        <f t="shared" si="12"/>
        <v>0</v>
      </c>
      <c r="J152">
        <f t="shared" si="13"/>
        <v>1</v>
      </c>
    </row>
    <row r="153" spans="1:10" x14ac:dyDescent="0.25">
      <c r="A153" t="s">
        <v>326</v>
      </c>
      <c r="B153" t="s">
        <v>86</v>
      </c>
      <c r="C153" t="s">
        <v>59</v>
      </c>
      <c r="D153" s="3">
        <v>45548</v>
      </c>
      <c r="E153" t="str">
        <f>VLOOKUP(B153,'PROCV GERENTES BD'!A:B,2,0)</f>
        <v>CELIO PIMENTA</v>
      </c>
      <c r="F153" s="4" t="str">
        <f t="shared" si="14"/>
        <v>2024-09-1</v>
      </c>
      <c r="G153" t="str">
        <f t="shared" si="10"/>
        <v>CELIO PIMENTA</v>
      </c>
      <c r="H153" t="str">
        <f t="shared" si="11"/>
        <v>IMPORTEXTIL COMERCIO DE TECIDOS LTDA</v>
      </c>
      <c r="I153">
        <f t="shared" si="12"/>
        <v>0</v>
      </c>
      <c r="J153">
        <f t="shared" si="13"/>
        <v>0</v>
      </c>
    </row>
    <row r="154" spans="1:10" x14ac:dyDescent="0.25">
      <c r="A154" t="s">
        <v>386</v>
      </c>
      <c r="B154" t="s">
        <v>132</v>
      </c>
      <c r="C154" t="s">
        <v>56</v>
      </c>
      <c r="D154" s="3">
        <v>45548</v>
      </c>
      <c r="E154" t="str">
        <f>VLOOKUP(B154,'PROCV GERENTES BD'!A:B,2,0)</f>
        <v>CELIO PIMENTA</v>
      </c>
      <c r="F154" s="4" t="str">
        <f t="shared" si="14"/>
        <v>2024-09-1</v>
      </c>
      <c r="G154" t="str">
        <f t="shared" si="10"/>
        <v>CELIO PIMENTA</v>
      </c>
      <c r="H154" t="str">
        <f t="shared" si="11"/>
        <v>PHOENIX LOG TRANSPORTES LTDA EPP</v>
      </c>
      <c r="I154">
        <f t="shared" si="12"/>
        <v>0</v>
      </c>
      <c r="J154">
        <f t="shared" si="13"/>
        <v>1</v>
      </c>
    </row>
    <row r="155" spans="1:10" x14ac:dyDescent="0.25">
      <c r="A155" t="s">
        <v>385</v>
      </c>
      <c r="B155" t="s">
        <v>131</v>
      </c>
      <c r="C155" t="s">
        <v>56</v>
      </c>
      <c r="D155" s="3">
        <v>45548</v>
      </c>
      <c r="E155" t="str">
        <f>VLOOKUP(B155,'PROCV GERENTES BD'!A:B,2,0)</f>
        <v>EDUARDO MATOSO</v>
      </c>
      <c r="F155" s="4" t="str">
        <f t="shared" si="14"/>
        <v>2024-09-1</v>
      </c>
      <c r="G155" t="str">
        <f t="shared" si="10"/>
        <v>EDUARDO MATOSO</v>
      </c>
      <c r="H155" t="str">
        <f t="shared" si="11"/>
        <v>STONE ENGENHARIA E MONTAGENS INDUSTRIAIS LTDA</v>
      </c>
      <c r="I155">
        <f t="shared" si="12"/>
        <v>0</v>
      </c>
      <c r="J155">
        <f t="shared" si="13"/>
        <v>1</v>
      </c>
    </row>
    <row r="156" spans="1:10" x14ac:dyDescent="0.25">
      <c r="A156" t="s">
        <v>348</v>
      </c>
      <c r="B156" t="s">
        <v>92</v>
      </c>
      <c r="C156" t="s">
        <v>56</v>
      </c>
      <c r="D156" s="3">
        <v>45548</v>
      </c>
      <c r="E156" t="str">
        <f>VLOOKUP(B156,'PROCV GERENTES BD'!A:B,2,0)</f>
        <v>NOELI SALETE</v>
      </c>
      <c r="F156" s="4" t="str">
        <f t="shared" si="14"/>
        <v>2024-09-1</v>
      </c>
      <c r="G156" t="str">
        <f t="shared" si="10"/>
        <v>NOELI SALETE</v>
      </c>
      <c r="H156" t="str">
        <f t="shared" si="11"/>
        <v>MEIO OESTE PAPEIS LTDA ME</v>
      </c>
      <c r="I156">
        <f t="shared" si="12"/>
        <v>0</v>
      </c>
      <c r="J156">
        <f t="shared" si="13"/>
        <v>1</v>
      </c>
    </row>
    <row r="157" spans="1:10" x14ac:dyDescent="0.25">
      <c r="A157" t="s">
        <v>338</v>
      </c>
      <c r="B157" t="s">
        <v>84</v>
      </c>
      <c r="C157" t="s">
        <v>56</v>
      </c>
      <c r="D157" s="3">
        <v>45551</v>
      </c>
      <c r="E157" t="str">
        <f>VLOOKUP(B157,'PROCV GERENTES BD'!A:B,2,0)</f>
        <v>ADMINISTRAÇÃO</v>
      </c>
      <c r="F157" s="4" t="str">
        <f t="shared" si="14"/>
        <v>2024-09-2</v>
      </c>
      <c r="G157" t="str">
        <f t="shared" si="10"/>
        <v>ADMINISTRAÇÃO</v>
      </c>
      <c r="H157" t="str">
        <f t="shared" si="11"/>
        <v>ACQUION FOODTECH S/A</v>
      </c>
      <c r="I157">
        <f t="shared" si="12"/>
        <v>0</v>
      </c>
      <c r="J157">
        <f t="shared" si="13"/>
        <v>1</v>
      </c>
    </row>
    <row r="158" spans="1:10" x14ac:dyDescent="0.25">
      <c r="A158" t="s">
        <v>387</v>
      </c>
      <c r="B158" t="s">
        <v>133</v>
      </c>
      <c r="C158" t="s">
        <v>56</v>
      </c>
      <c r="D158" s="3">
        <v>45551</v>
      </c>
      <c r="E158" t="str">
        <f>VLOOKUP(B158,'PROCV GERENTES BD'!A:B,2,0)</f>
        <v>ADMINISTRAÇÃO</v>
      </c>
      <c r="F158" s="4" t="str">
        <f t="shared" si="14"/>
        <v>2024-09-2</v>
      </c>
      <c r="G158" t="str">
        <f t="shared" si="10"/>
        <v>ADMINISTRAÇÃO</v>
      </c>
      <c r="H158" t="str">
        <f t="shared" si="11"/>
        <v>ENXOVAIS MINAS LTDA ME</v>
      </c>
      <c r="I158">
        <f t="shared" si="12"/>
        <v>0</v>
      </c>
      <c r="J158">
        <f t="shared" si="13"/>
        <v>1</v>
      </c>
    </row>
    <row r="159" spans="1:10" x14ac:dyDescent="0.25">
      <c r="A159" t="s">
        <v>388</v>
      </c>
      <c r="B159" t="s">
        <v>134</v>
      </c>
      <c r="C159" t="s">
        <v>56</v>
      </c>
      <c r="D159" s="3">
        <v>45551</v>
      </c>
      <c r="E159" t="str">
        <f>VLOOKUP(B159,'PROCV GERENTES BD'!A:B,2,0)</f>
        <v>ADMINISTRAÇÃO</v>
      </c>
      <c r="F159" s="4" t="str">
        <f t="shared" si="14"/>
        <v>2024-09-2</v>
      </c>
      <c r="G159" t="str">
        <f t="shared" si="10"/>
        <v>ADMINISTRAÇÃO</v>
      </c>
      <c r="H159" t="str">
        <f t="shared" si="11"/>
        <v>MG CONSULT DIST LTDA EPP</v>
      </c>
      <c r="I159">
        <f t="shared" si="12"/>
        <v>0</v>
      </c>
      <c r="J159">
        <f t="shared" si="13"/>
        <v>1</v>
      </c>
    </row>
    <row r="160" spans="1:10" x14ac:dyDescent="0.25">
      <c r="A160" t="s">
        <v>389</v>
      </c>
      <c r="B160" t="s">
        <v>135</v>
      </c>
      <c r="C160" t="s">
        <v>56</v>
      </c>
      <c r="D160" s="3">
        <v>45551</v>
      </c>
      <c r="E160" t="str">
        <f>VLOOKUP(B160,'PROCV GERENTES BD'!A:B,2,0)</f>
        <v>ADMINISTRAÇÃO</v>
      </c>
      <c r="F160" s="4" t="str">
        <f t="shared" si="14"/>
        <v>2024-09-2</v>
      </c>
      <c r="G160" t="str">
        <f t="shared" si="10"/>
        <v>ADMINISTRAÇÃO</v>
      </c>
      <c r="H160" t="str">
        <f t="shared" si="11"/>
        <v>MOLAS ANEL POSTO DE TROCA LTDA EPP</v>
      </c>
      <c r="I160">
        <f t="shared" si="12"/>
        <v>0</v>
      </c>
      <c r="J160">
        <f t="shared" si="13"/>
        <v>1</v>
      </c>
    </row>
    <row r="161" spans="1:10" x14ac:dyDescent="0.25">
      <c r="A161" t="s">
        <v>390</v>
      </c>
      <c r="B161" t="s">
        <v>136</v>
      </c>
      <c r="C161" t="s">
        <v>56</v>
      </c>
      <c r="D161" s="3">
        <v>45551</v>
      </c>
      <c r="E161" t="str">
        <f>VLOOKUP(B161,'PROCV GERENTES BD'!A:B,2,0)</f>
        <v>ADMINISTRAÇÃO</v>
      </c>
      <c r="F161" s="4" t="str">
        <f t="shared" si="14"/>
        <v>2024-09-2</v>
      </c>
      <c r="G161" t="str">
        <f t="shared" si="10"/>
        <v>ADMINISTRAÇÃO</v>
      </c>
      <c r="H161" t="str">
        <f t="shared" si="11"/>
        <v>XEQUE MATE BEBIDAS LTDA ME</v>
      </c>
      <c r="I161">
        <f t="shared" si="12"/>
        <v>0</v>
      </c>
      <c r="J161">
        <f t="shared" si="13"/>
        <v>1</v>
      </c>
    </row>
    <row r="162" spans="1:10" x14ac:dyDescent="0.25">
      <c r="A162" t="s">
        <v>326</v>
      </c>
      <c r="B162" t="s">
        <v>86</v>
      </c>
      <c r="C162" t="s">
        <v>59</v>
      </c>
      <c r="D162" s="3">
        <v>45551</v>
      </c>
      <c r="E162" t="str">
        <f>VLOOKUP(B162,'PROCV GERENTES BD'!A:B,2,0)</f>
        <v>CELIO PIMENTA</v>
      </c>
      <c r="F162" s="4" t="str">
        <f t="shared" si="14"/>
        <v>2024-09-2</v>
      </c>
      <c r="G162" t="str">
        <f t="shared" si="10"/>
        <v>CELIO PIMENTA</v>
      </c>
      <c r="H162" t="str">
        <f t="shared" si="11"/>
        <v>IMPORTEXTIL COMERCIO DE TECIDOS LTDA</v>
      </c>
      <c r="I162">
        <f t="shared" si="12"/>
        <v>0</v>
      </c>
      <c r="J162">
        <f t="shared" si="13"/>
        <v>0</v>
      </c>
    </row>
    <row r="163" spans="1:10" x14ac:dyDescent="0.25">
      <c r="A163" t="s">
        <v>391</v>
      </c>
      <c r="B163" t="s">
        <v>137</v>
      </c>
      <c r="C163" t="s">
        <v>56</v>
      </c>
      <c r="D163" s="3">
        <v>45551</v>
      </c>
      <c r="E163" t="str">
        <f>VLOOKUP(B163,'PROCV GERENTES BD'!A:B,2,0)</f>
        <v>CELIO PIMENTA</v>
      </c>
      <c r="F163" s="4" t="str">
        <f t="shared" si="14"/>
        <v>2024-09-2</v>
      </c>
      <c r="G163" t="str">
        <f t="shared" si="10"/>
        <v>CELIO PIMENTA</v>
      </c>
      <c r="H163" t="str">
        <f t="shared" si="11"/>
        <v>JR X IMPORT LTDA EPP</v>
      </c>
      <c r="I163">
        <f t="shared" si="12"/>
        <v>0</v>
      </c>
      <c r="J163">
        <f t="shared" si="13"/>
        <v>1</v>
      </c>
    </row>
    <row r="164" spans="1:10" x14ac:dyDescent="0.25">
      <c r="A164" t="s">
        <v>386</v>
      </c>
      <c r="B164" t="s">
        <v>132</v>
      </c>
      <c r="C164" t="s">
        <v>56</v>
      </c>
      <c r="D164" s="3">
        <v>45551</v>
      </c>
      <c r="E164" t="str">
        <f>VLOOKUP(B164,'PROCV GERENTES BD'!A:B,2,0)</f>
        <v>CELIO PIMENTA</v>
      </c>
      <c r="F164" s="4" t="str">
        <f t="shared" si="14"/>
        <v>2024-09-2</v>
      </c>
      <c r="G164" t="str">
        <f t="shared" si="10"/>
        <v>CELIO PIMENTA</v>
      </c>
      <c r="H164" t="str">
        <f t="shared" si="11"/>
        <v>PHOENIX LOG TRANSPORTES LTDA EPP</v>
      </c>
      <c r="I164">
        <f t="shared" si="12"/>
        <v>0</v>
      </c>
      <c r="J164">
        <f t="shared" si="13"/>
        <v>1</v>
      </c>
    </row>
    <row r="165" spans="1:10" x14ac:dyDescent="0.25">
      <c r="A165" t="s">
        <v>60</v>
      </c>
      <c r="B165" t="s">
        <v>61</v>
      </c>
      <c r="C165" t="s">
        <v>56</v>
      </c>
      <c r="D165" s="3">
        <v>45551</v>
      </c>
      <c r="E165" t="str">
        <f>VLOOKUP(B165,'PROCV GERENTES BD'!A:B,2,0)</f>
        <v>CELIO PIMENTA</v>
      </c>
      <c r="F165" s="4" t="str">
        <f t="shared" si="14"/>
        <v>2024-09-2</v>
      </c>
      <c r="G165" t="str">
        <f t="shared" si="10"/>
        <v>CELIO PIMENTA</v>
      </c>
      <c r="H165" t="str">
        <f t="shared" si="11"/>
        <v>WJ CALDEIRARIA INDUSTRIA E COMERCIO LTDA ME</v>
      </c>
      <c r="I165">
        <f t="shared" si="12"/>
        <v>0</v>
      </c>
      <c r="J165">
        <f t="shared" si="13"/>
        <v>1</v>
      </c>
    </row>
    <row r="166" spans="1:10" x14ac:dyDescent="0.25">
      <c r="A166" t="s">
        <v>366</v>
      </c>
      <c r="B166" t="s">
        <v>111</v>
      </c>
      <c r="C166" t="s">
        <v>56</v>
      </c>
      <c r="D166" s="3">
        <v>45551</v>
      </c>
      <c r="E166" t="str">
        <f>VLOOKUP(B166,'PROCV GERENTES BD'!A:B,2,0)</f>
        <v>DIOGO AZEVEDO</v>
      </c>
      <c r="F166" s="4" t="str">
        <f t="shared" si="14"/>
        <v>2024-09-2</v>
      </c>
      <c r="G166" t="str">
        <f t="shared" si="10"/>
        <v>DIOGO AZEVEDO</v>
      </c>
      <c r="H166" t="str">
        <f t="shared" si="11"/>
        <v>INDUSTRIA E CERVEJARIA ARTESANAL DE MINAS GERAIS L</v>
      </c>
      <c r="I166">
        <f t="shared" si="12"/>
        <v>0</v>
      </c>
      <c r="J166">
        <f t="shared" si="13"/>
        <v>1</v>
      </c>
    </row>
    <row r="167" spans="1:10" x14ac:dyDescent="0.25">
      <c r="A167" t="s">
        <v>385</v>
      </c>
      <c r="B167" t="s">
        <v>131</v>
      </c>
      <c r="C167" t="s">
        <v>56</v>
      </c>
      <c r="D167" s="3">
        <v>45551</v>
      </c>
      <c r="E167" t="str">
        <f>VLOOKUP(B167,'PROCV GERENTES BD'!A:B,2,0)</f>
        <v>EDUARDO MATOSO</v>
      </c>
      <c r="F167" s="4" t="str">
        <f t="shared" si="14"/>
        <v>2024-09-2</v>
      </c>
      <c r="G167" t="str">
        <f t="shared" si="10"/>
        <v>EDUARDO MATOSO</v>
      </c>
      <c r="H167" t="str">
        <f t="shared" si="11"/>
        <v>STONE ENGENHARIA E MONTAGENS INDUSTRIAIS LTDA</v>
      </c>
      <c r="I167">
        <f t="shared" si="12"/>
        <v>0</v>
      </c>
      <c r="J167">
        <f t="shared" si="13"/>
        <v>1</v>
      </c>
    </row>
    <row r="168" spans="1:10" x14ac:dyDescent="0.25">
      <c r="A168" t="s">
        <v>330</v>
      </c>
      <c r="B168" t="s">
        <v>116</v>
      </c>
      <c r="C168" t="s">
        <v>56</v>
      </c>
      <c r="D168" s="3">
        <v>45551</v>
      </c>
      <c r="E168" t="str">
        <f>VLOOKUP(B168,'PROCV GERENTES BD'!A:B,2,0)</f>
        <v>FITZ</v>
      </c>
      <c r="F168" s="4" t="str">
        <f t="shared" si="14"/>
        <v>2024-09-2</v>
      </c>
      <c r="G168" t="str">
        <f t="shared" si="10"/>
        <v>FITZ</v>
      </c>
      <c r="H168" t="str">
        <f t="shared" si="11"/>
        <v>SIAP COMERCIO DE PRODUTOS AGROPECUARIOS LTDA</v>
      </c>
      <c r="I168">
        <f t="shared" si="12"/>
        <v>0</v>
      </c>
      <c r="J168">
        <f t="shared" si="13"/>
        <v>1</v>
      </c>
    </row>
    <row r="169" spans="1:10" x14ac:dyDescent="0.25">
      <c r="A169" t="s">
        <v>358</v>
      </c>
      <c r="B169" t="s">
        <v>101</v>
      </c>
      <c r="C169" t="s">
        <v>56</v>
      </c>
      <c r="D169" s="3">
        <v>45551</v>
      </c>
      <c r="E169" t="str">
        <f>VLOOKUP(B169,'PROCV GERENTES BD'!A:B,2,0)</f>
        <v>GRUPO OTTO</v>
      </c>
      <c r="F169" s="4" t="str">
        <f t="shared" si="14"/>
        <v>2024-09-2</v>
      </c>
      <c r="G169" t="str">
        <f t="shared" si="10"/>
        <v>GRUPO OTTO</v>
      </c>
      <c r="H169" t="str">
        <f t="shared" si="11"/>
        <v>PLURIFORME INDUSTRIA E COMERCIO DE UNIFORMES LTDA</v>
      </c>
      <c r="I169">
        <f t="shared" si="12"/>
        <v>0</v>
      </c>
      <c r="J169">
        <f t="shared" si="13"/>
        <v>1</v>
      </c>
    </row>
    <row r="170" spans="1:10" x14ac:dyDescent="0.25">
      <c r="A170" t="s">
        <v>392</v>
      </c>
      <c r="B170" t="s">
        <v>138</v>
      </c>
      <c r="C170" t="s">
        <v>56</v>
      </c>
      <c r="D170" s="3">
        <v>45551</v>
      </c>
      <c r="E170" t="str">
        <f>VLOOKUP(B170,'PROCV GERENTES BD'!A:B,2,0)</f>
        <v xml:space="preserve">MARCUS VINICIUS </v>
      </c>
      <c r="F170" s="4" t="str">
        <f t="shared" si="14"/>
        <v>2024-09-2</v>
      </c>
      <c r="G170" t="str">
        <f t="shared" si="10"/>
        <v xml:space="preserve">MARCUS VINICIUS </v>
      </c>
      <c r="H170" t="str">
        <f t="shared" si="11"/>
        <v>PALMILHADO INDUSTRIA E COMERCIO LTDA</v>
      </c>
      <c r="I170">
        <f t="shared" si="12"/>
        <v>0</v>
      </c>
      <c r="J170">
        <f t="shared" si="13"/>
        <v>1</v>
      </c>
    </row>
    <row r="171" spans="1:10" x14ac:dyDescent="0.25">
      <c r="A171" t="s">
        <v>393</v>
      </c>
      <c r="B171" t="s">
        <v>139</v>
      </c>
      <c r="C171" t="s">
        <v>56</v>
      </c>
      <c r="D171" s="3">
        <v>45551</v>
      </c>
      <c r="E171" t="str">
        <f>VLOOKUP(B171,'PROCV GERENTES BD'!A:B,2,0)</f>
        <v xml:space="preserve">MARCUS VINICIUS </v>
      </c>
      <c r="F171" s="4" t="str">
        <f t="shared" si="14"/>
        <v>2024-09-2</v>
      </c>
      <c r="G171" t="str">
        <f t="shared" si="10"/>
        <v xml:space="preserve">MARCUS VINICIUS </v>
      </c>
      <c r="H171" t="str">
        <f t="shared" si="11"/>
        <v>RODOANEL REFORMADORA DE IMPLEMENTOS RODOVIARIOS LT</v>
      </c>
      <c r="I171">
        <f t="shared" si="12"/>
        <v>0</v>
      </c>
      <c r="J171">
        <f t="shared" si="13"/>
        <v>1</v>
      </c>
    </row>
    <row r="172" spans="1:10" x14ac:dyDescent="0.25">
      <c r="A172" t="s">
        <v>348</v>
      </c>
      <c r="B172" t="s">
        <v>92</v>
      </c>
      <c r="C172" t="s">
        <v>56</v>
      </c>
      <c r="D172" s="3">
        <v>45551</v>
      </c>
      <c r="E172" t="str">
        <f>VLOOKUP(B172,'PROCV GERENTES BD'!A:B,2,0)</f>
        <v>NOELI SALETE</v>
      </c>
      <c r="F172" s="4" t="str">
        <f t="shared" si="14"/>
        <v>2024-09-2</v>
      </c>
      <c r="G172" t="str">
        <f t="shared" si="10"/>
        <v>NOELI SALETE</v>
      </c>
      <c r="H172" t="str">
        <f t="shared" si="11"/>
        <v>MEIO OESTE PAPEIS LTDA ME</v>
      </c>
      <c r="I172">
        <f t="shared" si="12"/>
        <v>0</v>
      </c>
      <c r="J172">
        <f t="shared" si="13"/>
        <v>1</v>
      </c>
    </row>
    <row r="173" spans="1:10" x14ac:dyDescent="0.25">
      <c r="A173" t="s">
        <v>353</v>
      </c>
      <c r="B173" t="s">
        <v>96</v>
      </c>
      <c r="C173" t="s">
        <v>56</v>
      </c>
      <c r="D173" s="3">
        <v>45551</v>
      </c>
      <c r="E173" t="str">
        <f>VLOOKUP(B173,'PROCV GERENTES BD'!A:B,2,0)</f>
        <v>POENATELA</v>
      </c>
      <c r="F173" s="4" t="str">
        <f t="shared" si="14"/>
        <v>2024-09-2</v>
      </c>
      <c r="G173" t="str">
        <f t="shared" si="10"/>
        <v>POENATELA</v>
      </c>
      <c r="H173" t="str">
        <f t="shared" si="11"/>
        <v>GREEN FARMING FAZENDAS RENOVAVEIS LTDA</v>
      </c>
      <c r="I173">
        <f t="shared" si="12"/>
        <v>0</v>
      </c>
      <c r="J173">
        <f t="shared" si="13"/>
        <v>1</v>
      </c>
    </row>
    <row r="174" spans="1:10" x14ac:dyDescent="0.25">
      <c r="A174" t="s">
        <v>394</v>
      </c>
      <c r="B174" t="s">
        <v>140</v>
      </c>
      <c r="C174" t="s">
        <v>72</v>
      </c>
      <c r="D174" s="3">
        <v>45551</v>
      </c>
      <c r="E174" t="str">
        <f>VLOOKUP(B174,'PROCV GERENTES BD'!A:B,2,0)</f>
        <v>POENATELA</v>
      </c>
      <c r="F174" s="4" t="str">
        <f t="shared" si="14"/>
        <v>2024-09-2</v>
      </c>
      <c r="G174" t="str">
        <f t="shared" si="10"/>
        <v>POENATELA</v>
      </c>
      <c r="H174" t="str">
        <f t="shared" si="11"/>
        <v>HT SERVICOS DE TRANSPORTE E LOCACAO LTDA</v>
      </c>
      <c r="I174">
        <f t="shared" si="12"/>
        <v>1</v>
      </c>
      <c r="J174">
        <f t="shared" si="13"/>
        <v>0</v>
      </c>
    </row>
    <row r="175" spans="1:10" x14ac:dyDescent="0.25">
      <c r="A175" t="s">
        <v>354</v>
      </c>
      <c r="B175" t="s">
        <v>97</v>
      </c>
      <c r="C175" t="s">
        <v>56</v>
      </c>
      <c r="D175" s="3">
        <v>45551</v>
      </c>
      <c r="E175" t="str">
        <f>VLOOKUP(B175,'PROCV GERENTES BD'!A:B,2,0)</f>
        <v>POENATELA</v>
      </c>
      <c r="F175" s="4" t="str">
        <f t="shared" si="14"/>
        <v>2024-09-2</v>
      </c>
      <c r="G175" t="str">
        <f t="shared" si="10"/>
        <v>POENATELA</v>
      </c>
      <c r="H175" t="str">
        <f t="shared" si="11"/>
        <v>UBERTEC SERVICE USINAGEM LTDA EPP</v>
      </c>
      <c r="I175">
        <f t="shared" si="12"/>
        <v>0</v>
      </c>
      <c r="J175">
        <f t="shared" si="13"/>
        <v>1</v>
      </c>
    </row>
    <row r="176" spans="1:10" x14ac:dyDescent="0.25">
      <c r="A176" t="s">
        <v>384</v>
      </c>
      <c r="B176" t="s">
        <v>128</v>
      </c>
      <c r="C176" t="s">
        <v>56</v>
      </c>
      <c r="D176" s="3">
        <v>45551</v>
      </c>
      <c r="E176" t="str">
        <f>VLOOKUP(B176,'PROCV GERENTES BD'!A:B,2,0)</f>
        <v>PRISCILA METZ</v>
      </c>
      <c r="F176" s="4" t="str">
        <f t="shared" si="14"/>
        <v>2024-09-2</v>
      </c>
      <c r="G176" t="str">
        <f t="shared" si="10"/>
        <v>PRISCILA METZ</v>
      </c>
      <c r="H176" t="str">
        <f t="shared" si="11"/>
        <v>NOVA DISTRIBUIDORA E ATACADO DE LIMPEZA LTDA</v>
      </c>
      <c r="I176">
        <f t="shared" si="12"/>
        <v>0</v>
      </c>
      <c r="J176">
        <f t="shared" si="13"/>
        <v>1</v>
      </c>
    </row>
    <row r="177" spans="1:10" x14ac:dyDescent="0.25">
      <c r="A177" t="s">
        <v>395</v>
      </c>
      <c r="B177" t="s">
        <v>141</v>
      </c>
      <c r="C177" t="s">
        <v>72</v>
      </c>
      <c r="D177" s="3">
        <v>45551</v>
      </c>
      <c r="E177" t="str">
        <f>VLOOKUP(B177,'PROCV GERENTES BD'!A:B,2,0)</f>
        <v>RAFAEL PARISE</v>
      </c>
      <c r="F177" s="4" t="str">
        <f t="shared" si="14"/>
        <v>2024-09-2</v>
      </c>
      <c r="G177" t="str">
        <f t="shared" si="10"/>
        <v>RAFAEL PARISE</v>
      </c>
      <c r="H177" t="str">
        <f t="shared" si="11"/>
        <v>MAIS DISTRIBUIDORA LTDA</v>
      </c>
      <c r="I177">
        <f t="shared" si="12"/>
        <v>1</v>
      </c>
      <c r="J177">
        <f t="shared" si="13"/>
        <v>0</v>
      </c>
    </row>
    <row r="178" spans="1:10" x14ac:dyDescent="0.25">
      <c r="A178" t="s">
        <v>333</v>
      </c>
      <c r="B178" t="s">
        <v>129</v>
      </c>
      <c r="C178" t="s">
        <v>72</v>
      </c>
      <c r="D178" s="3">
        <v>45551</v>
      </c>
      <c r="E178" t="s">
        <v>25</v>
      </c>
      <c r="F178" s="4" t="str">
        <f t="shared" si="14"/>
        <v>2024-09-2</v>
      </c>
      <c r="G178" t="str">
        <f t="shared" si="10"/>
        <v xml:space="preserve">ROGERIO </v>
      </c>
      <c r="H178" t="str">
        <f t="shared" si="11"/>
        <v>BIBE PRODUTOS INFANTIS LTDA</v>
      </c>
      <c r="I178">
        <f t="shared" si="12"/>
        <v>1</v>
      </c>
      <c r="J178">
        <f t="shared" si="13"/>
        <v>0</v>
      </c>
    </row>
    <row r="179" spans="1:10" x14ac:dyDescent="0.25">
      <c r="A179" t="s">
        <v>396</v>
      </c>
      <c r="B179" t="s">
        <v>142</v>
      </c>
      <c r="C179" t="s">
        <v>56</v>
      </c>
      <c r="D179" s="3">
        <v>45551</v>
      </c>
      <c r="E179" t="s">
        <v>25</v>
      </c>
      <c r="F179" s="4" t="str">
        <f t="shared" si="14"/>
        <v>2024-09-2</v>
      </c>
      <c r="G179" t="str">
        <f t="shared" si="10"/>
        <v xml:space="preserve">ROGERIO </v>
      </c>
      <c r="H179" t="str">
        <f t="shared" si="11"/>
        <v>DINAMICA COM FERRAMENTAS EQUIPAMENTOS PROTECAO IND</v>
      </c>
      <c r="I179">
        <f t="shared" si="12"/>
        <v>0</v>
      </c>
      <c r="J179">
        <f t="shared" si="13"/>
        <v>1</v>
      </c>
    </row>
    <row r="180" spans="1:10" x14ac:dyDescent="0.25">
      <c r="A180" t="s">
        <v>380</v>
      </c>
      <c r="B180" t="s">
        <v>123</v>
      </c>
      <c r="C180" t="s">
        <v>56</v>
      </c>
      <c r="D180" s="3">
        <v>45553</v>
      </c>
      <c r="E180" t="str">
        <f>VLOOKUP(B180,'PROCV GERENTES BD'!A:B,2,0)</f>
        <v>ANTONIO CARLOS</v>
      </c>
      <c r="F180" s="4" t="str">
        <f t="shared" si="14"/>
        <v>2024-09-2</v>
      </c>
      <c r="G180" t="str">
        <f t="shared" si="10"/>
        <v>ANTONIO CARLOS</v>
      </c>
      <c r="H180" t="str">
        <f t="shared" si="11"/>
        <v>PREMOLDADOS MATOSINHOS LTDA EPP</v>
      </c>
      <c r="I180">
        <f t="shared" si="12"/>
        <v>0</v>
      </c>
      <c r="J180">
        <f t="shared" si="13"/>
        <v>1</v>
      </c>
    </row>
    <row r="181" spans="1:10" x14ac:dyDescent="0.25">
      <c r="A181" t="s">
        <v>366</v>
      </c>
      <c r="B181" t="s">
        <v>111</v>
      </c>
      <c r="C181" t="s">
        <v>56</v>
      </c>
      <c r="D181" s="3">
        <v>45553</v>
      </c>
      <c r="E181" t="str">
        <f>VLOOKUP(B181,'PROCV GERENTES BD'!A:B,2,0)</f>
        <v>DIOGO AZEVEDO</v>
      </c>
      <c r="F181" s="4" t="str">
        <f t="shared" si="14"/>
        <v>2024-09-2</v>
      </c>
      <c r="G181" t="str">
        <f t="shared" si="10"/>
        <v>DIOGO AZEVEDO</v>
      </c>
      <c r="H181" t="str">
        <f t="shared" si="11"/>
        <v>INDUSTRIA E CERVEJARIA ARTESANAL DE MINAS GERAIS L</v>
      </c>
      <c r="I181">
        <f t="shared" si="12"/>
        <v>0</v>
      </c>
      <c r="J181">
        <f t="shared" si="13"/>
        <v>1</v>
      </c>
    </row>
    <row r="182" spans="1:10" x14ac:dyDescent="0.25">
      <c r="A182" t="s">
        <v>341</v>
      </c>
      <c r="B182" t="s">
        <v>88</v>
      </c>
      <c r="C182" t="s">
        <v>72</v>
      </c>
      <c r="D182" s="3">
        <v>45553</v>
      </c>
      <c r="E182" t="str">
        <f>VLOOKUP(B182,'PROCV GERENTES BD'!A:B,2,0)</f>
        <v>LUIS GUSTAVO</v>
      </c>
      <c r="F182" s="4" t="str">
        <f t="shared" si="14"/>
        <v>2024-09-2</v>
      </c>
      <c r="G182" t="str">
        <f t="shared" si="10"/>
        <v>LUIS GUSTAVO</v>
      </c>
      <c r="H182" t="str">
        <f t="shared" si="11"/>
        <v>BETMIX CONCRETO LTDA</v>
      </c>
      <c r="I182">
        <f t="shared" si="12"/>
        <v>1</v>
      </c>
      <c r="J182">
        <f t="shared" si="13"/>
        <v>0</v>
      </c>
    </row>
    <row r="183" spans="1:10" x14ac:dyDescent="0.25">
      <c r="A183" t="s">
        <v>383</v>
      </c>
      <c r="B183" t="s">
        <v>127</v>
      </c>
      <c r="C183" t="s">
        <v>72</v>
      </c>
      <c r="D183" s="3">
        <v>45553</v>
      </c>
      <c r="E183" t="str">
        <f>VLOOKUP(B183,'PROCV GERENTES BD'!A:B,2,0)</f>
        <v>NATALIA NUBIA</v>
      </c>
      <c r="F183" s="4" t="str">
        <f t="shared" si="14"/>
        <v>2024-09-2</v>
      </c>
      <c r="G183" t="str">
        <f t="shared" si="10"/>
        <v>NATALIA NUBIA</v>
      </c>
      <c r="H183" t="str">
        <f t="shared" si="11"/>
        <v>FARINELLI NUTRIMENTOS LTDA</v>
      </c>
      <c r="I183">
        <f t="shared" si="12"/>
        <v>1</v>
      </c>
      <c r="J183">
        <f t="shared" si="13"/>
        <v>0</v>
      </c>
    </row>
    <row r="184" spans="1:10" x14ac:dyDescent="0.25">
      <c r="A184" t="s">
        <v>347</v>
      </c>
      <c r="B184" t="s">
        <v>93</v>
      </c>
      <c r="C184" t="s">
        <v>56</v>
      </c>
      <c r="D184" s="3">
        <v>45553</v>
      </c>
      <c r="E184" t="str">
        <f>VLOOKUP(B184,'PROCV GERENTES BD'!A:B,2,0)</f>
        <v>NOELI SALETE</v>
      </c>
      <c r="F184" s="4" t="str">
        <f t="shared" si="14"/>
        <v>2024-09-2</v>
      </c>
      <c r="G184" t="str">
        <f t="shared" si="10"/>
        <v>NOELI SALETE</v>
      </c>
      <c r="H184" t="str">
        <f t="shared" si="11"/>
        <v>RODOBOX TRANSPORTES E ARMAZENAGEM DE CARGAS LTDA</v>
      </c>
      <c r="I184">
        <f t="shared" si="12"/>
        <v>0</v>
      </c>
      <c r="J184">
        <f t="shared" si="13"/>
        <v>1</v>
      </c>
    </row>
    <row r="185" spans="1:10" x14ac:dyDescent="0.25">
      <c r="A185" t="s">
        <v>348</v>
      </c>
      <c r="B185" t="s">
        <v>92</v>
      </c>
      <c r="C185" t="s">
        <v>56</v>
      </c>
      <c r="D185" s="3">
        <v>45553</v>
      </c>
      <c r="E185" t="str">
        <f>VLOOKUP(B185,'PROCV GERENTES BD'!A:B,2,0)</f>
        <v>NOELI SALETE</v>
      </c>
      <c r="F185" s="4" t="str">
        <f t="shared" si="14"/>
        <v>2024-09-2</v>
      </c>
      <c r="G185" t="str">
        <f t="shared" si="10"/>
        <v>NOELI SALETE</v>
      </c>
      <c r="H185" t="str">
        <f t="shared" si="11"/>
        <v>MEIO OESTE PAPEIS LTDA ME</v>
      </c>
      <c r="I185">
        <f t="shared" si="12"/>
        <v>0</v>
      </c>
      <c r="J185">
        <f t="shared" si="13"/>
        <v>1</v>
      </c>
    </row>
    <row r="186" spans="1:10" x14ac:dyDescent="0.25">
      <c r="A186" t="s">
        <v>397</v>
      </c>
      <c r="B186" t="s">
        <v>143</v>
      </c>
      <c r="C186" t="s">
        <v>56</v>
      </c>
      <c r="D186" s="3">
        <v>45553</v>
      </c>
      <c r="E186" t="str">
        <f>VLOOKUP(B186,'PROCV GERENTES BD'!A:B,2,0)</f>
        <v>POENATELA</v>
      </c>
      <c r="F186" s="4" t="str">
        <f t="shared" si="14"/>
        <v>2024-09-2</v>
      </c>
      <c r="G186" t="str">
        <f t="shared" si="10"/>
        <v>POENATELA</v>
      </c>
      <c r="H186" t="str">
        <f t="shared" si="11"/>
        <v>CONQUISTA INDUSTRIA DE MOVEIS S/A</v>
      </c>
      <c r="I186">
        <f t="shared" si="12"/>
        <v>0</v>
      </c>
      <c r="J186">
        <f t="shared" si="13"/>
        <v>1</v>
      </c>
    </row>
    <row r="187" spans="1:10" x14ac:dyDescent="0.25">
      <c r="A187" t="s">
        <v>353</v>
      </c>
      <c r="B187" t="s">
        <v>96</v>
      </c>
      <c r="C187" t="s">
        <v>56</v>
      </c>
      <c r="D187" s="3">
        <v>45553</v>
      </c>
      <c r="E187" t="str">
        <f>VLOOKUP(B187,'PROCV GERENTES BD'!A:B,2,0)</f>
        <v>POENATELA</v>
      </c>
      <c r="F187" s="4" t="str">
        <f t="shared" si="14"/>
        <v>2024-09-2</v>
      </c>
      <c r="G187" t="str">
        <f t="shared" si="10"/>
        <v>POENATELA</v>
      </c>
      <c r="H187" t="str">
        <f t="shared" si="11"/>
        <v>GREEN FARMING FAZENDAS RENOVAVEIS LTDA</v>
      </c>
      <c r="I187">
        <f t="shared" si="12"/>
        <v>0</v>
      </c>
      <c r="J187">
        <f t="shared" si="13"/>
        <v>1</v>
      </c>
    </row>
    <row r="188" spans="1:10" x14ac:dyDescent="0.25">
      <c r="A188" t="s">
        <v>354</v>
      </c>
      <c r="B188" t="s">
        <v>97</v>
      </c>
      <c r="C188" t="s">
        <v>56</v>
      </c>
      <c r="D188" s="3">
        <v>45553</v>
      </c>
      <c r="E188" t="str">
        <f>VLOOKUP(B188,'PROCV GERENTES BD'!A:B,2,0)</f>
        <v>POENATELA</v>
      </c>
      <c r="F188" s="4" t="str">
        <f t="shared" si="14"/>
        <v>2024-09-2</v>
      </c>
      <c r="G188" t="str">
        <f t="shared" si="10"/>
        <v>POENATELA</v>
      </c>
      <c r="H188" t="str">
        <f t="shared" si="11"/>
        <v>UBERTEC SERVICE USINAGEM LTDA EPP</v>
      </c>
      <c r="I188">
        <f t="shared" si="12"/>
        <v>0</v>
      </c>
      <c r="J188">
        <f t="shared" si="13"/>
        <v>1</v>
      </c>
    </row>
    <row r="189" spans="1:10" x14ac:dyDescent="0.25">
      <c r="A189" t="s">
        <v>384</v>
      </c>
      <c r="B189" t="s">
        <v>128</v>
      </c>
      <c r="C189" t="s">
        <v>56</v>
      </c>
      <c r="D189" s="3">
        <v>45553</v>
      </c>
      <c r="E189" t="str">
        <f>VLOOKUP(B189,'PROCV GERENTES BD'!A:B,2,0)</f>
        <v>PRISCILA METZ</v>
      </c>
      <c r="F189" s="4" t="str">
        <f t="shared" si="14"/>
        <v>2024-09-2</v>
      </c>
      <c r="G189" t="str">
        <f t="shared" si="10"/>
        <v>PRISCILA METZ</v>
      </c>
      <c r="H189" t="str">
        <f t="shared" si="11"/>
        <v>NOVA DISTRIBUIDORA E ATACADO DE LIMPEZA LTDA</v>
      </c>
      <c r="I189">
        <f t="shared" si="12"/>
        <v>0</v>
      </c>
      <c r="J189">
        <f t="shared" si="13"/>
        <v>1</v>
      </c>
    </row>
    <row r="190" spans="1:10" x14ac:dyDescent="0.25">
      <c r="A190" t="s">
        <v>398</v>
      </c>
      <c r="B190" t="s">
        <v>144</v>
      </c>
      <c r="C190" t="s">
        <v>56</v>
      </c>
      <c r="D190" s="3">
        <v>45553</v>
      </c>
      <c r="E190" t="str">
        <f>VLOOKUP(B190,'PROCV GERENTES BD'!A:B,2,0)</f>
        <v>PRISCILA METZ</v>
      </c>
      <c r="F190" s="4" t="str">
        <f t="shared" si="14"/>
        <v>2024-09-2</v>
      </c>
      <c r="G190" t="str">
        <f t="shared" si="10"/>
        <v>PRISCILA METZ</v>
      </c>
      <c r="H190" t="str">
        <f t="shared" si="11"/>
        <v>VLF IMPERIAL LATICINIOS LTDA ME</v>
      </c>
      <c r="I190">
        <f t="shared" si="12"/>
        <v>0</v>
      </c>
      <c r="J190">
        <f t="shared" si="13"/>
        <v>1</v>
      </c>
    </row>
    <row r="191" spans="1:10" x14ac:dyDescent="0.25">
      <c r="A191" t="s">
        <v>332</v>
      </c>
      <c r="B191" t="s">
        <v>145</v>
      </c>
      <c r="C191" t="s">
        <v>56</v>
      </c>
      <c r="D191" s="3">
        <v>45553</v>
      </c>
      <c r="E191" t="str">
        <f>VLOOKUP(B191,'PROCV GERENTES BD'!A:B,2,0)</f>
        <v>SEM GERENTE</v>
      </c>
      <c r="F191" s="4" t="str">
        <f t="shared" si="14"/>
        <v>2024-09-2</v>
      </c>
      <c r="G191" t="str">
        <f t="shared" si="10"/>
        <v>SEM GERENTE</v>
      </c>
      <c r="H191" t="str">
        <f t="shared" si="11"/>
        <v>ALLIAGE S A INDUSTRIAS MEDICO ODONTOLOGICA</v>
      </c>
      <c r="I191">
        <f t="shared" si="12"/>
        <v>0</v>
      </c>
      <c r="J191">
        <f t="shared" si="13"/>
        <v>1</v>
      </c>
    </row>
    <row r="192" spans="1:10" x14ac:dyDescent="0.25">
      <c r="A192" t="s">
        <v>375</v>
      </c>
      <c r="B192" t="s">
        <v>119</v>
      </c>
      <c r="C192" t="s">
        <v>56</v>
      </c>
      <c r="D192" s="3">
        <v>45554</v>
      </c>
      <c r="E192" t="str">
        <f>VLOOKUP(B192,'PROCV GERENTES BD'!A:B,2,0)</f>
        <v>ADMINISTRAÇÃO</v>
      </c>
      <c r="F192" s="4" t="str">
        <f t="shared" si="14"/>
        <v>2024-09-2</v>
      </c>
      <c r="G192" t="str">
        <f t="shared" si="10"/>
        <v>ADMINISTRAÇÃO</v>
      </c>
      <c r="H192" t="str">
        <f t="shared" si="11"/>
        <v>DISPA DISTRIBUIDORA SAO PAULO LTDA ME</v>
      </c>
      <c r="I192">
        <f t="shared" si="12"/>
        <v>0</v>
      </c>
      <c r="J192">
        <f t="shared" si="13"/>
        <v>1</v>
      </c>
    </row>
    <row r="193" spans="1:10" x14ac:dyDescent="0.25">
      <c r="A193" t="s">
        <v>60</v>
      </c>
      <c r="B193" t="s">
        <v>61</v>
      </c>
      <c r="C193" t="s">
        <v>56</v>
      </c>
      <c r="D193" s="3">
        <v>45554</v>
      </c>
      <c r="E193" t="str">
        <f>VLOOKUP(B193,'PROCV GERENTES BD'!A:B,2,0)</f>
        <v>CELIO PIMENTA</v>
      </c>
      <c r="F193" s="4" t="str">
        <f t="shared" si="14"/>
        <v>2024-09-2</v>
      </c>
      <c r="G193" t="str">
        <f t="shared" si="10"/>
        <v>CELIO PIMENTA</v>
      </c>
      <c r="H193" t="str">
        <f t="shared" si="11"/>
        <v>WJ CALDEIRARIA INDUSTRIA E COMERCIO LTDA ME</v>
      </c>
      <c r="I193">
        <f t="shared" si="12"/>
        <v>0</v>
      </c>
      <c r="J193">
        <f t="shared" si="13"/>
        <v>1</v>
      </c>
    </row>
    <row r="194" spans="1:10" x14ac:dyDescent="0.25">
      <c r="A194" t="s">
        <v>331</v>
      </c>
      <c r="B194" t="s">
        <v>126</v>
      </c>
      <c r="C194" t="s">
        <v>72</v>
      </c>
      <c r="D194" s="3">
        <v>45554</v>
      </c>
      <c r="E194" t="str">
        <f>VLOOKUP(B194,'PROCV GERENTES BD'!A:B,2,0)</f>
        <v>FITZ</v>
      </c>
      <c r="F194" s="4" t="str">
        <f t="shared" si="14"/>
        <v>2024-09-2</v>
      </c>
      <c r="G194" t="str">
        <f t="shared" ref="G194:G257" si="15">E194</f>
        <v>FITZ</v>
      </c>
      <c r="H194" t="str">
        <f t="shared" ref="H194:H257" si="16">B194</f>
        <v>TRANSHENRY TRANSPORTES LTDA</v>
      </c>
      <c r="I194">
        <f t="shared" ref="I194:I257" si="17">IF(C194="EXCLUSAO  ANOT.INADIMPLENCIA",1,0)</f>
        <v>1</v>
      </c>
      <c r="J194">
        <f t="shared" ref="J194:J257" si="18">IF(C194="INCLUSAO  ANOT.INADIMPLENCIA",1,0)</f>
        <v>0</v>
      </c>
    </row>
    <row r="195" spans="1:10" x14ac:dyDescent="0.25">
      <c r="A195" t="s">
        <v>314</v>
      </c>
      <c r="B195" t="s">
        <v>108</v>
      </c>
      <c r="C195" t="s">
        <v>72</v>
      </c>
      <c r="D195" s="3">
        <v>45554</v>
      </c>
      <c r="E195" t="str">
        <f>VLOOKUP(B195,'PROCV GERENTES BD'!A:B,2,0)</f>
        <v>POENATELA</v>
      </c>
      <c r="F195" s="4" t="str">
        <f t="shared" ref="F195:F258" si="19">YEAR(D195)&amp;"-"&amp;TEXT(MONTH(D195),"00")&amp;"-"&amp;IF(DAY(D195)&lt;=15,"1",IF(DAY(D195)&gt;15,"2",""))</f>
        <v>2024-09-2</v>
      </c>
      <c r="G195" t="str">
        <f t="shared" si="15"/>
        <v>POENATELA</v>
      </c>
      <c r="H195" t="str">
        <f t="shared" si="16"/>
        <v>ECOPINUS INDUSTRIA E COMERCIO DE EMBALAGENS DE MAD</v>
      </c>
      <c r="I195">
        <f t="shared" si="17"/>
        <v>1</v>
      </c>
      <c r="J195">
        <f t="shared" si="18"/>
        <v>0</v>
      </c>
    </row>
    <row r="196" spans="1:10" x14ac:dyDescent="0.25">
      <c r="A196" t="s">
        <v>353</v>
      </c>
      <c r="B196" t="s">
        <v>96</v>
      </c>
      <c r="C196" t="s">
        <v>59</v>
      </c>
      <c r="D196" s="3">
        <v>45554</v>
      </c>
      <c r="E196" t="str">
        <f>VLOOKUP(B196,'PROCV GERENTES BD'!A:B,2,0)</f>
        <v>POENATELA</v>
      </c>
      <c r="F196" s="4" t="str">
        <f t="shared" si="19"/>
        <v>2024-09-2</v>
      </c>
      <c r="G196" t="str">
        <f t="shared" si="15"/>
        <v>POENATELA</v>
      </c>
      <c r="H196" t="str">
        <f t="shared" si="16"/>
        <v>GREEN FARMING FAZENDAS RENOVAVEIS LTDA</v>
      </c>
      <c r="I196">
        <f t="shared" si="17"/>
        <v>0</v>
      </c>
      <c r="J196">
        <f t="shared" si="18"/>
        <v>0</v>
      </c>
    </row>
    <row r="197" spans="1:10" x14ac:dyDescent="0.25">
      <c r="A197" t="s">
        <v>354</v>
      </c>
      <c r="B197" t="s">
        <v>97</v>
      </c>
      <c r="C197" t="s">
        <v>59</v>
      </c>
      <c r="D197" s="3">
        <v>45554</v>
      </c>
      <c r="E197" t="str">
        <f>VLOOKUP(B197,'PROCV GERENTES BD'!A:B,2,0)</f>
        <v>POENATELA</v>
      </c>
      <c r="F197" s="4" t="str">
        <f t="shared" si="19"/>
        <v>2024-09-2</v>
      </c>
      <c r="G197" t="str">
        <f t="shared" si="15"/>
        <v>POENATELA</v>
      </c>
      <c r="H197" t="str">
        <f t="shared" si="16"/>
        <v>UBERTEC SERVICE USINAGEM LTDA EPP</v>
      </c>
      <c r="I197">
        <f t="shared" si="17"/>
        <v>0</v>
      </c>
      <c r="J197">
        <f t="shared" si="18"/>
        <v>0</v>
      </c>
    </row>
    <row r="198" spans="1:10" x14ac:dyDescent="0.25">
      <c r="A198" t="s">
        <v>361</v>
      </c>
      <c r="B198" t="s">
        <v>103</v>
      </c>
      <c r="C198" t="s">
        <v>56</v>
      </c>
      <c r="D198" s="3">
        <v>45554</v>
      </c>
      <c r="E198" t="str">
        <f>VLOOKUP(B198,'PROCV GERENTES BD'!A:B,2,0)</f>
        <v>PRISCILA METZ</v>
      </c>
      <c r="F198" s="4" t="str">
        <f t="shared" si="19"/>
        <v>2024-09-2</v>
      </c>
      <c r="G198" t="str">
        <f t="shared" si="15"/>
        <v>PRISCILA METZ</v>
      </c>
      <c r="H198" t="str">
        <f t="shared" si="16"/>
        <v>ESSENZA INDUSTRIA QUIMICA LTDA</v>
      </c>
      <c r="I198">
        <f t="shared" si="17"/>
        <v>0</v>
      </c>
      <c r="J198">
        <f t="shared" si="18"/>
        <v>1</v>
      </c>
    </row>
    <row r="199" spans="1:10" x14ac:dyDescent="0.25">
      <c r="A199" t="s">
        <v>384</v>
      </c>
      <c r="B199" t="s">
        <v>128</v>
      </c>
      <c r="C199" t="s">
        <v>56</v>
      </c>
      <c r="D199" s="3">
        <v>45554</v>
      </c>
      <c r="E199" t="str">
        <f>VLOOKUP(B199,'PROCV GERENTES BD'!A:B,2,0)</f>
        <v>PRISCILA METZ</v>
      </c>
      <c r="F199" s="4" t="str">
        <f t="shared" si="19"/>
        <v>2024-09-2</v>
      </c>
      <c r="G199" t="str">
        <f t="shared" si="15"/>
        <v>PRISCILA METZ</v>
      </c>
      <c r="H199" t="str">
        <f t="shared" si="16"/>
        <v>NOVA DISTRIBUIDORA E ATACADO DE LIMPEZA LTDA</v>
      </c>
      <c r="I199">
        <f t="shared" si="17"/>
        <v>0</v>
      </c>
      <c r="J199">
        <f t="shared" si="18"/>
        <v>1</v>
      </c>
    </row>
    <row r="200" spans="1:10" x14ac:dyDescent="0.25">
      <c r="A200" t="s">
        <v>399</v>
      </c>
      <c r="B200" t="s">
        <v>146</v>
      </c>
      <c r="C200" t="s">
        <v>72</v>
      </c>
      <c r="D200" s="3">
        <v>45554</v>
      </c>
      <c r="E200" t="s">
        <v>25</v>
      </c>
      <c r="F200" s="4" t="str">
        <f t="shared" si="19"/>
        <v>2024-09-2</v>
      </c>
      <c r="G200" t="str">
        <f t="shared" si="15"/>
        <v xml:space="preserve">ROGERIO </v>
      </c>
      <c r="H200" t="str">
        <f t="shared" si="16"/>
        <v>PREMIUMGRAF SERVICOS GRAFICOS LTDA ME</v>
      </c>
      <c r="I200">
        <f t="shared" si="17"/>
        <v>1</v>
      </c>
      <c r="J200">
        <f t="shared" si="18"/>
        <v>0</v>
      </c>
    </row>
    <row r="201" spans="1:10" x14ac:dyDescent="0.25">
      <c r="A201" t="s">
        <v>332</v>
      </c>
      <c r="B201" t="s">
        <v>145</v>
      </c>
      <c r="C201" t="s">
        <v>72</v>
      </c>
      <c r="D201" s="3">
        <v>45554</v>
      </c>
      <c r="E201" t="str">
        <f>VLOOKUP(B201,'PROCV GERENTES BD'!A:B,2,0)</f>
        <v>SEM GERENTE</v>
      </c>
      <c r="F201" s="4" t="str">
        <f t="shared" si="19"/>
        <v>2024-09-2</v>
      </c>
      <c r="G201" t="str">
        <f t="shared" si="15"/>
        <v>SEM GERENTE</v>
      </c>
      <c r="H201" t="str">
        <f t="shared" si="16"/>
        <v>ALLIAGE S A INDUSTRIAS MEDICO ODONTOLOGICA</v>
      </c>
      <c r="I201">
        <f t="shared" si="17"/>
        <v>1</v>
      </c>
      <c r="J201">
        <f t="shared" si="18"/>
        <v>0</v>
      </c>
    </row>
    <row r="202" spans="1:10" x14ac:dyDescent="0.25">
      <c r="A202" t="s">
        <v>321</v>
      </c>
      <c r="B202" t="s">
        <v>104</v>
      </c>
      <c r="C202" t="s">
        <v>72</v>
      </c>
      <c r="D202" s="3">
        <v>45554</v>
      </c>
      <c r="E202" t="str">
        <f>VLOOKUP(B202,'PROCV GERENTES BD'!A:B,2,0)</f>
        <v>THAYNA/COMERCIAL</v>
      </c>
      <c r="F202" s="4" t="str">
        <f t="shared" si="19"/>
        <v>2024-09-2</v>
      </c>
      <c r="G202" t="str">
        <f t="shared" si="15"/>
        <v>THAYNA/COMERCIAL</v>
      </c>
      <c r="H202" t="str">
        <f t="shared" si="16"/>
        <v>MUTCD CENTRO DISTRIBUICAO IND FABRICANTE COSMETICO</v>
      </c>
      <c r="I202">
        <f t="shared" si="17"/>
        <v>1</v>
      </c>
      <c r="J202">
        <f t="shared" si="18"/>
        <v>0</v>
      </c>
    </row>
    <row r="203" spans="1:10" x14ac:dyDescent="0.25">
      <c r="A203" t="s">
        <v>400</v>
      </c>
      <c r="B203" t="s">
        <v>147</v>
      </c>
      <c r="C203" t="s">
        <v>56</v>
      </c>
      <c r="D203" s="3">
        <v>45555</v>
      </c>
      <c r="E203" t="str">
        <f>VLOOKUP(B203,'PROCV GERENTES BD'!A:B,2,0)</f>
        <v>ADMINISTRAÇÃO</v>
      </c>
      <c r="F203" s="4" t="str">
        <f t="shared" si="19"/>
        <v>2024-09-2</v>
      </c>
      <c r="G203" t="str">
        <f t="shared" si="15"/>
        <v>ADMINISTRAÇÃO</v>
      </c>
      <c r="H203" t="str">
        <f t="shared" si="16"/>
        <v>VALADRES DIESEL LTDA EM RECUPERACAO JUDICIAL</v>
      </c>
      <c r="I203">
        <f t="shared" si="17"/>
        <v>0</v>
      </c>
      <c r="J203">
        <f t="shared" si="18"/>
        <v>1</v>
      </c>
    </row>
    <row r="204" spans="1:10" x14ac:dyDescent="0.25">
      <c r="A204" t="s">
        <v>326</v>
      </c>
      <c r="B204" t="s">
        <v>86</v>
      </c>
      <c r="C204" t="s">
        <v>56</v>
      </c>
      <c r="D204" s="3">
        <v>45555</v>
      </c>
      <c r="E204" t="str">
        <f>VLOOKUP(B204,'PROCV GERENTES BD'!A:B,2,0)</f>
        <v>CELIO PIMENTA</v>
      </c>
      <c r="F204" s="4" t="str">
        <f t="shared" si="19"/>
        <v>2024-09-2</v>
      </c>
      <c r="G204" t="str">
        <f t="shared" si="15"/>
        <v>CELIO PIMENTA</v>
      </c>
      <c r="H204" t="str">
        <f t="shared" si="16"/>
        <v>IMPORTEXTIL COMERCIO DE TECIDOS LTDA</v>
      </c>
      <c r="I204">
        <f t="shared" si="17"/>
        <v>0</v>
      </c>
      <c r="J204">
        <f t="shared" si="18"/>
        <v>1</v>
      </c>
    </row>
    <row r="205" spans="1:10" x14ac:dyDescent="0.25">
      <c r="A205" t="s">
        <v>318</v>
      </c>
      <c r="B205" t="s">
        <v>87</v>
      </c>
      <c r="C205" t="s">
        <v>72</v>
      </c>
      <c r="D205" s="3">
        <v>45555</v>
      </c>
      <c r="E205" t="str">
        <f>VLOOKUP(B205,'PROCV GERENTES BD'!A:B,2,0)</f>
        <v>CELIO PIMENTA</v>
      </c>
      <c r="F205" s="4" t="str">
        <f t="shared" si="19"/>
        <v>2024-09-2</v>
      </c>
      <c r="G205" t="str">
        <f t="shared" si="15"/>
        <v>CELIO PIMENTA</v>
      </c>
      <c r="H205" t="str">
        <f t="shared" si="16"/>
        <v>MBIOLOG DIAGNOSTICOS LTDA</v>
      </c>
      <c r="I205">
        <f t="shared" si="17"/>
        <v>1</v>
      </c>
      <c r="J205">
        <f t="shared" si="18"/>
        <v>0</v>
      </c>
    </row>
    <row r="206" spans="1:10" x14ac:dyDescent="0.25">
      <c r="A206" t="s">
        <v>382</v>
      </c>
      <c r="B206" t="s">
        <v>125</v>
      </c>
      <c r="C206" t="s">
        <v>56</v>
      </c>
      <c r="D206" s="3">
        <v>45555</v>
      </c>
      <c r="E206" t="str">
        <f>VLOOKUP(B206,'PROCV GERENTES BD'!A:B,2,0)</f>
        <v>CELIO PIMENTA</v>
      </c>
      <c r="F206" s="4" t="str">
        <f t="shared" si="19"/>
        <v>2024-09-2</v>
      </c>
      <c r="G206" t="str">
        <f t="shared" si="15"/>
        <v>CELIO PIMENTA</v>
      </c>
      <c r="H206" t="str">
        <f t="shared" si="16"/>
        <v>MINAS ALIMENTOS E FRUTAS SECAS LTDA EPP</v>
      </c>
      <c r="I206">
        <f t="shared" si="17"/>
        <v>0</v>
      </c>
      <c r="J206">
        <f t="shared" si="18"/>
        <v>1</v>
      </c>
    </row>
    <row r="207" spans="1:10" x14ac:dyDescent="0.25">
      <c r="A207" t="s">
        <v>358</v>
      </c>
      <c r="B207" t="s">
        <v>101</v>
      </c>
      <c r="C207" t="s">
        <v>72</v>
      </c>
      <c r="D207" s="3">
        <v>45555</v>
      </c>
      <c r="E207" t="str">
        <f>VLOOKUP(B207,'PROCV GERENTES BD'!A:B,2,0)</f>
        <v>GRUPO OTTO</v>
      </c>
      <c r="F207" s="4" t="str">
        <f t="shared" si="19"/>
        <v>2024-09-2</v>
      </c>
      <c r="G207" t="str">
        <f t="shared" si="15"/>
        <v>GRUPO OTTO</v>
      </c>
      <c r="H207" t="str">
        <f t="shared" si="16"/>
        <v>PLURIFORME INDUSTRIA E COMERCIO DE UNIFORMES LTDA</v>
      </c>
      <c r="I207">
        <f t="shared" si="17"/>
        <v>1</v>
      </c>
      <c r="J207">
        <f t="shared" si="18"/>
        <v>0</v>
      </c>
    </row>
    <row r="208" spans="1:10" x14ac:dyDescent="0.25">
      <c r="A208" t="s">
        <v>312</v>
      </c>
      <c r="B208" t="s">
        <v>148</v>
      </c>
      <c r="C208" t="s">
        <v>72</v>
      </c>
      <c r="D208" s="3">
        <v>45555</v>
      </c>
      <c r="E208" t="str">
        <f>VLOOKUP(B208,'PROCV GERENTES BD'!A:B,2,0)</f>
        <v>NOELI SALETE</v>
      </c>
      <c r="F208" s="4" t="str">
        <f t="shared" si="19"/>
        <v>2024-09-2</v>
      </c>
      <c r="G208" t="str">
        <f t="shared" si="15"/>
        <v>NOELI SALETE</v>
      </c>
      <c r="H208" t="str">
        <f t="shared" si="16"/>
        <v>JMS EMBALAGENS INDUSTRIAIS LTDA</v>
      </c>
      <c r="I208">
        <f t="shared" si="17"/>
        <v>1</v>
      </c>
      <c r="J208">
        <f t="shared" si="18"/>
        <v>0</v>
      </c>
    </row>
    <row r="209" spans="1:10" x14ac:dyDescent="0.25">
      <c r="A209" t="s">
        <v>347</v>
      </c>
      <c r="B209" t="s">
        <v>93</v>
      </c>
      <c r="C209" t="s">
        <v>72</v>
      </c>
      <c r="D209" s="3">
        <v>45555</v>
      </c>
      <c r="E209" t="str">
        <f>VLOOKUP(B209,'PROCV GERENTES BD'!A:B,2,0)</f>
        <v>NOELI SALETE</v>
      </c>
      <c r="F209" s="4" t="str">
        <f t="shared" si="19"/>
        <v>2024-09-2</v>
      </c>
      <c r="G209" t="str">
        <f t="shared" si="15"/>
        <v>NOELI SALETE</v>
      </c>
      <c r="H209" t="str">
        <f t="shared" si="16"/>
        <v>RODOBOX TRANSPORTES E ARMAZENAGEM DE CARGAS LTDA</v>
      </c>
      <c r="I209">
        <f t="shared" si="17"/>
        <v>1</v>
      </c>
      <c r="J209">
        <f t="shared" si="18"/>
        <v>0</v>
      </c>
    </row>
    <row r="210" spans="1:10" x14ac:dyDescent="0.25">
      <c r="A210" t="s">
        <v>348</v>
      </c>
      <c r="B210" t="s">
        <v>92</v>
      </c>
      <c r="C210" t="s">
        <v>56</v>
      </c>
      <c r="D210" s="3">
        <v>45555</v>
      </c>
      <c r="E210" t="str">
        <f>VLOOKUP(B210,'PROCV GERENTES BD'!A:B,2,0)</f>
        <v>NOELI SALETE</v>
      </c>
      <c r="F210" s="4" t="str">
        <f t="shared" si="19"/>
        <v>2024-09-2</v>
      </c>
      <c r="G210" t="str">
        <f t="shared" si="15"/>
        <v>NOELI SALETE</v>
      </c>
      <c r="H210" t="str">
        <f t="shared" si="16"/>
        <v>MEIO OESTE PAPEIS LTDA ME</v>
      </c>
      <c r="I210">
        <f t="shared" si="17"/>
        <v>0</v>
      </c>
      <c r="J210">
        <f t="shared" si="18"/>
        <v>1</v>
      </c>
    </row>
    <row r="211" spans="1:10" x14ac:dyDescent="0.25">
      <c r="A211" t="s">
        <v>353</v>
      </c>
      <c r="B211" t="s">
        <v>96</v>
      </c>
      <c r="C211" t="s">
        <v>59</v>
      </c>
      <c r="D211" s="3">
        <v>45555</v>
      </c>
      <c r="E211" t="str">
        <f>VLOOKUP(B211,'PROCV GERENTES BD'!A:B,2,0)</f>
        <v>POENATELA</v>
      </c>
      <c r="F211" s="4" t="str">
        <f t="shared" si="19"/>
        <v>2024-09-2</v>
      </c>
      <c r="G211" t="str">
        <f t="shared" si="15"/>
        <v>POENATELA</v>
      </c>
      <c r="H211" t="str">
        <f t="shared" si="16"/>
        <v>GREEN FARMING FAZENDAS RENOVAVEIS LTDA</v>
      </c>
      <c r="I211">
        <f t="shared" si="17"/>
        <v>0</v>
      </c>
      <c r="J211">
        <f t="shared" si="18"/>
        <v>0</v>
      </c>
    </row>
    <row r="212" spans="1:10" x14ac:dyDescent="0.25">
      <c r="A212" t="s">
        <v>354</v>
      </c>
      <c r="B212" t="s">
        <v>97</v>
      </c>
      <c r="C212" t="s">
        <v>72</v>
      </c>
      <c r="D212" s="3">
        <v>45555</v>
      </c>
      <c r="E212" t="str">
        <f>VLOOKUP(B212,'PROCV GERENTES BD'!A:B,2,0)</f>
        <v>POENATELA</v>
      </c>
      <c r="F212" s="4" t="str">
        <f t="shared" si="19"/>
        <v>2024-09-2</v>
      </c>
      <c r="G212" t="str">
        <f t="shared" si="15"/>
        <v>POENATELA</v>
      </c>
      <c r="H212" t="str">
        <f t="shared" si="16"/>
        <v>UBERTEC SERVICE USINAGEM LTDA EPP</v>
      </c>
      <c r="I212">
        <f t="shared" si="17"/>
        <v>1</v>
      </c>
      <c r="J212">
        <f t="shared" si="18"/>
        <v>0</v>
      </c>
    </row>
    <row r="213" spans="1:10" x14ac:dyDescent="0.25">
      <c r="A213" t="s">
        <v>396</v>
      </c>
      <c r="B213" t="s">
        <v>142</v>
      </c>
      <c r="C213" t="s">
        <v>72</v>
      </c>
      <c r="D213" s="3">
        <v>45555</v>
      </c>
      <c r="E213" t="s">
        <v>25</v>
      </c>
      <c r="F213" s="4" t="str">
        <f t="shared" si="19"/>
        <v>2024-09-2</v>
      </c>
      <c r="G213" t="str">
        <f t="shared" si="15"/>
        <v xml:space="preserve">ROGERIO </v>
      </c>
      <c r="H213" t="str">
        <f t="shared" si="16"/>
        <v>DINAMICA COM FERRAMENTAS EQUIPAMENTOS PROTECAO IND</v>
      </c>
      <c r="I213">
        <f t="shared" si="17"/>
        <v>1</v>
      </c>
      <c r="J213">
        <f t="shared" si="18"/>
        <v>0</v>
      </c>
    </row>
    <row r="214" spans="1:10" x14ac:dyDescent="0.25">
      <c r="A214" t="s">
        <v>356</v>
      </c>
      <c r="B214" t="s">
        <v>99</v>
      </c>
      <c r="C214" t="s">
        <v>56</v>
      </c>
      <c r="D214" s="3">
        <v>45555</v>
      </c>
      <c r="E214" t="str">
        <f>VLOOKUP(B214,'PROCV GERENTES BD'!A:B,2,0)</f>
        <v>WHELKYA IRIS</v>
      </c>
      <c r="F214" s="4" t="str">
        <f t="shared" si="19"/>
        <v>2024-09-2</v>
      </c>
      <c r="G214" t="str">
        <f t="shared" si="15"/>
        <v>WHELKYA IRIS</v>
      </c>
      <c r="H214" t="str">
        <f t="shared" si="16"/>
        <v>DIVINA INDUSTRIA DE COURO LTDA</v>
      </c>
      <c r="I214">
        <f t="shared" si="17"/>
        <v>0</v>
      </c>
      <c r="J214">
        <f t="shared" si="18"/>
        <v>1</v>
      </c>
    </row>
    <row r="215" spans="1:10" x14ac:dyDescent="0.25">
      <c r="A215" t="s">
        <v>362</v>
      </c>
      <c r="B215" t="s">
        <v>105</v>
      </c>
      <c r="C215" t="s">
        <v>56</v>
      </c>
      <c r="D215" s="3">
        <v>45556</v>
      </c>
      <c r="E215" t="str">
        <f>VLOOKUP(B215,'PROCV GERENTES BD'!A:B,2,0)</f>
        <v>ADMINISTRAÇÃO</v>
      </c>
      <c r="F215" s="4" t="str">
        <f t="shared" si="19"/>
        <v>2024-09-2</v>
      </c>
      <c r="G215" t="str">
        <f t="shared" si="15"/>
        <v>ADMINISTRAÇÃO</v>
      </c>
      <c r="H215" t="str">
        <f t="shared" si="16"/>
        <v>COLIBRI IND MEDIC SUPLEMENTOS PARA PECUARIA VETERI</v>
      </c>
      <c r="I215">
        <f t="shared" si="17"/>
        <v>0</v>
      </c>
      <c r="J215">
        <f t="shared" si="18"/>
        <v>1</v>
      </c>
    </row>
    <row r="216" spans="1:10" x14ac:dyDescent="0.25">
      <c r="A216" t="s">
        <v>379</v>
      </c>
      <c r="B216" t="s">
        <v>122</v>
      </c>
      <c r="C216" t="s">
        <v>72</v>
      </c>
      <c r="D216" s="3">
        <v>45556</v>
      </c>
      <c r="E216" t="str">
        <f>VLOOKUP(B216,'PROCV GERENTES BD'!A:B,2,0)</f>
        <v>ADMINISTRAÇÃO</v>
      </c>
      <c r="F216" s="4" t="str">
        <f t="shared" si="19"/>
        <v>2024-09-2</v>
      </c>
      <c r="G216" t="str">
        <f t="shared" si="15"/>
        <v>ADMINISTRAÇÃO</v>
      </c>
      <c r="H216" t="str">
        <f t="shared" si="16"/>
        <v>ESPECIALI INDUSTRIA DE ALIMENTOS LTDA ME</v>
      </c>
      <c r="I216">
        <f t="shared" si="17"/>
        <v>1</v>
      </c>
      <c r="J216">
        <f t="shared" si="18"/>
        <v>0</v>
      </c>
    </row>
    <row r="217" spans="1:10" x14ac:dyDescent="0.25">
      <c r="A217" t="s">
        <v>326</v>
      </c>
      <c r="B217" t="s">
        <v>86</v>
      </c>
      <c r="C217" t="s">
        <v>56</v>
      </c>
      <c r="D217" s="3">
        <v>45556</v>
      </c>
      <c r="E217" t="str">
        <f>VLOOKUP(B217,'PROCV GERENTES BD'!A:B,2,0)</f>
        <v>CELIO PIMENTA</v>
      </c>
      <c r="F217" s="4" t="str">
        <f t="shared" si="19"/>
        <v>2024-09-2</v>
      </c>
      <c r="G217" t="str">
        <f t="shared" si="15"/>
        <v>CELIO PIMENTA</v>
      </c>
      <c r="H217" t="str">
        <f t="shared" si="16"/>
        <v>IMPORTEXTIL COMERCIO DE TECIDOS LTDA</v>
      </c>
      <c r="I217">
        <f t="shared" si="17"/>
        <v>0</v>
      </c>
      <c r="J217">
        <f t="shared" si="18"/>
        <v>1</v>
      </c>
    </row>
    <row r="218" spans="1:10" x14ac:dyDescent="0.25">
      <c r="A218" t="s">
        <v>60</v>
      </c>
      <c r="B218" t="s">
        <v>61</v>
      </c>
      <c r="C218" t="s">
        <v>72</v>
      </c>
      <c r="D218" s="3">
        <v>45556</v>
      </c>
      <c r="E218" t="str">
        <f>VLOOKUP(B218,'PROCV GERENTES BD'!A:B,2,0)</f>
        <v>CELIO PIMENTA</v>
      </c>
      <c r="F218" s="4" t="str">
        <f t="shared" si="19"/>
        <v>2024-09-2</v>
      </c>
      <c r="G218" t="str">
        <f t="shared" si="15"/>
        <v>CELIO PIMENTA</v>
      </c>
      <c r="H218" t="str">
        <f t="shared" si="16"/>
        <v>WJ CALDEIRARIA INDUSTRIA E COMERCIO LTDA ME</v>
      </c>
      <c r="I218">
        <f t="shared" si="17"/>
        <v>1</v>
      </c>
      <c r="J218">
        <f t="shared" si="18"/>
        <v>0</v>
      </c>
    </row>
    <row r="219" spans="1:10" x14ac:dyDescent="0.25">
      <c r="A219" t="s">
        <v>383</v>
      </c>
      <c r="B219" t="s">
        <v>127</v>
      </c>
      <c r="C219" t="s">
        <v>72</v>
      </c>
      <c r="D219" s="3">
        <v>45556</v>
      </c>
      <c r="E219" t="str">
        <f>VLOOKUP(B219,'PROCV GERENTES BD'!A:B,2,0)</f>
        <v>NATALIA NUBIA</v>
      </c>
      <c r="F219" s="4" t="str">
        <f t="shared" si="19"/>
        <v>2024-09-2</v>
      </c>
      <c r="G219" t="str">
        <f t="shared" si="15"/>
        <v>NATALIA NUBIA</v>
      </c>
      <c r="H219" t="str">
        <f t="shared" si="16"/>
        <v>FARINELLI NUTRIMENTOS LTDA</v>
      </c>
      <c r="I219">
        <f t="shared" si="17"/>
        <v>1</v>
      </c>
      <c r="J219">
        <f t="shared" si="18"/>
        <v>0</v>
      </c>
    </row>
    <row r="220" spans="1:10" x14ac:dyDescent="0.25">
      <c r="A220" t="s">
        <v>347</v>
      </c>
      <c r="B220" t="s">
        <v>93</v>
      </c>
      <c r="C220" t="s">
        <v>56</v>
      </c>
      <c r="D220" s="3">
        <v>45556</v>
      </c>
      <c r="E220" t="str">
        <f>VLOOKUP(B220,'PROCV GERENTES BD'!A:B,2,0)</f>
        <v>NOELI SALETE</v>
      </c>
      <c r="F220" s="4" t="str">
        <f t="shared" si="19"/>
        <v>2024-09-2</v>
      </c>
      <c r="G220" t="str">
        <f t="shared" si="15"/>
        <v>NOELI SALETE</v>
      </c>
      <c r="H220" t="str">
        <f t="shared" si="16"/>
        <v>RODOBOX TRANSPORTES E ARMAZENAGEM DE CARGAS LTDA</v>
      </c>
      <c r="I220">
        <f t="shared" si="17"/>
        <v>0</v>
      </c>
      <c r="J220">
        <f t="shared" si="18"/>
        <v>1</v>
      </c>
    </row>
    <row r="221" spans="1:10" x14ac:dyDescent="0.25">
      <c r="A221" t="s">
        <v>348</v>
      </c>
      <c r="B221" t="s">
        <v>92</v>
      </c>
      <c r="C221" t="s">
        <v>56</v>
      </c>
      <c r="D221" s="3">
        <v>45556</v>
      </c>
      <c r="E221" t="str">
        <f>VLOOKUP(B221,'PROCV GERENTES BD'!A:B,2,0)</f>
        <v>NOELI SALETE</v>
      </c>
      <c r="F221" s="4" t="str">
        <f t="shared" si="19"/>
        <v>2024-09-2</v>
      </c>
      <c r="G221" t="str">
        <f t="shared" si="15"/>
        <v>NOELI SALETE</v>
      </c>
      <c r="H221" t="str">
        <f t="shared" si="16"/>
        <v>MEIO OESTE PAPEIS LTDA ME</v>
      </c>
      <c r="I221">
        <f t="shared" si="17"/>
        <v>0</v>
      </c>
      <c r="J221">
        <f t="shared" si="18"/>
        <v>1</v>
      </c>
    </row>
    <row r="222" spans="1:10" x14ac:dyDescent="0.25">
      <c r="A222" t="s">
        <v>353</v>
      </c>
      <c r="B222" t="s">
        <v>96</v>
      </c>
      <c r="C222" t="s">
        <v>59</v>
      </c>
      <c r="D222" s="3">
        <v>45556</v>
      </c>
      <c r="E222" t="str">
        <f>VLOOKUP(B222,'PROCV GERENTES BD'!A:B,2,0)</f>
        <v>POENATELA</v>
      </c>
      <c r="F222" s="4" t="str">
        <f t="shared" si="19"/>
        <v>2024-09-2</v>
      </c>
      <c r="G222" t="str">
        <f t="shared" si="15"/>
        <v>POENATELA</v>
      </c>
      <c r="H222" t="str">
        <f t="shared" si="16"/>
        <v>GREEN FARMING FAZENDAS RENOVAVEIS LTDA</v>
      </c>
      <c r="I222">
        <f t="shared" si="17"/>
        <v>0</v>
      </c>
      <c r="J222">
        <f t="shared" si="18"/>
        <v>0</v>
      </c>
    </row>
    <row r="223" spans="1:10" x14ac:dyDescent="0.25">
      <c r="A223" t="s">
        <v>354</v>
      </c>
      <c r="B223" t="s">
        <v>97</v>
      </c>
      <c r="C223" t="s">
        <v>59</v>
      </c>
      <c r="D223" s="3">
        <v>45556</v>
      </c>
      <c r="E223" t="str">
        <f>VLOOKUP(B223,'PROCV GERENTES BD'!A:B,2,0)</f>
        <v>POENATELA</v>
      </c>
      <c r="F223" s="4" t="str">
        <f t="shared" si="19"/>
        <v>2024-09-2</v>
      </c>
      <c r="G223" t="str">
        <f t="shared" si="15"/>
        <v>POENATELA</v>
      </c>
      <c r="H223" t="str">
        <f t="shared" si="16"/>
        <v>UBERTEC SERVICE USINAGEM LTDA EPP</v>
      </c>
      <c r="I223">
        <f t="shared" si="17"/>
        <v>0</v>
      </c>
      <c r="J223">
        <f t="shared" si="18"/>
        <v>0</v>
      </c>
    </row>
    <row r="224" spans="1:10" x14ac:dyDescent="0.25">
      <c r="A224" t="s">
        <v>384</v>
      </c>
      <c r="B224" t="s">
        <v>128</v>
      </c>
      <c r="C224" t="s">
        <v>56</v>
      </c>
      <c r="D224" s="3">
        <v>45556</v>
      </c>
      <c r="E224" t="str">
        <f>VLOOKUP(B224,'PROCV GERENTES BD'!A:B,2,0)</f>
        <v>PRISCILA METZ</v>
      </c>
      <c r="F224" s="4" t="str">
        <f t="shared" si="19"/>
        <v>2024-09-2</v>
      </c>
      <c r="G224" t="str">
        <f t="shared" si="15"/>
        <v>PRISCILA METZ</v>
      </c>
      <c r="H224" t="str">
        <f t="shared" si="16"/>
        <v>NOVA DISTRIBUIDORA E ATACADO DE LIMPEZA LTDA</v>
      </c>
      <c r="I224">
        <f t="shared" si="17"/>
        <v>0</v>
      </c>
      <c r="J224">
        <f t="shared" si="18"/>
        <v>1</v>
      </c>
    </row>
    <row r="225" spans="1:10" x14ac:dyDescent="0.25">
      <c r="A225" t="s">
        <v>401</v>
      </c>
      <c r="B225" t="s">
        <v>149</v>
      </c>
      <c r="C225" t="s">
        <v>56</v>
      </c>
      <c r="D225" s="3">
        <v>45556</v>
      </c>
      <c r="E225" t="str">
        <f>VLOOKUP(B225,'PROCV GERENTES BD'!A:B,2,0)</f>
        <v>THIAGO THEODORO</v>
      </c>
      <c r="F225" s="4" t="str">
        <f t="shared" si="19"/>
        <v>2024-09-2</v>
      </c>
      <c r="G225" t="str">
        <f t="shared" si="15"/>
        <v>THIAGO THEODORO</v>
      </c>
      <c r="H225" t="str">
        <f t="shared" si="16"/>
        <v>MONTAGEM MINAS GERAIS LTDA ME</v>
      </c>
      <c r="I225">
        <f t="shared" si="17"/>
        <v>0</v>
      </c>
      <c r="J225">
        <f t="shared" si="18"/>
        <v>1</v>
      </c>
    </row>
    <row r="226" spans="1:10" x14ac:dyDescent="0.25">
      <c r="A226" t="s">
        <v>402</v>
      </c>
      <c r="B226" t="s">
        <v>150</v>
      </c>
      <c r="C226" t="s">
        <v>334</v>
      </c>
      <c r="D226" s="3">
        <v>45557</v>
      </c>
      <c r="E226" t="str">
        <f>VLOOKUP(B226,'PROCV GERENTES BD'!A:B,2,0)</f>
        <v>NOELI SALETE</v>
      </c>
      <c r="F226" s="4" t="str">
        <f t="shared" si="19"/>
        <v>2024-09-2</v>
      </c>
      <c r="G226" t="str">
        <f t="shared" si="15"/>
        <v>NOELI SALETE</v>
      </c>
      <c r="H226" t="str">
        <f t="shared" si="16"/>
        <v>ALBERTO H DA SILVA ME</v>
      </c>
      <c r="I226">
        <f t="shared" si="17"/>
        <v>0</v>
      </c>
      <c r="J226">
        <f t="shared" si="18"/>
        <v>0</v>
      </c>
    </row>
    <row r="227" spans="1:10" x14ac:dyDescent="0.25">
      <c r="A227" t="s">
        <v>402</v>
      </c>
      <c r="B227" t="s">
        <v>150</v>
      </c>
      <c r="C227" t="s">
        <v>56</v>
      </c>
      <c r="D227" s="3">
        <v>45557</v>
      </c>
      <c r="E227" t="str">
        <f>VLOOKUP(B227,'PROCV GERENTES BD'!A:B,2,0)</f>
        <v>NOELI SALETE</v>
      </c>
      <c r="F227" s="4" t="str">
        <f t="shared" si="19"/>
        <v>2024-09-2</v>
      </c>
      <c r="G227" t="str">
        <f t="shared" si="15"/>
        <v>NOELI SALETE</v>
      </c>
      <c r="H227" t="str">
        <f t="shared" si="16"/>
        <v>ALBERTO H DA SILVA ME</v>
      </c>
      <c r="I227">
        <f t="shared" si="17"/>
        <v>0</v>
      </c>
      <c r="J227">
        <f t="shared" si="18"/>
        <v>1</v>
      </c>
    </row>
    <row r="228" spans="1:10" x14ac:dyDescent="0.25">
      <c r="A228" t="s">
        <v>318</v>
      </c>
      <c r="B228" t="s">
        <v>87</v>
      </c>
      <c r="C228" t="s">
        <v>56</v>
      </c>
      <c r="D228" s="3">
        <v>45559</v>
      </c>
      <c r="E228" t="str">
        <f>VLOOKUP(B228,'PROCV GERENTES BD'!A:B,2,0)</f>
        <v>CELIO PIMENTA</v>
      </c>
      <c r="F228" s="4" t="str">
        <f t="shared" si="19"/>
        <v>2024-09-2</v>
      </c>
      <c r="G228" t="str">
        <f t="shared" si="15"/>
        <v>CELIO PIMENTA</v>
      </c>
      <c r="H228" t="str">
        <f t="shared" si="16"/>
        <v>MBIOLOG DIAGNOSTICOS LTDA</v>
      </c>
      <c r="I228">
        <f t="shared" si="17"/>
        <v>0</v>
      </c>
      <c r="J228">
        <f t="shared" si="18"/>
        <v>1</v>
      </c>
    </row>
    <row r="229" spans="1:10" x14ac:dyDescent="0.25">
      <c r="A229" t="s">
        <v>339</v>
      </c>
      <c r="B229" t="s">
        <v>151</v>
      </c>
      <c r="C229" t="s">
        <v>56</v>
      </c>
      <c r="D229" s="3">
        <v>45560</v>
      </c>
      <c r="E229" t="str">
        <f>VLOOKUP(B229,'PROCV GERENTES BD'!A:B,2,0)</f>
        <v>ADMINISTRAÇÃO</v>
      </c>
      <c r="F229" s="4" t="str">
        <f t="shared" si="19"/>
        <v>2024-09-2</v>
      </c>
      <c r="G229" t="str">
        <f t="shared" si="15"/>
        <v>ADMINISTRAÇÃO</v>
      </c>
      <c r="H229" t="str">
        <f t="shared" si="16"/>
        <v>BOM PASTOR PAPEIS LTDA EM RECUPERACAO JUDICIAL</v>
      </c>
      <c r="I229">
        <f t="shared" si="17"/>
        <v>0</v>
      </c>
      <c r="J229">
        <f t="shared" si="18"/>
        <v>1</v>
      </c>
    </row>
    <row r="230" spans="1:10" x14ac:dyDescent="0.25">
      <c r="A230" t="s">
        <v>381</v>
      </c>
      <c r="B230" t="s">
        <v>124</v>
      </c>
      <c r="C230" t="s">
        <v>56</v>
      </c>
      <c r="D230" s="3">
        <v>45560</v>
      </c>
      <c r="E230" t="str">
        <f>VLOOKUP(B230,'PROCV GERENTES BD'!A:B,2,0)</f>
        <v>ANTONIO CARLOS</v>
      </c>
      <c r="F230" s="4" t="str">
        <f t="shared" si="19"/>
        <v>2024-09-2</v>
      </c>
      <c r="G230" t="str">
        <f t="shared" si="15"/>
        <v>ANTONIO CARLOS</v>
      </c>
      <c r="H230" t="str">
        <f t="shared" si="16"/>
        <v>VIVAN TRANSPORTES LTDA</v>
      </c>
      <c r="I230">
        <f t="shared" si="17"/>
        <v>0</v>
      </c>
      <c r="J230">
        <f t="shared" si="18"/>
        <v>1</v>
      </c>
    </row>
    <row r="231" spans="1:10" x14ac:dyDescent="0.25">
      <c r="A231" t="s">
        <v>326</v>
      </c>
      <c r="B231" t="s">
        <v>86</v>
      </c>
      <c r="C231" t="s">
        <v>56</v>
      </c>
      <c r="D231" s="3">
        <v>45560</v>
      </c>
      <c r="E231" t="str">
        <f>VLOOKUP(B231,'PROCV GERENTES BD'!A:B,2,0)</f>
        <v>CELIO PIMENTA</v>
      </c>
      <c r="F231" s="4" t="str">
        <f t="shared" si="19"/>
        <v>2024-09-2</v>
      </c>
      <c r="G231" t="str">
        <f t="shared" si="15"/>
        <v>CELIO PIMENTA</v>
      </c>
      <c r="H231" t="str">
        <f t="shared" si="16"/>
        <v>IMPORTEXTIL COMERCIO DE TECIDOS LTDA</v>
      </c>
      <c r="I231">
        <f t="shared" si="17"/>
        <v>0</v>
      </c>
      <c r="J231">
        <f t="shared" si="18"/>
        <v>1</v>
      </c>
    </row>
    <row r="232" spans="1:10" x14ac:dyDescent="0.25">
      <c r="A232" t="s">
        <v>331</v>
      </c>
      <c r="B232" t="s">
        <v>126</v>
      </c>
      <c r="C232" t="s">
        <v>72</v>
      </c>
      <c r="D232" s="3">
        <v>45560</v>
      </c>
      <c r="E232" t="str">
        <f>VLOOKUP(B232,'PROCV GERENTES BD'!A:B,2,0)</f>
        <v>FITZ</v>
      </c>
      <c r="F232" s="4" t="str">
        <f t="shared" si="19"/>
        <v>2024-09-2</v>
      </c>
      <c r="G232" t="str">
        <f t="shared" si="15"/>
        <v>FITZ</v>
      </c>
      <c r="H232" t="str">
        <f t="shared" si="16"/>
        <v>TRANSHENRY TRANSPORTES LTDA</v>
      </c>
      <c r="I232">
        <f t="shared" si="17"/>
        <v>1</v>
      </c>
      <c r="J232">
        <f t="shared" si="18"/>
        <v>0</v>
      </c>
    </row>
    <row r="233" spans="1:10" x14ac:dyDescent="0.25">
      <c r="A233" t="s">
        <v>358</v>
      </c>
      <c r="B233" t="s">
        <v>101</v>
      </c>
      <c r="C233" t="s">
        <v>56</v>
      </c>
      <c r="D233" s="3">
        <v>45560</v>
      </c>
      <c r="E233" t="str">
        <f>VLOOKUP(B233,'PROCV GERENTES BD'!A:B,2,0)</f>
        <v>GRUPO OTTO</v>
      </c>
      <c r="F233" s="4" t="str">
        <f t="shared" si="19"/>
        <v>2024-09-2</v>
      </c>
      <c r="G233" t="str">
        <f t="shared" si="15"/>
        <v>GRUPO OTTO</v>
      </c>
      <c r="H233" t="str">
        <f t="shared" si="16"/>
        <v>PLURIFORME INDUSTRIA E COMERCIO DE UNIFORMES LTDA</v>
      </c>
      <c r="I233">
        <f t="shared" si="17"/>
        <v>0</v>
      </c>
      <c r="J233">
        <f t="shared" si="18"/>
        <v>1</v>
      </c>
    </row>
    <row r="234" spans="1:10" x14ac:dyDescent="0.25">
      <c r="A234" t="s">
        <v>341</v>
      </c>
      <c r="B234" t="s">
        <v>88</v>
      </c>
      <c r="C234" t="s">
        <v>72</v>
      </c>
      <c r="D234" s="3">
        <v>45560</v>
      </c>
      <c r="E234" t="str">
        <f>VLOOKUP(B234,'PROCV GERENTES BD'!A:B,2,0)</f>
        <v>LUIS GUSTAVO</v>
      </c>
      <c r="F234" s="4" t="str">
        <f t="shared" si="19"/>
        <v>2024-09-2</v>
      </c>
      <c r="G234" t="str">
        <f t="shared" si="15"/>
        <v>LUIS GUSTAVO</v>
      </c>
      <c r="H234" t="str">
        <f t="shared" si="16"/>
        <v>BETMIX CONCRETO LTDA</v>
      </c>
      <c r="I234">
        <f t="shared" si="17"/>
        <v>1</v>
      </c>
      <c r="J234">
        <f t="shared" si="18"/>
        <v>0</v>
      </c>
    </row>
    <row r="235" spans="1:10" x14ac:dyDescent="0.25">
      <c r="A235" t="s">
        <v>403</v>
      </c>
      <c r="B235" t="s">
        <v>152</v>
      </c>
      <c r="C235" t="s">
        <v>72</v>
      </c>
      <c r="D235" s="3">
        <v>45560</v>
      </c>
      <c r="E235" t="str">
        <f>VLOOKUP(B235,'PROCV GERENTES BD'!A:B,2,0)</f>
        <v>MARCIO LEONEL</v>
      </c>
      <c r="F235" s="4" t="str">
        <f t="shared" si="19"/>
        <v>2024-09-2</v>
      </c>
      <c r="G235" t="str">
        <f t="shared" si="15"/>
        <v>MARCIO LEONEL</v>
      </c>
      <c r="H235" t="str">
        <f t="shared" si="16"/>
        <v>MEDICAL PRIME IMP EXPORT DISTRIB PRODUTOS MEDICOS</v>
      </c>
      <c r="I235">
        <f t="shared" si="17"/>
        <v>1</v>
      </c>
      <c r="J235">
        <f t="shared" si="18"/>
        <v>0</v>
      </c>
    </row>
    <row r="236" spans="1:10" x14ac:dyDescent="0.25">
      <c r="A236" t="s">
        <v>343</v>
      </c>
      <c r="B236" t="s">
        <v>89</v>
      </c>
      <c r="C236" t="s">
        <v>59</v>
      </c>
      <c r="D236" s="3">
        <v>45560</v>
      </c>
      <c r="E236" t="str">
        <f>VLOOKUP(B236,'PROCV GERENTES BD'!A:B,2,0)</f>
        <v>MARCOS SOUZA</v>
      </c>
      <c r="F236" s="4" t="str">
        <f t="shared" si="19"/>
        <v>2024-09-2</v>
      </c>
      <c r="G236" t="str">
        <f t="shared" si="15"/>
        <v>MARCOS SOUZA</v>
      </c>
      <c r="H236" t="str">
        <f t="shared" si="16"/>
        <v>ARCA CONSTRUCOES E INCORPORACOES LTDA</v>
      </c>
      <c r="I236">
        <f t="shared" si="17"/>
        <v>0</v>
      </c>
      <c r="J236">
        <f t="shared" si="18"/>
        <v>0</v>
      </c>
    </row>
    <row r="237" spans="1:10" x14ac:dyDescent="0.25">
      <c r="A237" t="s">
        <v>66</v>
      </c>
      <c r="B237" t="s">
        <v>67</v>
      </c>
      <c r="C237" t="s">
        <v>56</v>
      </c>
      <c r="D237" s="3">
        <v>45560</v>
      </c>
      <c r="E237" t="str">
        <f>VLOOKUP(B237,'PROCV GERENTES BD'!A:B,2,0)</f>
        <v xml:space="preserve">MARCUS VINICIUS </v>
      </c>
      <c r="F237" s="4" t="str">
        <f t="shared" si="19"/>
        <v>2024-09-2</v>
      </c>
      <c r="G237" t="str">
        <f t="shared" si="15"/>
        <v xml:space="preserve">MARCUS VINICIUS </v>
      </c>
      <c r="H237" t="str">
        <f t="shared" si="16"/>
        <v>COM IND DE CEREAIS E TRANSPORTES MACIEL LTDA</v>
      </c>
      <c r="I237">
        <f t="shared" si="17"/>
        <v>0</v>
      </c>
      <c r="J237">
        <f t="shared" si="18"/>
        <v>1</v>
      </c>
    </row>
    <row r="238" spans="1:10" x14ac:dyDescent="0.25">
      <c r="A238" t="s">
        <v>377</v>
      </c>
      <c r="B238" t="s">
        <v>120</v>
      </c>
      <c r="C238" t="s">
        <v>56</v>
      </c>
      <c r="D238" s="3">
        <v>45560</v>
      </c>
      <c r="E238" t="str">
        <f>VLOOKUP(B238,'PROCV GERENTES BD'!A:B,2,0)</f>
        <v xml:space="preserve">MARCUS VINICIUS </v>
      </c>
      <c r="F238" s="4" t="str">
        <f t="shared" si="19"/>
        <v>2024-09-2</v>
      </c>
      <c r="G238" t="str">
        <f t="shared" si="15"/>
        <v xml:space="preserve">MARCUS VINICIUS </v>
      </c>
      <c r="H238" t="str">
        <f t="shared" si="16"/>
        <v>ISOBASE POLIESTIRENO LTDA EPP</v>
      </c>
      <c r="I238">
        <f t="shared" si="17"/>
        <v>0</v>
      </c>
      <c r="J238">
        <f t="shared" si="18"/>
        <v>1</v>
      </c>
    </row>
    <row r="239" spans="1:10" x14ac:dyDescent="0.25">
      <c r="A239" t="s">
        <v>347</v>
      </c>
      <c r="B239" t="s">
        <v>93</v>
      </c>
      <c r="C239" t="s">
        <v>56</v>
      </c>
      <c r="D239" s="3">
        <v>45560</v>
      </c>
      <c r="E239" t="str">
        <f>VLOOKUP(B239,'PROCV GERENTES BD'!A:B,2,0)</f>
        <v>NOELI SALETE</v>
      </c>
      <c r="F239" s="4" t="str">
        <f t="shared" si="19"/>
        <v>2024-09-2</v>
      </c>
      <c r="G239" t="str">
        <f t="shared" si="15"/>
        <v>NOELI SALETE</v>
      </c>
      <c r="H239" t="str">
        <f t="shared" si="16"/>
        <v>RODOBOX TRANSPORTES E ARMAZENAGEM DE CARGAS LTDA</v>
      </c>
      <c r="I239">
        <f t="shared" si="17"/>
        <v>0</v>
      </c>
      <c r="J239">
        <f t="shared" si="18"/>
        <v>1</v>
      </c>
    </row>
    <row r="240" spans="1:10" x14ac:dyDescent="0.25">
      <c r="A240" t="s">
        <v>348</v>
      </c>
      <c r="B240" t="s">
        <v>92</v>
      </c>
      <c r="C240" t="s">
        <v>59</v>
      </c>
      <c r="D240" s="3">
        <v>45560</v>
      </c>
      <c r="E240" t="str">
        <f>VLOOKUP(B240,'PROCV GERENTES BD'!A:B,2,0)</f>
        <v>NOELI SALETE</v>
      </c>
      <c r="F240" s="4" t="str">
        <f t="shared" si="19"/>
        <v>2024-09-2</v>
      </c>
      <c r="G240" t="str">
        <f t="shared" si="15"/>
        <v>NOELI SALETE</v>
      </c>
      <c r="H240" t="str">
        <f t="shared" si="16"/>
        <v>MEIO OESTE PAPEIS LTDA ME</v>
      </c>
      <c r="I240">
        <f t="shared" si="17"/>
        <v>0</v>
      </c>
      <c r="J240">
        <f t="shared" si="18"/>
        <v>0</v>
      </c>
    </row>
    <row r="241" spans="1:10" x14ac:dyDescent="0.25">
      <c r="A241" t="s">
        <v>353</v>
      </c>
      <c r="B241" t="s">
        <v>96</v>
      </c>
      <c r="C241" t="s">
        <v>59</v>
      </c>
      <c r="D241" s="3">
        <v>45560</v>
      </c>
      <c r="E241" t="str">
        <f>VLOOKUP(B241,'PROCV GERENTES BD'!A:B,2,0)</f>
        <v>POENATELA</v>
      </c>
      <c r="F241" s="4" t="str">
        <f t="shared" si="19"/>
        <v>2024-09-2</v>
      </c>
      <c r="G241" t="str">
        <f t="shared" si="15"/>
        <v>POENATELA</v>
      </c>
      <c r="H241" t="str">
        <f t="shared" si="16"/>
        <v>GREEN FARMING FAZENDAS RENOVAVEIS LTDA</v>
      </c>
      <c r="I241">
        <f t="shared" si="17"/>
        <v>0</v>
      </c>
      <c r="J241">
        <f t="shared" si="18"/>
        <v>0</v>
      </c>
    </row>
    <row r="242" spans="1:10" x14ac:dyDescent="0.25">
      <c r="A242" t="s">
        <v>354</v>
      </c>
      <c r="B242" t="s">
        <v>97</v>
      </c>
      <c r="C242" t="s">
        <v>56</v>
      </c>
      <c r="D242" s="3">
        <v>45560</v>
      </c>
      <c r="E242" t="str">
        <f>VLOOKUP(B242,'PROCV GERENTES BD'!A:B,2,0)</f>
        <v>POENATELA</v>
      </c>
      <c r="F242" s="4" t="str">
        <f t="shared" si="19"/>
        <v>2024-09-2</v>
      </c>
      <c r="G242" t="str">
        <f t="shared" si="15"/>
        <v>POENATELA</v>
      </c>
      <c r="H242" t="str">
        <f t="shared" si="16"/>
        <v>UBERTEC SERVICE USINAGEM LTDA EPP</v>
      </c>
      <c r="I242">
        <f t="shared" si="17"/>
        <v>0</v>
      </c>
      <c r="J242">
        <f t="shared" si="18"/>
        <v>1</v>
      </c>
    </row>
    <row r="243" spans="1:10" x14ac:dyDescent="0.25">
      <c r="A243" t="s">
        <v>384</v>
      </c>
      <c r="B243" t="s">
        <v>128</v>
      </c>
      <c r="C243" t="s">
        <v>56</v>
      </c>
      <c r="D243" s="3">
        <v>45560</v>
      </c>
      <c r="E243" t="str">
        <f>VLOOKUP(B243,'PROCV GERENTES BD'!A:B,2,0)</f>
        <v>PRISCILA METZ</v>
      </c>
      <c r="F243" s="4" t="str">
        <f t="shared" si="19"/>
        <v>2024-09-2</v>
      </c>
      <c r="G243" t="str">
        <f t="shared" si="15"/>
        <v>PRISCILA METZ</v>
      </c>
      <c r="H243" t="str">
        <f t="shared" si="16"/>
        <v>NOVA DISTRIBUIDORA E ATACADO DE LIMPEZA LTDA</v>
      </c>
      <c r="I243">
        <f t="shared" si="17"/>
        <v>0</v>
      </c>
      <c r="J243">
        <f t="shared" si="18"/>
        <v>1</v>
      </c>
    </row>
    <row r="244" spans="1:10" x14ac:dyDescent="0.25">
      <c r="A244" t="s">
        <v>401</v>
      </c>
      <c r="B244" t="s">
        <v>149</v>
      </c>
      <c r="C244" t="s">
        <v>72</v>
      </c>
      <c r="D244" s="3">
        <v>45560</v>
      </c>
      <c r="E244" t="str">
        <f>VLOOKUP(B244,'PROCV GERENTES BD'!A:B,2,0)</f>
        <v>THIAGO THEODORO</v>
      </c>
      <c r="F244" s="4" t="str">
        <f t="shared" si="19"/>
        <v>2024-09-2</v>
      </c>
      <c r="G244" t="str">
        <f t="shared" si="15"/>
        <v>THIAGO THEODORO</v>
      </c>
      <c r="H244" t="str">
        <f t="shared" si="16"/>
        <v>MONTAGEM MINAS GERAIS LTDA ME</v>
      </c>
      <c r="I244">
        <f t="shared" si="17"/>
        <v>1</v>
      </c>
      <c r="J244">
        <f t="shared" si="18"/>
        <v>0</v>
      </c>
    </row>
    <row r="245" spans="1:10" x14ac:dyDescent="0.25">
      <c r="A245" t="s">
        <v>380</v>
      </c>
      <c r="B245" t="s">
        <v>123</v>
      </c>
      <c r="C245" t="s">
        <v>56</v>
      </c>
      <c r="D245" s="3">
        <v>45561</v>
      </c>
      <c r="E245" t="str">
        <f>VLOOKUP(B245,'PROCV GERENTES BD'!A:B,2,0)</f>
        <v>ANTONIO CARLOS</v>
      </c>
      <c r="F245" s="4" t="str">
        <f t="shared" si="19"/>
        <v>2024-09-2</v>
      </c>
      <c r="G245" t="str">
        <f t="shared" si="15"/>
        <v>ANTONIO CARLOS</v>
      </c>
      <c r="H245" t="str">
        <f t="shared" si="16"/>
        <v>PREMOLDADOS MATOSINHOS LTDA EPP</v>
      </c>
      <c r="I245">
        <f t="shared" si="17"/>
        <v>0</v>
      </c>
      <c r="J245">
        <f t="shared" si="18"/>
        <v>1</v>
      </c>
    </row>
    <row r="246" spans="1:10" x14ac:dyDescent="0.25">
      <c r="A246" t="s">
        <v>326</v>
      </c>
      <c r="B246" t="s">
        <v>86</v>
      </c>
      <c r="C246" t="s">
        <v>56</v>
      </c>
      <c r="D246" s="3">
        <v>45561</v>
      </c>
      <c r="E246" t="str">
        <f>VLOOKUP(B246,'PROCV GERENTES BD'!A:B,2,0)</f>
        <v>CELIO PIMENTA</v>
      </c>
      <c r="F246" s="4" t="str">
        <f t="shared" si="19"/>
        <v>2024-09-2</v>
      </c>
      <c r="G246" t="str">
        <f t="shared" si="15"/>
        <v>CELIO PIMENTA</v>
      </c>
      <c r="H246" t="str">
        <f t="shared" si="16"/>
        <v>IMPORTEXTIL COMERCIO DE TECIDOS LTDA</v>
      </c>
      <c r="I246">
        <f t="shared" si="17"/>
        <v>0</v>
      </c>
      <c r="J246">
        <f t="shared" si="18"/>
        <v>1</v>
      </c>
    </row>
    <row r="247" spans="1:10" x14ac:dyDescent="0.25">
      <c r="A247" t="s">
        <v>382</v>
      </c>
      <c r="B247" t="s">
        <v>125</v>
      </c>
      <c r="C247" t="s">
        <v>56</v>
      </c>
      <c r="D247" s="3">
        <v>45561</v>
      </c>
      <c r="E247" t="str">
        <f>VLOOKUP(B247,'PROCV GERENTES BD'!A:B,2,0)</f>
        <v>CELIO PIMENTA</v>
      </c>
      <c r="F247" s="4" t="str">
        <f t="shared" si="19"/>
        <v>2024-09-2</v>
      </c>
      <c r="G247" t="str">
        <f t="shared" si="15"/>
        <v>CELIO PIMENTA</v>
      </c>
      <c r="H247" t="str">
        <f t="shared" si="16"/>
        <v>MINAS ALIMENTOS E FRUTAS SECAS LTDA EPP</v>
      </c>
      <c r="I247">
        <f t="shared" si="17"/>
        <v>0</v>
      </c>
      <c r="J247">
        <f t="shared" si="18"/>
        <v>1</v>
      </c>
    </row>
    <row r="248" spans="1:10" x14ac:dyDescent="0.25">
      <c r="A248" t="s">
        <v>330</v>
      </c>
      <c r="B248" t="s">
        <v>116</v>
      </c>
      <c r="C248" t="s">
        <v>56</v>
      </c>
      <c r="D248" s="3">
        <v>45561</v>
      </c>
      <c r="E248" t="str">
        <f>VLOOKUP(B248,'PROCV GERENTES BD'!A:B,2,0)</f>
        <v>FITZ</v>
      </c>
      <c r="F248" s="4" t="str">
        <f t="shared" si="19"/>
        <v>2024-09-2</v>
      </c>
      <c r="G248" t="str">
        <f t="shared" si="15"/>
        <v>FITZ</v>
      </c>
      <c r="H248" t="str">
        <f t="shared" si="16"/>
        <v>SIAP COMERCIO DE PRODUTOS AGROPECUARIOS LTDA</v>
      </c>
      <c r="I248">
        <f t="shared" si="17"/>
        <v>0</v>
      </c>
      <c r="J248">
        <f t="shared" si="18"/>
        <v>1</v>
      </c>
    </row>
    <row r="249" spans="1:10" x14ac:dyDescent="0.25">
      <c r="A249" t="s">
        <v>403</v>
      </c>
      <c r="B249" t="s">
        <v>152</v>
      </c>
      <c r="C249" t="s">
        <v>56</v>
      </c>
      <c r="D249" s="3">
        <v>45561</v>
      </c>
      <c r="E249" t="str">
        <f>VLOOKUP(B249,'PROCV GERENTES BD'!A:B,2,0)</f>
        <v>MARCIO LEONEL</v>
      </c>
      <c r="F249" s="4" t="str">
        <f t="shared" si="19"/>
        <v>2024-09-2</v>
      </c>
      <c r="G249" t="str">
        <f t="shared" si="15"/>
        <v>MARCIO LEONEL</v>
      </c>
      <c r="H249" t="str">
        <f t="shared" si="16"/>
        <v>MEDICAL PRIME IMP EXPORT DISTRIB PRODUTOS MEDICOS</v>
      </c>
      <c r="I249">
        <f t="shared" si="17"/>
        <v>0</v>
      </c>
      <c r="J249">
        <f t="shared" si="18"/>
        <v>1</v>
      </c>
    </row>
    <row r="250" spans="1:10" x14ac:dyDescent="0.25">
      <c r="A250" t="s">
        <v>348</v>
      </c>
      <c r="B250" t="s">
        <v>92</v>
      </c>
      <c r="C250" t="s">
        <v>59</v>
      </c>
      <c r="D250" s="3">
        <v>45561</v>
      </c>
      <c r="E250" t="str">
        <f>VLOOKUP(B250,'PROCV GERENTES BD'!A:B,2,0)</f>
        <v>NOELI SALETE</v>
      </c>
      <c r="F250" s="4" t="str">
        <f t="shared" si="19"/>
        <v>2024-09-2</v>
      </c>
      <c r="G250" t="str">
        <f t="shared" si="15"/>
        <v>NOELI SALETE</v>
      </c>
      <c r="H250" t="str">
        <f t="shared" si="16"/>
        <v>MEIO OESTE PAPEIS LTDA ME</v>
      </c>
      <c r="I250">
        <f t="shared" si="17"/>
        <v>0</v>
      </c>
      <c r="J250">
        <f t="shared" si="18"/>
        <v>0</v>
      </c>
    </row>
    <row r="251" spans="1:10" x14ac:dyDescent="0.25">
      <c r="A251" t="s">
        <v>353</v>
      </c>
      <c r="B251" t="s">
        <v>96</v>
      </c>
      <c r="C251" t="s">
        <v>56</v>
      </c>
      <c r="D251" s="3">
        <v>45561</v>
      </c>
      <c r="E251" t="str">
        <f>VLOOKUP(B251,'PROCV GERENTES BD'!A:B,2,0)</f>
        <v>POENATELA</v>
      </c>
      <c r="F251" s="4" t="str">
        <f t="shared" si="19"/>
        <v>2024-09-2</v>
      </c>
      <c r="G251" t="str">
        <f t="shared" si="15"/>
        <v>POENATELA</v>
      </c>
      <c r="H251" t="str">
        <f t="shared" si="16"/>
        <v>GREEN FARMING FAZENDAS RENOVAVEIS LTDA</v>
      </c>
      <c r="I251">
        <f t="shared" si="17"/>
        <v>0</v>
      </c>
      <c r="J251">
        <f t="shared" si="18"/>
        <v>1</v>
      </c>
    </row>
    <row r="252" spans="1:10" x14ac:dyDescent="0.25">
      <c r="A252" t="s">
        <v>354</v>
      </c>
      <c r="B252" t="s">
        <v>97</v>
      </c>
      <c r="C252" t="s">
        <v>56</v>
      </c>
      <c r="D252" s="3">
        <v>45561</v>
      </c>
      <c r="E252" t="str">
        <f>VLOOKUP(B252,'PROCV GERENTES BD'!A:B,2,0)</f>
        <v>POENATELA</v>
      </c>
      <c r="F252" s="4" t="str">
        <f t="shared" si="19"/>
        <v>2024-09-2</v>
      </c>
      <c r="G252" t="str">
        <f t="shared" si="15"/>
        <v>POENATELA</v>
      </c>
      <c r="H252" t="str">
        <f t="shared" si="16"/>
        <v>UBERTEC SERVICE USINAGEM LTDA EPP</v>
      </c>
      <c r="I252">
        <f t="shared" si="17"/>
        <v>0</v>
      </c>
      <c r="J252">
        <f t="shared" si="18"/>
        <v>1</v>
      </c>
    </row>
    <row r="253" spans="1:10" x14ac:dyDescent="0.25">
      <c r="A253" t="s">
        <v>362</v>
      </c>
      <c r="B253" t="s">
        <v>105</v>
      </c>
      <c r="C253" t="s">
        <v>72</v>
      </c>
      <c r="D253" s="3">
        <v>45562</v>
      </c>
      <c r="E253" t="str">
        <f>VLOOKUP(B253,'PROCV GERENTES BD'!A:B,2,0)</f>
        <v>ADMINISTRAÇÃO</v>
      </c>
      <c r="F253" s="4" t="str">
        <f t="shared" si="19"/>
        <v>2024-09-2</v>
      </c>
      <c r="G253" t="str">
        <f t="shared" si="15"/>
        <v>ADMINISTRAÇÃO</v>
      </c>
      <c r="H253" t="str">
        <f t="shared" si="16"/>
        <v>COLIBRI IND MEDIC SUPLEMENTOS PARA PECUARIA VETERI</v>
      </c>
      <c r="I253">
        <f t="shared" si="17"/>
        <v>1</v>
      </c>
      <c r="J253">
        <f t="shared" si="18"/>
        <v>0</v>
      </c>
    </row>
    <row r="254" spans="1:10" x14ac:dyDescent="0.25">
      <c r="A254" t="s">
        <v>390</v>
      </c>
      <c r="B254" t="s">
        <v>136</v>
      </c>
      <c r="C254" t="s">
        <v>72</v>
      </c>
      <c r="D254" s="3">
        <v>45562</v>
      </c>
      <c r="E254" t="str">
        <f>VLOOKUP(B254,'PROCV GERENTES BD'!A:B,2,0)</f>
        <v>ADMINISTRAÇÃO</v>
      </c>
      <c r="F254" s="4" t="str">
        <f t="shared" si="19"/>
        <v>2024-09-2</v>
      </c>
      <c r="G254" t="str">
        <f t="shared" si="15"/>
        <v>ADMINISTRAÇÃO</v>
      </c>
      <c r="H254" t="str">
        <f t="shared" si="16"/>
        <v>XEQUE MATE BEBIDAS LTDA ME</v>
      </c>
      <c r="I254">
        <f t="shared" si="17"/>
        <v>1</v>
      </c>
      <c r="J254">
        <f t="shared" si="18"/>
        <v>0</v>
      </c>
    </row>
    <row r="255" spans="1:10" x14ac:dyDescent="0.25">
      <c r="A255" t="s">
        <v>326</v>
      </c>
      <c r="B255" t="s">
        <v>86</v>
      </c>
      <c r="C255" t="s">
        <v>56</v>
      </c>
      <c r="D255" s="3">
        <v>45562</v>
      </c>
      <c r="E255" t="str">
        <f>VLOOKUP(B255,'PROCV GERENTES BD'!A:B,2,0)</f>
        <v>CELIO PIMENTA</v>
      </c>
      <c r="F255" s="4" t="str">
        <f t="shared" si="19"/>
        <v>2024-09-2</v>
      </c>
      <c r="G255" t="str">
        <f t="shared" si="15"/>
        <v>CELIO PIMENTA</v>
      </c>
      <c r="H255" t="str">
        <f t="shared" si="16"/>
        <v>IMPORTEXTIL COMERCIO DE TECIDOS LTDA</v>
      </c>
      <c r="I255">
        <f t="shared" si="17"/>
        <v>0</v>
      </c>
      <c r="J255">
        <f t="shared" si="18"/>
        <v>1</v>
      </c>
    </row>
    <row r="256" spans="1:10" x14ac:dyDescent="0.25">
      <c r="A256" t="s">
        <v>358</v>
      </c>
      <c r="B256" t="s">
        <v>101</v>
      </c>
      <c r="C256" t="s">
        <v>56</v>
      </c>
      <c r="D256" s="3">
        <v>45562</v>
      </c>
      <c r="E256" t="str">
        <f>VLOOKUP(B256,'PROCV GERENTES BD'!A:B,2,0)</f>
        <v>GRUPO OTTO</v>
      </c>
      <c r="F256" s="4" t="str">
        <f t="shared" si="19"/>
        <v>2024-09-2</v>
      </c>
      <c r="G256" t="str">
        <f t="shared" si="15"/>
        <v>GRUPO OTTO</v>
      </c>
      <c r="H256" t="str">
        <f t="shared" si="16"/>
        <v>PLURIFORME INDUSTRIA E COMERCIO DE UNIFORMES LTDA</v>
      </c>
      <c r="I256">
        <f t="shared" si="17"/>
        <v>0</v>
      </c>
      <c r="J256">
        <f t="shared" si="18"/>
        <v>1</v>
      </c>
    </row>
    <row r="257" spans="1:10" x14ac:dyDescent="0.25">
      <c r="A257" t="s">
        <v>377</v>
      </c>
      <c r="B257" t="s">
        <v>120</v>
      </c>
      <c r="C257" t="s">
        <v>56</v>
      </c>
      <c r="D257" s="3">
        <v>45562</v>
      </c>
      <c r="E257" t="str">
        <f>VLOOKUP(B257,'PROCV GERENTES BD'!A:B,2,0)</f>
        <v xml:space="preserve">MARCUS VINICIUS </v>
      </c>
      <c r="F257" s="4" t="str">
        <f t="shared" si="19"/>
        <v>2024-09-2</v>
      </c>
      <c r="G257" t="str">
        <f t="shared" si="15"/>
        <v xml:space="preserve">MARCUS VINICIUS </v>
      </c>
      <c r="H257" t="str">
        <f t="shared" si="16"/>
        <v>ISOBASE POLIESTIRENO LTDA EPP</v>
      </c>
      <c r="I257">
        <f t="shared" si="17"/>
        <v>0</v>
      </c>
      <c r="J257">
        <f t="shared" si="18"/>
        <v>1</v>
      </c>
    </row>
    <row r="258" spans="1:10" x14ac:dyDescent="0.25">
      <c r="A258" t="s">
        <v>404</v>
      </c>
      <c r="B258" t="s">
        <v>153</v>
      </c>
      <c r="C258" t="s">
        <v>56</v>
      </c>
      <c r="D258" s="3">
        <v>45562</v>
      </c>
      <c r="E258" t="str">
        <f>VLOOKUP(B258,'PROCV GERENTES BD'!A:B,2,0)</f>
        <v xml:space="preserve">MARCUS VINICIUS </v>
      </c>
      <c r="F258" s="4" t="str">
        <f t="shared" si="19"/>
        <v>2024-09-2</v>
      </c>
      <c r="G258" t="str">
        <f t="shared" ref="G258:G321" si="20">E258</f>
        <v xml:space="preserve">MARCUS VINICIUS </v>
      </c>
      <c r="H258" t="str">
        <f t="shared" ref="H258:H321" si="21">B258</f>
        <v>OLINDA IMPORTACAO E COMERCIO LTDA</v>
      </c>
      <c r="I258">
        <f t="shared" ref="I258:I321" si="22">IF(C258="EXCLUSAO  ANOT.INADIMPLENCIA",1,0)</f>
        <v>0</v>
      </c>
      <c r="J258">
        <f t="shared" ref="J258:J321" si="23">IF(C258="INCLUSAO  ANOT.INADIMPLENCIA",1,0)</f>
        <v>1</v>
      </c>
    </row>
    <row r="259" spans="1:10" x14ac:dyDescent="0.25">
      <c r="A259" t="s">
        <v>405</v>
      </c>
      <c r="B259" t="s">
        <v>154</v>
      </c>
      <c r="C259" t="s">
        <v>72</v>
      </c>
      <c r="D259" s="3">
        <v>45562</v>
      </c>
      <c r="E259" t="str">
        <f>VLOOKUP(B259,'PROCV GERENTES BD'!A:B,2,0)</f>
        <v xml:space="preserve">MARCUS VINICIUS </v>
      </c>
      <c r="F259" s="4" t="str">
        <f t="shared" ref="F259:F322" si="24">YEAR(D259)&amp;"-"&amp;TEXT(MONTH(D259),"00")&amp;"-"&amp;IF(DAY(D259)&lt;=15,"1",IF(DAY(D259)&gt;15,"2",""))</f>
        <v>2024-09-2</v>
      </c>
      <c r="G259" t="str">
        <f t="shared" si="20"/>
        <v xml:space="preserve">MARCUS VINICIUS </v>
      </c>
      <c r="H259" t="str">
        <f t="shared" si="21"/>
        <v>UNIVERSO INOX INDUSTRIA E COMERCIO LTDA EPP</v>
      </c>
      <c r="I259">
        <f t="shared" si="22"/>
        <v>1</v>
      </c>
      <c r="J259">
        <f t="shared" si="23"/>
        <v>0</v>
      </c>
    </row>
    <row r="260" spans="1:10" x14ac:dyDescent="0.25">
      <c r="A260" t="s">
        <v>353</v>
      </c>
      <c r="B260" t="s">
        <v>96</v>
      </c>
      <c r="C260" t="s">
        <v>72</v>
      </c>
      <c r="D260" s="3">
        <v>45562</v>
      </c>
      <c r="E260" t="str">
        <f>VLOOKUP(B260,'PROCV GERENTES BD'!A:B,2,0)</f>
        <v>POENATELA</v>
      </c>
      <c r="F260" s="4" t="str">
        <f t="shared" si="24"/>
        <v>2024-09-2</v>
      </c>
      <c r="G260" t="str">
        <f t="shared" si="20"/>
        <v>POENATELA</v>
      </c>
      <c r="H260" t="str">
        <f t="shared" si="21"/>
        <v>GREEN FARMING FAZENDAS RENOVAVEIS LTDA</v>
      </c>
      <c r="I260">
        <f t="shared" si="22"/>
        <v>1</v>
      </c>
      <c r="J260">
        <f t="shared" si="23"/>
        <v>0</v>
      </c>
    </row>
    <row r="261" spans="1:10" x14ac:dyDescent="0.25">
      <c r="A261" t="s">
        <v>354</v>
      </c>
      <c r="B261" t="s">
        <v>97</v>
      </c>
      <c r="C261" t="s">
        <v>56</v>
      </c>
      <c r="D261" s="3">
        <v>45562</v>
      </c>
      <c r="E261" t="str">
        <f>VLOOKUP(B261,'PROCV GERENTES BD'!A:B,2,0)</f>
        <v>POENATELA</v>
      </c>
      <c r="F261" s="4" t="str">
        <f t="shared" si="24"/>
        <v>2024-09-2</v>
      </c>
      <c r="G261" t="str">
        <f t="shared" si="20"/>
        <v>POENATELA</v>
      </c>
      <c r="H261" t="str">
        <f t="shared" si="21"/>
        <v>UBERTEC SERVICE USINAGEM LTDA EPP</v>
      </c>
      <c r="I261">
        <f t="shared" si="22"/>
        <v>0</v>
      </c>
      <c r="J261">
        <f t="shared" si="23"/>
        <v>1</v>
      </c>
    </row>
    <row r="262" spans="1:10" x14ac:dyDescent="0.25">
      <c r="A262" t="s">
        <v>333</v>
      </c>
      <c r="B262" t="s">
        <v>129</v>
      </c>
      <c r="C262" t="s">
        <v>56</v>
      </c>
      <c r="D262" s="3">
        <v>45562</v>
      </c>
      <c r="E262" t="s">
        <v>25</v>
      </c>
      <c r="F262" s="4" t="str">
        <f t="shared" si="24"/>
        <v>2024-09-2</v>
      </c>
      <c r="G262" t="str">
        <f t="shared" si="20"/>
        <v xml:space="preserve">ROGERIO </v>
      </c>
      <c r="H262" t="str">
        <f t="shared" si="21"/>
        <v>BIBE PRODUTOS INFANTIS LTDA</v>
      </c>
      <c r="I262">
        <f t="shared" si="22"/>
        <v>0</v>
      </c>
      <c r="J262">
        <f t="shared" si="23"/>
        <v>1</v>
      </c>
    </row>
    <row r="263" spans="1:10" x14ac:dyDescent="0.25">
      <c r="A263" t="s">
        <v>339</v>
      </c>
      <c r="B263" t="s">
        <v>151</v>
      </c>
      <c r="C263" t="s">
        <v>72</v>
      </c>
      <c r="D263" s="3">
        <v>45563</v>
      </c>
      <c r="E263" t="str">
        <f>VLOOKUP(B263,'PROCV GERENTES BD'!A:B,2,0)</f>
        <v>ADMINISTRAÇÃO</v>
      </c>
      <c r="F263" s="4" t="str">
        <f t="shared" si="24"/>
        <v>2024-09-2</v>
      </c>
      <c r="G263" t="str">
        <f t="shared" si="20"/>
        <v>ADMINISTRAÇÃO</v>
      </c>
      <c r="H263" t="str">
        <f t="shared" si="21"/>
        <v>BOM PASTOR PAPEIS LTDA EM RECUPERACAO JUDICIAL</v>
      </c>
      <c r="I263">
        <f t="shared" si="22"/>
        <v>1</v>
      </c>
      <c r="J263">
        <f t="shared" si="23"/>
        <v>0</v>
      </c>
    </row>
    <row r="264" spans="1:10" x14ac:dyDescent="0.25">
      <c r="A264" t="s">
        <v>326</v>
      </c>
      <c r="B264" t="s">
        <v>86</v>
      </c>
      <c r="C264" t="s">
        <v>59</v>
      </c>
      <c r="D264" s="3">
        <v>45563</v>
      </c>
      <c r="E264" t="str">
        <f>VLOOKUP(B264,'PROCV GERENTES BD'!A:B,2,0)</f>
        <v>CELIO PIMENTA</v>
      </c>
      <c r="F264" s="4" t="str">
        <f t="shared" si="24"/>
        <v>2024-09-2</v>
      </c>
      <c r="G264" t="str">
        <f t="shared" si="20"/>
        <v>CELIO PIMENTA</v>
      </c>
      <c r="H264" t="str">
        <f t="shared" si="21"/>
        <v>IMPORTEXTIL COMERCIO DE TECIDOS LTDA</v>
      </c>
      <c r="I264">
        <f t="shared" si="22"/>
        <v>0</v>
      </c>
      <c r="J264">
        <f t="shared" si="23"/>
        <v>0</v>
      </c>
    </row>
    <row r="265" spans="1:10" x14ac:dyDescent="0.25">
      <c r="A265" t="s">
        <v>318</v>
      </c>
      <c r="B265" t="s">
        <v>87</v>
      </c>
      <c r="C265" t="s">
        <v>72</v>
      </c>
      <c r="D265" s="3">
        <v>45563</v>
      </c>
      <c r="E265" t="str">
        <f>VLOOKUP(B265,'PROCV GERENTES BD'!A:B,2,0)</f>
        <v>CELIO PIMENTA</v>
      </c>
      <c r="F265" s="4" t="str">
        <f t="shared" si="24"/>
        <v>2024-09-2</v>
      </c>
      <c r="G265" t="str">
        <f t="shared" si="20"/>
        <v>CELIO PIMENTA</v>
      </c>
      <c r="H265" t="str">
        <f t="shared" si="21"/>
        <v>MBIOLOG DIAGNOSTICOS LTDA</v>
      </c>
      <c r="I265">
        <f t="shared" si="22"/>
        <v>1</v>
      </c>
      <c r="J265">
        <f t="shared" si="23"/>
        <v>0</v>
      </c>
    </row>
    <row r="266" spans="1:10" x14ac:dyDescent="0.25">
      <c r="A266" t="s">
        <v>60</v>
      </c>
      <c r="B266" t="s">
        <v>61</v>
      </c>
      <c r="C266" t="s">
        <v>56</v>
      </c>
      <c r="D266" s="3">
        <v>45563</v>
      </c>
      <c r="E266" t="str">
        <f>VLOOKUP(B266,'PROCV GERENTES BD'!A:B,2,0)</f>
        <v>CELIO PIMENTA</v>
      </c>
      <c r="F266" s="4" t="str">
        <f t="shared" si="24"/>
        <v>2024-09-2</v>
      </c>
      <c r="G266" t="str">
        <f t="shared" si="20"/>
        <v>CELIO PIMENTA</v>
      </c>
      <c r="H266" t="str">
        <f t="shared" si="21"/>
        <v>WJ CALDEIRARIA INDUSTRIA E COMERCIO LTDA ME</v>
      </c>
      <c r="I266">
        <f t="shared" si="22"/>
        <v>0</v>
      </c>
      <c r="J266">
        <f t="shared" si="23"/>
        <v>1</v>
      </c>
    </row>
    <row r="267" spans="1:10" x14ac:dyDescent="0.25">
      <c r="A267" t="s">
        <v>343</v>
      </c>
      <c r="B267" t="s">
        <v>89</v>
      </c>
      <c r="C267" t="s">
        <v>56</v>
      </c>
      <c r="D267" s="3">
        <v>45563</v>
      </c>
      <c r="E267" t="str">
        <f>VLOOKUP(B267,'PROCV GERENTES BD'!A:B,2,0)</f>
        <v>MARCOS SOUZA</v>
      </c>
      <c r="F267" s="4" t="str">
        <f t="shared" si="24"/>
        <v>2024-09-2</v>
      </c>
      <c r="G267" t="str">
        <f t="shared" si="20"/>
        <v>MARCOS SOUZA</v>
      </c>
      <c r="H267" t="str">
        <f t="shared" si="21"/>
        <v>ARCA CONSTRUCOES E INCORPORACOES LTDA</v>
      </c>
      <c r="I267">
        <f t="shared" si="22"/>
        <v>0</v>
      </c>
      <c r="J267">
        <f t="shared" si="23"/>
        <v>1</v>
      </c>
    </row>
    <row r="268" spans="1:10" x14ac:dyDescent="0.25">
      <c r="A268" t="s">
        <v>392</v>
      </c>
      <c r="B268" t="s">
        <v>138</v>
      </c>
      <c r="C268" t="s">
        <v>56</v>
      </c>
      <c r="D268" s="3">
        <v>45563</v>
      </c>
      <c r="E268" t="str">
        <f>VLOOKUP(B268,'PROCV GERENTES BD'!A:B,2,0)</f>
        <v xml:space="preserve">MARCUS VINICIUS </v>
      </c>
      <c r="F268" s="4" t="str">
        <f t="shared" si="24"/>
        <v>2024-09-2</v>
      </c>
      <c r="G268" t="str">
        <f t="shared" si="20"/>
        <v xml:space="preserve">MARCUS VINICIUS </v>
      </c>
      <c r="H268" t="str">
        <f t="shared" si="21"/>
        <v>PALMILHADO INDUSTRIA E COMERCIO LTDA</v>
      </c>
      <c r="I268">
        <f t="shared" si="22"/>
        <v>0</v>
      </c>
      <c r="J268">
        <f t="shared" si="23"/>
        <v>1</v>
      </c>
    </row>
    <row r="269" spans="1:10" x14ac:dyDescent="0.25">
      <c r="A269" t="s">
        <v>392</v>
      </c>
      <c r="B269" t="s">
        <v>138</v>
      </c>
      <c r="C269" t="s">
        <v>56</v>
      </c>
      <c r="D269" s="3">
        <f>D268</f>
        <v>45563</v>
      </c>
      <c r="E269" t="str">
        <f>VLOOKUP(B269,'PROCV GERENTES BD'!A:B,2,0)</f>
        <v xml:space="preserve">MARCUS VINICIUS </v>
      </c>
      <c r="F269" s="4" t="str">
        <f t="shared" si="24"/>
        <v>2024-09-2</v>
      </c>
      <c r="G269" t="str">
        <f t="shared" si="20"/>
        <v xml:space="preserve">MARCUS VINICIUS </v>
      </c>
      <c r="H269" t="str">
        <f t="shared" si="21"/>
        <v>PALMILHADO INDUSTRIA E COMERCIO LTDA</v>
      </c>
      <c r="I269">
        <f t="shared" si="22"/>
        <v>0</v>
      </c>
      <c r="J269">
        <f t="shared" si="23"/>
        <v>1</v>
      </c>
    </row>
    <row r="270" spans="1:10" x14ac:dyDescent="0.25">
      <c r="A270" t="s">
        <v>405</v>
      </c>
      <c r="B270" t="s">
        <v>154</v>
      </c>
      <c r="C270" t="s">
        <v>56</v>
      </c>
      <c r="D270" s="3">
        <v>45563</v>
      </c>
      <c r="E270" t="str">
        <f>VLOOKUP(B270,'PROCV GERENTES BD'!A:B,2,0)</f>
        <v xml:space="preserve">MARCUS VINICIUS </v>
      </c>
      <c r="F270" s="4" t="str">
        <f t="shared" si="24"/>
        <v>2024-09-2</v>
      </c>
      <c r="G270" t="str">
        <f t="shared" si="20"/>
        <v xml:space="preserve">MARCUS VINICIUS </v>
      </c>
      <c r="H270" t="str">
        <f t="shared" si="21"/>
        <v>UNIVERSO INOX INDUSTRIA E COMERCIO LTDA EPP</v>
      </c>
      <c r="I270">
        <f t="shared" si="22"/>
        <v>0</v>
      </c>
      <c r="J270">
        <f t="shared" si="23"/>
        <v>1</v>
      </c>
    </row>
    <row r="271" spans="1:10" x14ac:dyDescent="0.25">
      <c r="A271" t="s">
        <v>405</v>
      </c>
      <c r="B271" t="s">
        <v>154</v>
      </c>
      <c r="C271" t="s">
        <v>56</v>
      </c>
      <c r="D271" s="3">
        <f>D270</f>
        <v>45563</v>
      </c>
      <c r="E271" t="str">
        <f>VLOOKUP(B271,'PROCV GERENTES BD'!A:B,2,0)</f>
        <v xml:space="preserve">MARCUS VINICIUS </v>
      </c>
      <c r="F271" s="4" t="str">
        <f t="shared" si="24"/>
        <v>2024-09-2</v>
      </c>
      <c r="G271" t="str">
        <f t="shared" si="20"/>
        <v xml:space="preserve">MARCUS VINICIUS </v>
      </c>
      <c r="H271" t="str">
        <f t="shared" si="21"/>
        <v>UNIVERSO INOX INDUSTRIA E COMERCIO LTDA EPP</v>
      </c>
      <c r="I271">
        <f t="shared" si="22"/>
        <v>0</v>
      </c>
      <c r="J271">
        <f t="shared" si="23"/>
        <v>1</v>
      </c>
    </row>
    <row r="272" spans="1:10" x14ac:dyDescent="0.25">
      <c r="A272" t="s">
        <v>348</v>
      </c>
      <c r="B272" t="s">
        <v>92</v>
      </c>
      <c r="C272" t="s">
        <v>56</v>
      </c>
      <c r="D272" s="3">
        <v>45563</v>
      </c>
      <c r="E272" t="str">
        <f>VLOOKUP(B272,'PROCV GERENTES BD'!A:B,2,0)</f>
        <v>NOELI SALETE</v>
      </c>
      <c r="F272" s="4" t="str">
        <f t="shared" si="24"/>
        <v>2024-09-2</v>
      </c>
      <c r="G272" t="str">
        <f t="shared" si="20"/>
        <v>NOELI SALETE</v>
      </c>
      <c r="H272" t="str">
        <f t="shared" si="21"/>
        <v>MEIO OESTE PAPEIS LTDA ME</v>
      </c>
      <c r="I272">
        <f t="shared" si="22"/>
        <v>0</v>
      </c>
      <c r="J272">
        <f t="shared" si="23"/>
        <v>1</v>
      </c>
    </row>
    <row r="273" spans="1:10" x14ac:dyDescent="0.25">
      <c r="A273" t="s">
        <v>353</v>
      </c>
      <c r="B273" t="s">
        <v>96</v>
      </c>
      <c r="C273" t="s">
        <v>72</v>
      </c>
      <c r="D273" s="3">
        <v>45563</v>
      </c>
      <c r="E273" t="str">
        <f>VLOOKUP(B273,'PROCV GERENTES BD'!A:B,2,0)</f>
        <v>POENATELA</v>
      </c>
      <c r="F273" s="4" t="str">
        <f t="shared" si="24"/>
        <v>2024-09-2</v>
      </c>
      <c r="G273" t="str">
        <f t="shared" si="20"/>
        <v>POENATELA</v>
      </c>
      <c r="H273" t="str">
        <f t="shared" si="21"/>
        <v>GREEN FARMING FAZENDAS RENOVAVEIS LTDA</v>
      </c>
      <c r="I273">
        <f t="shared" si="22"/>
        <v>1</v>
      </c>
      <c r="J273">
        <f t="shared" si="23"/>
        <v>0</v>
      </c>
    </row>
    <row r="274" spans="1:10" x14ac:dyDescent="0.25">
      <c r="A274" t="s">
        <v>354</v>
      </c>
      <c r="B274" t="s">
        <v>97</v>
      </c>
      <c r="C274" t="s">
        <v>56</v>
      </c>
      <c r="D274" s="3">
        <v>45563</v>
      </c>
      <c r="E274" t="str">
        <f>VLOOKUP(B274,'PROCV GERENTES BD'!A:B,2,0)</f>
        <v>POENATELA</v>
      </c>
      <c r="F274" s="4" t="str">
        <f t="shared" si="24"/>
        <v>2024-09-2</v>
      </c>
      <c r="G274" t="str">
        <f t="shared" si="20"/>
        <v>POENATELA</v>
      </c>
      <c r="H274" t="str">
        <f t="shared" si="21"/>
        <v>UBERTEC SERVICE USINAGEM LTDA EPP</v>
      </c>
      <c r="I274">
        <f t="shared" si="22"/>
        <v>0</v>
      </c>
      <c r="J274">
        <f t="shared" si="23"/>
        <v>1</v>
      </c>
    </row>
    <row r="275" spans="1:10" x14ac:dyDescent="0.25">
      <c r="A275" t="s">
        <v>406</v>
      </c>
      <c r="B275" t="s">
        <v>155</v>
      </c>
      <c r="C275" t="s">
        <v>56</v>
      </c>
      <c r="D275" s="3">
        <v>45563</v>
      </c>
      <c r="E275" t="str">
        <f>VLOOKUP(B275,'PROCV GERENTES BD'!A:B,2,0)</f>
        <v>PRISCILA METZ</v>
      </c>
      <c r="F275" s="4" t="str">
        <f t="shared" si="24"/>
        <v>2024-09-2</v>
      </c>
      <c r="G275" t="str">
        <f t="shared" si="20"/>
        <v>PRISCILA METZ</v>
      </c>
      <c r="H275" t="str">
        <f t="shared" si="21"/>
        <v>JF GOLD DISTRIBUIDORA LTDA EPP</v>
      </c>
      <c r="I275">
        <f t="shared" si="22"/>
        <v>0</v>
      </c>
      <c r="J275">
        <f t="shared" si="23"/>
        <v>1</v>
      </c>
    </row>
    <row r="276" spans="1:10" x14ac:dyDescent="0.25">
      <c r="A276" t="s">
        <v>407</v>
      </c>
      <c r="B276" t="s">
        <v>156</v>
      </c>
      <c r="C276" t="s">
        <v>56</v>
      </c>
      <c r="D276" s="3">
        <v>45566</v>
      </c>
      <c r="E276" t="str">
        <f>VLOOKUP(B276,'PROCV GERENTES BD'!A:B,2,0)</f>
        <v>ADMINISTRAÇÃO</v>
      </c>
      <c r="F276" s="4" t="str">
        <f t="shared" si="24"/>
        <v>2024-10-1</v>
      </c>
      <c r="G276" t="str">
        <f t="shared" si="20"/>
        <v>ADMINISTRAÇÃO</v>
      </c>
      <c r="H276" t="str">
        <f t="shared" si="21"/>
        <v>ALPS FOMENTO MERCANTIL LTDA</v>
      </c>
      <c r="I276">
        <f t="shared" si="22"/>
        <v>0</v>
      </c>
      <c r="J276">
        <f t="shared" si="23"/>
        <v>1</v>
      </c>
    </row>
    <row r="277" spans="1:10" x14ac:dyDescent="0.25">
      <c r="A277" t="s">
        <v>311</v>
      </c>
      <c r="B277" t="s">
        <v>130</v>
      </c>
      <c r="C277" t="s">
        <v>72</v>
      </c>
      <c r="D277" s="3">
        <v>45566</v>
      </c>
      <c r="E277" t="str">
        <f>VLOOKUP(B277,'PROCV GERENTES BD'!A:B,2,0)</f>
        <v>ANTONIO CARLOS</v>
      </c>
      <c r="F277" s="4" t="str">
        <f t="shared" si="24"/>
        <v>2024-10-1</v>
      </c>
      <c r="G277" t="str">
        <f t="shared" si="20"/>
        <v>ANTONIO CARLOS</v>
      </c>
      <c r="H277" t="str">
        <f t="shared" si="21"/>
        <v>VIC LOGISTICA LTDA EM RECUPERACAO JUDICIAL</v>
      </c>
      <c r="I277">
        <f t="shared" si="22"/>
        <v>1</v>
      </c>
      <c r="J277">
        <f t="shared" si="23"/>
        <v>0</v>
      </c>
    </row>
    <row r="278" spans="1:10" x14ac:dyDescent="0.25">
      <c r="A278" t="s">
        <v>326</v>
      </c>
      <c r="B278" t="s">
        <v>86</v>
      </c>
      <c r="C278" t="s">
        <v>59</v>
      </c>
      <c r="D278" s="3">
        <v>45566</v>
      </c>
      <c r="E278" t="str">
        <f>VLOOKUP(B278,'PROCV GERENTES BD'!A:B,2,0)</f>
        <v>CELIO PIMENTA</v>
      </c>
      <c r="F278" s="4" t="str">
        <f t="shared" si="24"/>
        <v>2024-10-1</v>
      </c>
      <c r="G278" t="str">
        <f t="shared" si="20"/>
        <v>CELIO PIMENTA</v>
      </c>
      <c r="H278" t="str">
        <f t="shared" si="21"/>
        <v>IMPORTEXTIL COMERCIO DE TECIDOS LTDA</v>
      </c>
      <c r="I278">
        <f t="shared" si="22"/>
        <v>0</v>
      </c>
      <c r="J278">
        <f t="shared" si="23"/>
        <v>0</v>
      </c>
    </row>
    <row r="279" spans="1:10" x14ac:dyDescent="0.25">
      <c r="A279" t="s">
        <v>318</v>
      </c>
      <c r="B279" t="s">
        <v>87</v>
      </c>
      <c r="C279" t="s">
        <v>72</v>
      </c>
      <c r="D279" s="3">
        <v>45566</v>
      </c>
      <c r="E279" t="str">
        <f>VLOOKUP(B279,'PROCV GERENTES BD'!A:B,2,0)</f>
        <v>CELIO PIMENTA</v>
      </c>
      <c r="F279" s="4" t="str">
        <f t="shared" si="24"/>
        <v>2024-10-1</v>
      </c>
      <c r="G279" t="str">
        <f t="shared" si="20"/>
        <v>CELIO PIMENTA</v>
      </c>
      <c r="H279" t="str">
        <f t="shared" si="21"/>
        <v>MBIOLOG DIAGNOSTICOS LTDA</v>
      </c>
      <c r="I279">
        <f t="shared" si="22"/>
        <v>1</v>
      </c>
      <c r="J279">
        <f t="shared" si="23"/>
        <v>0</v>
      </c>
    </row>
    <row r="280" spans="1:10" x14ac:dyDescent="0.25">
      <c r="A280" t="s">
        <v>60</v>
      </c>
      <c r="B280" t="s">
        <v>61</v>
      </c>
      <c r="C280" t="s">
        <v>56</v>
      </c>
      <c r="D280" s="3">
        <v>45566</v>
      </c>
      <c r="E280" t="str">
        <f>VLOOKUP(B280,'PROCV GERENTES BD'!A:B,2,0)</f>
        <v>CELIO PIMENTA</v>
      </c>
      <c r="F280" s="4" t="str">
        <f t="shared" si="24"/>
        <v>2024-10-1</v>
      </c>
      <c r="G280" t="str">
        <f t="shared" si="20"/>
        <v>CELIO PIMENTA</v>
      </c>
      <c r="H280" t="str">
        <f t="shared" si="21"/>
        <v>WJ CALDEIRARIA INDUSTRIA E COMERCIO LTDA ME</v>
      </c>
      <c r="I280">
        <f t="shared" si="22"/>
        <v>0</v>
      </c>
      <c r="J280">
        <f t="shared" si="23"/>
        <v>1</v>
      </c>
    </row>
    <row r="281" spans="1:10" x14ac:dyDescent="0.25">
      <c r="A281" t="s">
        <v>330</v>
      </c>
      <c r="B281" t="s">
        <v>116</v>
      </c>
      <c r="C281" t="s">
        <v>56</v>
      </c>
      <c r="D281" s="3">
        <v>45566</v>
      </c>
      <c r="E281" t="str">
        <f>VLOOKUP(B281,'PROCV GERENTES BD'!A:B,2,0)</f>
        <v>FITZ</v>
      </c>
      <c r="F281" s="4" t="str">
        <f t="shared" si="24"/>
        <v>2024-10-1</v>
      </c>
      <c r="G281" t="str">
        <f t="shared" si="20"/>
        <v>FITZ</v>
      </c>
      <c r="H281" t="str">
        <f t="shared" si="21"/>
        <v>SIAP COMERCIO DE PRODUTOS AGROPECUARIOS LTDA</v>
      </c>
      <c r="I281">
        <f t="shared" si="22"/>
        <v>0</v>
      </c>
      <c r="J281">
        <f t="shared" si="23"/>
        <v>1</v>
      </c>
    </row>
    <row r="282" spans="1:10" x14ac:dyDescent="0.25">
      <c r="A282" t="s">
        <v>377</v>
      </c>
      <c r="B282" t="s">
        <v>120</v>
      </c>
      <c r="C282" t="s">
        <v>56</v>
      </c>
      <c r="D282" s="3">
        <v>45566</v>
      </c>
      <c r="E282" t="str">
        <f>VLOOKUP(B282,'PROCV GERENTES BD'!A:B,2,0)</f>
        <v xml:space="preserve">MARCUS VINICIUS </v>
      </c>
      <c r="F282" s="4" t="str">
        <f t="shared" si="24"/>
        <v>2024-10-1</v>
      </c>
      <c r="G282" t="str">
        <f t="shared" si="20"/>
        <v xml:space="preserve">MARCUS VINICIUS </v>
      </c>
      <c r="H282" t="str">
        <f t="shared" si="21"/>
        <v>ISOBASE POLIESTIRENO LTDA EPP</v>
      </c>
      <c r="I282">
        <f t="shared" si="22"/>
        <v>0</v>
      </c>
      <c r="J282">
        <f t="shared" si="23"/>
        <v>1</v>
      </c>
    </row>
    <row r="283" spans="1:10" x14ac:dyDescent="0.25">
      <c r="A283" t="s">
        <v>383</v>
      </c>
      <c r="B283" t="s">
        <v>127</v>
      </c>
      <c r="C283" t="s">
        <v>72</v>
      </c>
      <c r="D283" s="3">
        <v>45566</v>
      </c>
      <c r="E283" t="str">
        <f>VLOOKUP(B283,'PROCV GERENTES BD'!A:B,2,0)</f>
        <v>NATALIA NUBIA</v>
      </c>
      <c r="F283" s="4" t="str">
        <f t="shared" si="24"/>
        <v>2024-10-1</v>
      </c>
      <c r="G283" t="str">
        <f t="shared" si="20"/>
        <v>NATALIA NUBIA</v>
      </c>
      <c r="H283" t="str">
        <f t="shared" si="21"/>
        <v>FARINELLI NUTRIMENTOS LTDA</v>
      </c>
      <c r="I283">
        <f t="shared" si="22"/>
        <v>1</v>
      </c>
      <c r="J283">
        <f t="shared" si="23"/>
        <v>0</v>
      </c>
    </row>
    <row r="284" spans="1:10" x14ac:dyDescent="0.25">
      <c r="A284" t="s">
        <v>347</v>
      </c>
      <c r="B284" t="s">
        <v>93</v>
      </c>
      <c r="C284" t="s">
        <v>59</v>
      </c>
      <c r="D284" s="3">
        <v>45566</v>
      </c>
      <c r="E284" t="str">
        <f>VLOOKUP(B284,'PROCV GERENTES BD'!A:B,2,0)</f>
        <v>NOELI SALETE</v>
      </c>
      <c r="F284" s="4" t="str">
        <f t="shared" si="24"/>
        <v>2024-10-1</v>
      </c>
      <c r="G284" t="str">
        <f t="shared" si="20"/>
        <v>NOELI SALETE</v>
      </c>
      <c r="H284" t="str">
        <f t="shared" si="21"/>
        <v>RODOBOX TRANSPORTES E ARMAZENAGEM DE CARGAS LTDA</v>
      </c>
      <c r="I284">
        <f t="shared" si="22"/>
        <v>0</v>
      </c>
      <c r="J284">
        <f t="shared" si="23"/>
        <v>0</v>
      </c>
    </row>
    <row r="285" spans="1:10" x14ac:dyDescent="0.25">
      <c r="A285" t="s">
        <v>348</v>
      </c>
      <c r="B285" t="s">
        <v>92</v>
      </c>
      <c r="C285" t="s">
        <v>56</v>
      </c>
      <c r="D285" s="3">
        <v>45566</v>
      </c>
      <c r="E285" t="str">
        <f>VLOOKUP(B285,'PROCV GERENTES BD'!A:B,2,0)</f>
        <v>NOELI SALETE</v>
      </c>
      <c r="F285" s="4" t="str">
        <f t="shared" si="24"/>
        <v>2024-10-1</v>
      </c>
      <c r="G285" t="str">
        <f t="shared" si="20"/>
        <v>NOELI SALETE</v>
      </c>
      <c r="H285" t="str">
        <f t="shared" si="21"/>
        <v>MEIO OESTE PAPEIS LTDA ME</v>
      </c>
      <c r="I285">
        <f t="shared" si="22"/>
        <v>0</v>
      </c>
      <c r="J285">
        <f t="shared" si="23"/>
        <v>1</v>
      </c>
    </row>
    <row r="286" spans="1:10" x14ac:dyDescent="0.25">
      <c r="A286" t="s">
        <v>408</v>
      </c>
      <c r="B286" t="s">
        <v>157</v>
      </c>
      <c r="C286" t="s">
        <v>56</v>
      </c>
      <c r="D286" s="3">
        <v>45566</v>
      </c>
      <c r="E286" t="str">
        <f>VLOOKUP(B286,'PROCV GERENTES BD'!A:B,2,0)</f>
        <v>NOELI SALETE</v>
      </c>
      <c r="F286" s="4" t="str">
        <f t="shared" si="24"/>
        <v>2024-10-1</v>
      </c>
      <c r="G286" t="str">
        <f t="shared" si="20"/>
        <v>NOELI SALETE</v>
      </c>
      <c r="H286" t="str">
        <f t="shared" si="21"/>
        <v>POOLMAK SISTEMAS ESTRUTURAIS LTDA</v>
      </c>
      <c r="I286">
        <f t="shared" si="22"/>
        <v>0</v>
      </c>
      <c r="J286">
        <f t="shared" si="23"/>
        <v>1</v>
      </c>
    </row>
    <row r="287" spans="1:10" x14ac:dyDescent="0.25">
      <c r="A287" t="s">
        <v>353</v>
      </c>
      <c r="B287" t="s">
        <v>96</v>
      </c>
      <c r="C287" t="s">
        <v>56</v>
      </c>
      <c r="D287" s="3">
        <v>45566</v>
      </c>
      <c r="E287" t="str">
        <f>VLOOKUP(B287,'PROCV GERENTES BD'!A:B,2,0)</f>
        <v>POENATELA</v>
      </c>
      <c r="F287" s="4" t="str">
        <f t="shared" si="24"/>
        <v>2024-10-1</v>
      </c>
      <c r="G287" t="str">
        <f t="shared" si="20"/>
        <v>POENATELA</v>
      </c>
      <c r="H287" t="str">
        <f t="shared" si="21"/>
        <v>GREEN FARMING FAZENDAS RENOVAVEIS LTDA</v>
      </c>
      <c r="I287">
        <f t="shared" si="22"/>
        <v>0</v>
      </c>
      <c r="J287">
        <f t="shared" si="23"/>
        <v>1</v>
      </c>
    </row>
    <row r="288" spans="1:10" x14ac:dyDescent="0.25">
      <c r="A288" t="s">
        <v>354</v>
      </c>
      <c r="B288" t="s">
        <v>97</v>
      </c>
      <c r="C288" t="s">
        <v>59</v>
      </c>
      <c r="D288" s="3">
        <v>45566</v>
      </c>
      <c r="E288" t="str">
        <f>VLOOKUP(B288,'PROCV GERENTES BD'!A:B,2,0)</f>
        <v>POENATELA</v>
      </c>
      <c r="F288" s="4" t="str">
        <f t="shared" si="24"/>
        <v>2024-10-1</v>
      </c>
      <c r="G288" t="str">
        <f t="shared" si="20"/>
        <v>POENATELA</v>
      </c>
      <c r="H288" t="str">
        <f t="shared" si="21"/>
        <v>UBERTEC SERVICE USINAGEM LTDA EPP</v>
      </c>
      <c r="I288">
        <f t="shared" si="22"/>
        <v>0</v>
      </c>
      <c r="J288">
        <f t="shared" si="23"/>
        <v>0</v>
      </c>
    </row>
    <row r="289" spans="1:10" x14ac:dyDescent="0.25">
      <c r="A289" t="s">
        <v>384</v>
      </c>
      <c r="B289" t="s">
        <v>128</v>
      </c>
      <c r="C289" t="s">
        <v>56</v>
      </c>
      <c r="D289" s="3">
        <v>45566</v>
      </c>
      <c r="E289" t="str">
        <f>VLOOKUP(B289,'PROCV GERENTES BD'!A:B,2,0)</f>
        <v>PRISCILA METZ</v>
      </c>
      <c r="F289" s="4" t="str">
        <f t="shared" si="24"/>
        <v>2024-10-1</v>
      </c>
      <c r="G289" t="str">
        <f t="shared" si="20"/>
        <v>PRISCILA METZ</v>
      </c>
      <c r="H289" t="str">
        <f t="shared" si="21"/>
        <v>NOVA DISTRIBUIDORA E ATACADO DE LIMPEZA LTDA</v>
      </c>
      <c r="I289">
        <f t="shared" si="22"/>
        <v>0</v>
      </c>
      <c r="J289">
        <f t="shared" si="23"/>
        <v>1</v>
      </c>
    </row>
    <row r="290" spans="1:10" x14ac:dyDescent="0.25">
      <c r="A290" t="s">
        <v>356</v>
      </c>
      <c r="B290" t="s">
        <v>99</v>
      </c>
      <c r="C290" t="s">
        <v>56</v>
      </c>
      <c r="D290" s="3">
        <v>45566</v>
      </c>
      <c r="E290" t="str">
        <f>VLOOKUP(B290,'PROCV GERENTES BD'!A:B,2,0)</f>
        <v>WHELKYA IRIS</v>
      </c>
      <c r="F290" s="4" t="str">
        <f t="shared" si="24"/>
        <v>2024-10-1</v>
      </c>
      <c r="G290" t="str">
        <f t="shared" si="20"/>
        <v>WHELKYA IRIS</v>
      </c>
      <c r="H290" t="str">
        <f t="shared" si="21"/>
        <v>DIVINA INDUSTRIA DE COURO LTDA</v>
      </c>
      <c r="I290">
        <f t="shared" si="22"/>
        <v>0</v>
      </c>
      <c r="J290">
        <f t="shared" si="23"/>
        <v>1</v>
      </c>
    </row>
    <row r="291" spans="1:10" x14ac:dyDescent="0.25">
      <c r="A291" t="s">
        <v>339</v>
      </c>
      <c r="B291" t="s">
        <v>151</v>
      </c>
      <c r="C291" t="s">
        <v>72</v>
      </c>
      <c r="D291" s="3">
        <v>45567</v>
      </c>
      <c r="E291" t="str">
        <f>VLOOKUP(B291,'PROCV GERENTES BD'!A:B,2,0)</f>
        <v>ADMINISTRAÇÃO</v>
      </c>
      <c r="F291" s="4" t="str">
        <f t="shared" si="24"/>
        <v>2024-10-1</v>
      </c>
      <c r="G291" t="str">
        <f t="shared" si="20"/>
        <v>ADMINISTRAÇÃO</v>
      </c>
      <c r="H291" t="str">
        <f t="shared" si="21"/>
        <v>BOM PASTOR PAPEIS LTDA EM RECUPERACAO JUDICIAL</v>
      </c>
      <c r="I291">
        <f t="shared" si="22"/>
        <v>1</v>
      </c>
      <c r="J291">
        <f t="shared" si="23"/>
        <v>0</v>
      </c>
    </row>
    <row r="292" spans="1:10" x14ac:dyDescent="0.25">
      <c r="A292" t="s">
        <v>376</v>
      </c>
      <c r="B292" t="s">
        <v>118</v>
      </c>
      <c r="C292" t="s">
        <v>72</v>
      </c>
      <c r="D292" s="3">
        <v>45567</v>
      </c>
      <c r="E292" t="str">
        <f>VLOOKUP(B292,'PROCV GERENTES BD'!A:B,2,0)</f>
        <v>ADMINISTRAÇÃO</v>
      </c>
      <c r="F292" s="4" t="str">
        <f t="shared" si="24"/>
        <v>2024-10-1</v>
      </c>
      <c r="G292" t="str">
        <f t="shared" si="20"/>
        <v>ADMINISTRAÇÃO</v>
      </c>
      <c r="H292" t="str">
        <f t="shared" si="21"/>
        <v>ARTECAL ELETROCENTROS S/A</v>
      </c>
      <c r="I292">
        <f t="shared" si="22"/>
        <v>1</v>
      </c>
      <c r="J292">
        <f t="shared" si="23"/>
        <v>0</v>
      </c>
    </row>
    <row r="293" spans="1:10" x14ac:dyDescent="0.25">
      <c r="A293" t="s">
        <v>380</v>
      </c>
      <c r="B293" t="s">
        <v>123</v>
      </c>
      <c r="C293" t="s">
        <v>56</v>
      </c>
      <c r="D293" s="3">
        <v>45567</v>
      </c>
      <c r="E293" t="str">
        <f>VLOOKUP(B293,'PROCV GERENTES BD'!A:B,2,0)</f>
        <v>ANTONIO CARLOS</v>
      </c>
      <c r="F293" s="4" t="str">
        <f t="shared" si="24"/>
        <v>2024-10-1</v>
      </c>
      <c r="G293" t="str">
        <f t="shared" si="20"/>
        <v>ANTONIO CARLOS</v>
      </c>
      <c r="H293" t="str">
        <f t="shared" si="21"/>
        <v>PREMOLDADOS MATOSINHOS LTDA EPP</v>
      </c>
      <c r="I293">
        <f t="shared" si="22"/>
        <v>0</v>
      </c>
      <c r="J293">
        <f t="shared" si="23"/>
        <v>1</v>
      </c>
    </row>
    <row r="294" spans="1:10" x14ac:dyDescent="0.25">
      <c r="A294" t="s">
        <v>326</v>
      </c>
      <c r="B294" t="s">
        <v>86</v>
      </c>
      <c r="C294" t="s">
        <v>56</v>
      </c>
      <c r="D294" s="3">
        <v>45567</v>
      </c>
      <c r="E294" t="str">
        <f>VLOOKUP(B294,'PROCV GERENTES BD'!A:B,2,0)</f>
        <v>CELIO PIMENTA</v>
      </c>
      <c r="F294" s="4" t="str">
        <f t="shared" si="24"/>
        <v>2024-10-1</v>
      </c>
      <c r="G294" t="str">
        <f t="shared" si="20"/>
        <v>CELIO PIMENTA</v>
      </c>
      <c r="H294" t="str">
        <f t="shared" si="21"/>
        <v>IMPORTEXTIL COMERCIO DE TECIDOS LTDA</v>
      </c>
      <c r="I294">
        <f t="shared" si="22"/>
        <v>0</v>
      </c>
      <c r="J294">
        <f t="shared" si="23"/>
        <v>1</v>
      </c>
    </row>
    <row r="295" spans="1:10" x14ac:dyDescent="0.25">
      <c r="A295" t="s">
        <v>409</v>
      </c>
      <c r="B295" t="s">
        <v>158</v>
      </c>
      <c r="C295" t="s">
        <v>56</v>
      </c>
      <c r="D295" s="3">
        <v>45567</v>
      </c>
      <c r="E295" t="str">
        <f>VLOOKUP(B295,'PROCV GERENTES BD'!A:B,2,0)</f>
        <v>EDUARDO MATOSO</v>
      </c>
      <c r="F295" s="4" t="str">
        <f t="shared" si="24"/>
        <v>2024-10-1</v>
      </c>
      <c r="G295" t="str">
        <f t="shared" si="20"/>
        <v>EDUARDO MATOSO</v>
      </c>
      <c r="H295" t="str">
        <f t="shared" si="21"/>
        <v>RECICOLOGY INDUSTRIA E COMERCIO DE PRODUTOS RECICL</v>
      </c>
      <c r="I295">
        <f t="shared" si="22"/>
        <v>0</v>
      </c>
      <c r="J295">
        <f t="shared" si="23"/>
        <v>1</v>
      </c>
    </row>
    <row r="296" spans="1:10" x14ac:dyDescent="0.25">
      <c r="A296" t="s">
        <v>385</v>
      </c>
      <c r="B296" t="s">
        <v>131</v>
      </c>
      <c r="C296" t="s">
        <v>72</v>
      </c>
      <c r="D296" s="3">
        <v>45567</v>
      </c>
      <c r="E296" t="str">
        <f>VLOOKUP(B296,'PROCV GERENTES BD'!A:B,2,0)</f>
        <v>EDUARDO MATOSO</v>
      </c>
      <c r="F296" s="4" t="str">
        <f t="shared" si="24"/>
        <v>2024-10-1</v>
      </c>
      <c r="G296" t="str">
        <f t="shared" si="20"/>
        <v>EDUARDO MATOSO</v>
      </c>
      <c r="H296" t="str">
        <f t="shared" si="21"/>
        <v>STONE ENGENHARIA E MONTAGENS INDUSTRIAIS LTDA</v>
      </c>
      <c r="I296">
        <f t="shared" si="22"/>
        <v>1</v>
      </c>
      <c r="J296">
        <f t="shared" si="23"/>
        <v>0</v>
      </c>
    </row>
    <row r="297" spans="1:10" x14ac:dyDescent="0.25">
      <c r="A297" t="s">
        <v>410</v>
      </c>
      <c r="B297" t="s">
        <v>159</v>
      </c>
      <c r="C297" t="s">
        <v>56</v>
      </c>
      <c r="D297" s="3">
        <v>45567</v>
      </c>
      <c r="E297" t="str">
        <f>VLOOKUP(B297,'PROCV GERENTES BD'!A:B,2,0)</f>
        <v>FITZ</v>
      </c>
      <c r="F297" s="4" t="str">
        <f t="shared" si="24"/>
        <v>2024-10-1</v>
      </c>
      <c r="G297" t="str">
        <f t="shared" si="20"/>
        <v>FITZ</v>
      </c>
      <c r="H297" t="str">
        <f t="shared" si="21"/>
        <v>MOINHO DE TRIGO JM LTDA</v>
      </c>
      <c r="I297">
        <f t="shared" si="22"/>
        <v>0</v>
      </c>
      <c r="J297">
        <f t="shared" si="23"/>
        <v>1</v>
      </c>
    </row>
    <row r="298" spans="1:10" x14ac:dyDescent="0.25">
      <c r="A298" t="s">
        <v>383</v>
      </c>
      <c r="B298" t="s">
        <v>127</v>
      </c>
      <c r="C298" t="s">
        <v>72</v>
      </c>
      <c r="D298" s="3">
        <v>45567</v>
      </c>
      <c r="E298" t="str">
        <f>VLOOKUP(B298,'PROCV GERENTES BD'!A:B,2,0)</f>
        <v>NATALIA NUBIA</v>
      </c>
      <c r="F298" s="4" t="str">
        <f t="shared" si="24"/>
        <v>2024-10-1</v>
      </c>
      <c r="G298" t="str">
        <f t="shared" si="20"/>
        <v>NATALIA NUBIA</v>
      </c>
      <c r="H298" t="str">
        <f t="shared" si="21"/>
        <v>FARINELLI NUTRIMENTOS LTDA</v>
      </c>
      <c r="I298">
        <f t="shared" si="22"/>
        <v>1</v>
      </c>
      <c r="J298">
        <f t="shared" si="23"/>
        <v>0</v>
      </c>
    </row>
    <row r="299" spans="1:10" x14ac:dyDescent="0.25">
      <c r="A299" t="s">
        <v>347</v>
      </c>
      <c r="B299" t="s">
        <v>93</v>
      </c>
      <c r="C299" t="s">
        <v>59</v>
      </c>
      <c r="D299" s="3">
        <v>45567</v>
      </c>
      <c r="E299" t="str">
        <f>VLOOKUP(B299,'PROCV GERENTES BD'!A:B,2,0)</f>
        <v>NOELI SALETE</v>
      </c>
      <c r="F299" s="4" t="str">
        <f t="shared" si="24"/>
        <v>2024-10-1</v>
      </c>
      <c r="G299" t="str">
        <f t="shared" si="20"/>
        <v>NOELI SALETE</v>
      </c>
      <c r="H299" t="str">
        <f t="shared" si="21"/>
        <v>RODOBOX TRANSPORTES E ARMAZENAGEM DE CARGAS LTDA</v>
      </c>
      <c r="I299">
        <f t="shared" si="22"/>
        <v>0</v>
      </c>
      <c r="J299">
        <f t="shared" si="23"/>
        <v>0</v>
      </c>
    </row>
    <row r="300" spans="1:10" x14ac:dyDescent="0.25">
      <c r="A300" t="s">
        <v>348</v>
      </c>
      <c r="B300" t="s">
        <v>92</v>
      </c>
      <c r="C300" t="s">
        <v>56</v>
      </c>
      <c r="D300" s="3">
        <v>45567</v>
      </c>
      <c r="E300" t="str">
        <f>VLOOKUP(B300,'PROCV GERENTES BD'!A:B,2,0)</f>
        <v>NOELI SALETE</v>
      </c>
      <c r="F300" s="4" t="str">
        <f t="shared" si="24"/>
        <v>2024-10-1</v>
      </c>
      <c r="G300" t="str">
        <f t="shared" si="20"/>
        <v>NOELI SALETE</v>
      </c>
      <c r="H300" t="str">
        <f t="shared" si="21"/>
        <v>MEIO OESTE PAPEIS LTDA ME</v>
      </c>
      <c r="I300">
        <f t="shared" si="22"/>
        <v>0</v>
      </c>
      <c r="J300">
        <f t="shared" si="23"/>
        <v>1</v>
      </c>
    </row>
    <row r="301" spans="1:10" x14ac:dyDescent="0.25">
      <c r="A301" t="s">
        <v>353</v>
      </c>
      <c r="B301" t="s">
        <v>96</v>
      </c>
      <c r="C301" t="s">
        <v>56</v>
      </c>
      <c r="D301" s="3">
        <v>45567</v>
      </c>
      <c r="E301" t="str">
        <f>VLOOKUP(B301,'PROCV GERENTES BD'!A:B,2,0)</f>
        <v>POENATELA</v>
      </c>
      <c r="F301" s="4" t="str">
        <f t="shared" si="24"/>
        <v>2024-10-1</v>
      </c>
      <c r="G301" t="str">
        <f t="shared" si="20"/>
        <v>POENATELA</v>
      </c>
      <c r="H301" t="str">
        <f t="shared" si="21"/>
        <v>GREEN FARMING FAZENDAS RENOVAVEIS LTDA</v>
      </c>
      <c r="I301">
        <f t="shared" si="22"/>
        <v>0</v>
      </c>
      <c r="J301">
        <f t="shared" si="23"/>
        <v>1</v>
      </c>
    </row>
    <row r="302" spans="1:10" x14ac:dyDescent="0.25">
      <c r="A302" t="s">
        <v>354</v>
      </c>
      <c r="B302" t="s">
        <v>97</v>
      </c>
      <c r="C302" t="s">
        <v>59</v>
      </c>
      <c r="D302" s="3">
        <v>45567</v>
      </c>
      <c r="E302" t="str">
        <f>VLOOKUP(B302,'PROCV GERENTES BD'!A:B,2,0)</f>
        <v>POENATELA</v>
      </c>
      <c r="F302" s="4" t="str">
        <f t="shared" si="24"/>
        <v>2024-10-1</v>
      </c>
      <c r="G302" t="str">
        <f t="shared" si="20"/>
        <v>POENATELA</v>
      </c>
      <c r="H302" t="str">
        <f t="shared" si="21"/>
        <v>UBERTEC SERVICE USINAGEM LTDA EPP</v>
      </c>
      <c r="I302">
        <f t="shared" si="22"/>
        <v>0</v>
      </c>
      <c r="J302">
        <f t="shared" si="23"/>
        <v>0</v>
      </c>
    </row>
    <row r="303" spans="1:10" x14ac:dyDescent="0.25">
      <c r="A303" t="s">
        <v>384</v>
      </c>
      <c r="B303" t="s">
        <v>128</v>
      </c>
      <c r="C303" t="s">
        <v>56</v>
      </c>
      <c r="D303" s="3">
        <v>45567</v>
      </c>
      <c r="E303" t="str">
        <f>VLOOKUP(B303,'PROCV GERENTES BD'!A:B,2,0)</f>
        <v>PRISCILA METZ</v>
      </c>
      <c r="F303" s="4" t="str">
        <f t="shared" si="24"/>
        <v>2024-10-1</v>
      </c>
      <c r="G303" t="str">
        <f t="shared" si="20"/>
        <v>PRISCILA METZ</v>
      </c>
      <c r="H303" t="str">
        <f t="shared" si="21"/>
        <v>NOVA DISTRIBUIDORA E ATACADO DE LIMPEZA LTDA</v>
      </c>
      <c r="I303">
        <f t="shared" si="22"/>
        <v>0</v>
      </c>
      <c r="J303">
        <f t="shared" si="23"/>
        <v>1</v>
      </c>
    </row>
    <row r="304" spans="1:10" x14ac:dyDescent="0.25">
      <c r="A304" t="s">
        <v>411</v>
      </c>
      <c r="B304" t="s">
        <v>160</v>
      </c>
      <c r="C304" t="s">
        <v>56</v>
      </c>
      <c r="D304" s="3">
        <v>45567</v>
      </c>
      <c r="E304" t="str">
        <f>VLOOKUP(B304,'PROCV GERENTES BD'!A:B,2,0)</f>
        <v>PRISCILA METZ</v>
      </c>
      <c r="F304" s="4" t="str">
        <f t="shared" si="24"/>
        <v>2024-10-1</v>
      </c>
      <c r="G304" t="str">
        <f t="shared" si="20"/>
        <v>PRISCILA METZ</v>
      </c>
      <c r="H304" t="str">
        <f t="shared" si="21"/>
        <v>REI DO MILHO ATACADISTA E VAREJISTA LTDA ME</v>
      </c>
      <c r="I304">
        <f t="shared" si="22"/>
        <v>0</v>
      </c>
      <c r="J304">
        <f t="shared" si="23"/>
        <v>1</v>
      </c>
    </row>
    <row r="305" spans="1:10" x14ac:dyDescent="0.25">
      <c r="A305" t="s">
        <v>363</v>
      </c>
      <c r="B305" t="s">
        <v>106</v>
      </c>
      <c r="C305" t="s">
        <v>72</v>
      </c>
      <c r="D305" s="3">
        <v>45569</v>
      </c>
      <c r="E305" t="str">
        <f>VLOOKUP(B305,'PROCV GERENTES BD'!A:B,2,0)</f>
        <v>ADMINISTRAÇÃO</v>
      </c>
      <c r="F305" s="4" t="str">
        <f t="shared" si="24"/>
        <v>2024-10-1</v>
      </c>
      <c r="G305" t="str">
        <f t="shared" si="20"/>
        <v>ADMINISTRAÇÃO</v>
      </c>
      <c r="H305" t="str">
        <f t="shared" si="21"/>
        <v>DECISION DESENVOLVIMENTO DE SISTEMAS LTDA</v>
      </c>
      <c r="I305">
        <f t="shared" si="22"/>
        <v>1</v>
      </c>
      <c r="J305">
        <f t="shared" si="23"/>
        <v>0</v>
      </c>
    </row>
    <row r="306" spans="1:10" x14ac:dyDescent="0.25">
      <c r="A306" t="s">
        <v>326</v>
      </c>
      <c r="B306" t="s">
        <v>86</v>
      </c>
      <c r="C306" t="s">
        <v>56</v>
      </c>
      <c r="D306" s="3">
        <v>45569</v>
      </c>
      <c r="E306" t="str">
        <f>VLOOKUP(B306,'PROCV GERENTES BD'!A:B,2,0)</f>
        <v>CELIO PIMENTA</v>
      </c>
      <c r="F306" s="4" t="str">
        <f t="shared" si="24"/>
        <v>2024-10-1</v>
      </c>
      <c r="G306" t="str">
        <f t="shared" si="20"/>
        <v>CELIO PIMENTA</v>
      </c>
      <c r="H306" t="str">
        <f t="shared" si="21"/>
        <v>IMPORTEXTIL COMERCIO DE TECIDOS LTDA</v>
      </c>
      <c r="I306">
        <f t="shared" si="22"/>
        <v>0</v>
      </c>
      <c r="J306">
        <f t="shared" si="23"/>
        <v>1</v>
      </c>
    </row>
    <row r="307" spans="1:10" x14ac:dyDescent="0.25">
      <c r="A307" t="s">
        <v>60</v>
      </c>
      <c r="B307" t="s">
        <v>61</v>
      </c>
      <c r="C307" t="s">
        <v>56</v>
      </c>
      <c r="D307" s="3">
        <v>45569</v>
      </c>
      <c r="E307" t="str">
        <f>VLOOKUP(B307,'PROCV GERENTES BD'!A:B,2,0)</f>
        <v>CELIO PIMENTA</v>
      </c>
      <c r="F307" s="4" t="str">
        <f t="shared" si="24"/>
        <v>2024-10-1</v>
      </c>
      <c r="G307" t="str">
        <f t="shared" si="20"/>
        <v>CELIO PIMENTA</v>
      </c>
      <c r="H307" t="str">
        <f t="shared" si="21"/>
        <v>WJ CALDEIRARIA INDUSTRIA E COMERCIO LTDA ME</v>
      </c>
      <c r="I307">
        <f t="shared" si="22"/>
        <v>0</v>
      </c>
      <c r="J307">
        <f t="shared" si="23"/>
        <v>1</v>
      </c>
    </row>
    <row r="308" spans="1:10" x14ac:dyDescent="0.25">
      <c r="A308" t="s">
        <v>366</v>
      </c>
      <c r="B308" t="s">
        <v>111</v>
      </c>
      <c r="C308" t="s">
        <v>72</v>
      </c>
      <c r="D308" s="3">
        <v>45569</v>
      </c>
      <c r="E308" t="str">
        <f>VLOOKUP(B308,'PROCV GERENTES BD'!A:B,2,0)</f>
        <v>DIOGO AZEVEDO</v>
      </c>
      <c r="F308" s="4" t="str">
        <f t="shared" si="24"/>
        <v>2024-10-1</v>
      </c>
      <c r="G308" t="str">
        <f t="shared" si="20"/>
        <v>DIOGO AZEVEDO</v>
      </c>
      <c r="H308" t="str">
        <f t="shared" si="21"/>
        <v>INDUSTRIA E CERVEJARIA ARTESANAL DE MINAS GERAIS L</v>
      </c>
      <c r="I308">
        <f t="shared" si="22"/>
        <v>1</v>
      </c>
      <c r="J308">
        <f t="shared" si="23"/>
        <v>0</v>
      </c>
    </row>
    <row r="309" spans="1:10" x14ac:dyDescent="0.25">
      <c r="A309" t="s">
        <v>343</v>
      </c>
      <c r="B309" t="s">
        <v>89</v>
      </c>
      <c r="C309" t="s">
        <v>72</v>
      </c>
      <c r="D309" s="3">
        <v>45569</v>
      </c>
      <c r="E309" t="str">
        <f>VLOOKUP(B309,'PROCV GERENTES BD'!A:B,2,0)</f>
        <v>MARCOS SOUZA</v>
      </c>
      <c r="F309" s="4" t="str">
        <f t="shared" si="24"/>
        <v>2024-10-1</v>
      </c>
      <c r="G309" t="str">
        <f t="shared" si="20"/>
        <v>MARCOS SOUZA</v>
      </c>
      <c r="H309" t="str">
        <f t="shared" si="21"/>
        <v>ARCA CONSTRUCOES E INCORPORACOES LTDA</v>
      </c>
      <c r="I309">
        <f t="shared" si="22"/>
        <v>1</v>
      </c>
      <c r="J309">
        <f t="shared" si="23"/>
        <v>0</v>
      </c>
    </row>
    <row r="310" spans="1:10" x14ac:dyDescent="0.25">
      <c r="A310" t="s">
        <v>348</v>
      </c>
      <c r="B310" t="s">
        <v>92</v>
      </c>
      <c r="C310" t="s">
        <v>56</v>
      </c>
      <c r="D310" s="3">
        <v>45569</v>
      </c>
      <c r="E310" t="str">
        <f>VLOOKUP(B310,'PROCV GERENTES BD'!A:B,2,0)</f>
        <v>NOELI SALETE</v>
      </c>
      <c r="F310" s="4" t="str">
        <f t="shared" si="24"/>
        <v>2024-10-1</v>
      </c>
      <c r="G310" t="str">
        <f t="shared" si="20"/>
        <v>NOELI SALETE</v>
      </c>
      <c r="H310" t="str">
        <f t="shared" si="21"/>
        <v>MEIO OESTE PAPEIS LTDA ME</v>
      </c>
      <c r="I310">
        <f t="shared" si="22"/>
        <v>0</v>
      </c>
      <c r="J310">
        <f t="shared" si="23"/>
        <v>1</v>
      </c>
    </row>
    <row r="311" spans="1:10" x14ac:dyDescent="0.25">
      <c r="A311" t="s">
        <v>408</v>
      </c>
      <c r="B311" t="s">
        <v>157</v>
      </c>
      <c r="C311" t="s">
        <v>72</v>
      </c>
      <c r="D311" s="3">
        <v>45569</v>
      </c>
      <c r="E311" t="str">
        <f>VLOOKUP(B311,'PROCV GERENTES BD'!A:B,2,0)</f>
        <v>NOELI SALETE</v>
      </c>
      <c r="F311" s="4" t="str">
        <f t="shared" si="24"/>
        <v>2024-10-1</v>
      </c>
      <c r="G311" t="str">
        <f t="shared" si="20"/>
        <v>NOELI SALETE</v>
      </c>
      <c r="H311" t="str">
        <f t="shared" si="21"/>
        <v>POOLMAK SISTEMAS ESTRUTURAIS LTDA</v>
      </c>
      <c r="I311">
        <f t="shared" si="22"/>
        <v>1</v>
      </c>
      <c r="J311">
        <f t="shared" si="23"/>
        <v>0</v>
      </c>
    </row>
    <row r="312" spans="1:10" x14ac:dyDescent="0.25">
      <c r="A312" t="s">
        <v>353</v>
      </c>
      <c r="B312" t="s">
        <v>96</v>
      </c>
      <c r="C312" t="s">
        <v>72</v>
      </c>
      <c r="D312" s="3">
        <v>45569</v>
      </c>
      <c r="E312" t="str">
        <f>VLOOKUP(B312,'PROCV GERENTES BD'!A:B,2,0)</f>
        <v>POENATELA</v>
      </c>
      <c r="F312" s="4" t="str">
        <f t="shared" si="24"/>
        <v>2024-10-1</v>
      </c>
      <c r="G312" t="str">
        <f t="shared" si="20"/>
        <v>POENATELA</v>
      </c>
      <c r="H312" t="str">
        <f t="shared" si="21"/>
        <v>GREEN FARMING FAZENDAS RENOVAVEIS LTDA</v>
      </c>
      <c r="I312">
        <f t="shared" si="22"/>
        <v>1</v>
      </c>
      <c r="J312">
        <f t="shared" si="23"/>
        <v>0</v>
      </c>
    </row>
    <row r="313" spans="1:10" x14ac:dyDescent="0.25">
      <c r="A313" t="s">
        <v>82</v>
      </c>
      <c r="B313" t="s">
        <v>83</v>
      </c>
      <c r="C313" t="s">
        <v>56</v>
      </c>
      <c r="D313" s="3">
        <v>45569</v>
      </c>
      <c r="E313" t="str">
        <f>VLOOKUP(B313,'PROCV GERENTES BD'!A:B,2,0)</f>
        <v>RAFAEL PARISE</v>
      </c>
      <c r="F313" s="4" t="str">
        <f t="shared" si="24"/>
        <v>2024-10-1</v>
      </c>
      <c r="G313" t="str">
        <f t="shared" si="20"/>
        <v>RAFAEL PARISE</v>
      </c>
      <c r="H313" t="str">
        <f t="shared" si="21"/>
        <v>UNITA AUTO PECAS LTDA EPP</v>
      </c>
      <c r="I313">
        <f t="shared" si="22"/>
        <v>0</v>
      </c>
      <c r="J313">
        <f t="shared" si="23"/>
        <v>1</v>
      </c>
    </row>
    <row r="314" spans="1:10" x14ac:dyDescent="0.25">
      <c r="A314" t="s">
        <v>370</v>
      </c>
      <c r="B314" t="s">
        <v>114</v>
      </c>
      <c r="C314" t="s">
        <v>56</v>
      </c>
      <c r="D314" s="3">
        <v>45569</v>
      </c>
      <c r="E314" t="s">
        <v>25</v>
      </c>
      <c r="F314" s="4" t="str">
        <f t="shared" si="24"/>
        <v>2024-10-1</v>
      </c>
      <c r="G314" t="str">
        <f t="shared" si="20"/>
        <v xml:space="preserve">ROGERIO </v>
      </c>
      <c r="H314" t="str">
        <f t="shared" si="21"/>
        <v>EVOLUTION MACHINES LTDA ME</v>
      </c>
      <c r="I314">
        <f t="shared" si="22"/>
        <v>0</v>
      </c>
      <c r="J314">
        <f t="shared" si="23"/>
        <v>1</v>
      </c>
    </row>
    <row r="315" spans="1:10" x14ac:dyDescent="0.25">
      <c r="A315" t="s">
        <v>326</v>
      </c>
      <c r="B315" t="s">
        <v>86</v>
      </c>
      <c r="C315" t="s">
        <v>56</v>
      </c>
      <c r="D315" s="3">
        <v>45570</v>
      </c>
      <c r="E315" t="str">
        <f>VLOOKUP(B315,'PROCV GERENTES BD'!A:B,2,0)</f>
        <v>CELIO PIMENTA</v>
      </c>
      <c r="F315" s="4" t="str">
        <f t="shared" si="24"/>
        <v>2024-10-1</v>
      </c>
      <c r="G315" t="str">
        <f t="shared" si="20"/>
        <v>CELIO PIMENTA</v>
      </c>
      <c r="H315" t="str">
        <f t="shared" si="21"/>
        <v>IMPORTEXTIL COMERCIO DE TECIDOS LTDA</v>
      </c>
      <c r="I315">
        <f t="shared" si="22"/>
        <v>0</v>
      </c>
      <c r="J315">
        <f t="shared" si="23"/>
        <v>1</v>
      </c>
    </row>
    <row r="316" spans="1:10" x14ac:dyDescent="0.25">
      <c r="A316" t="s">
        <v>409</v>
      </c>
      <c r="B316" t="s">
        <v>158</v>
      </c>
      <c r="C316" t="s">
        <v>72</v>
      </c>
      <c r="D316" s="3">
        <v>45570</v>
      </c>
      <c r="E316" t="str">
        <f>VLOOKUP(B316,'PROCV GERENTES BD'!A:B,2,0)</f>
        <v>EDUARDO MATOSO</v>
      </c>
      <c r="F316" s="4" t="str">
        <f t="shared" si="24"/>
        <v>2024-10-1</v>
      </c>
      <c r="G316" t="str">
        <f t="shared" si="20"/>
        <v>EDUARDO MATOSO</v>
      </c>
      <c r="H316" t="str">
        <f t="shared" si="21"/>
        <v>RECICOLOGY INDUSTRIA E COMERCIO DE PRODUTOS RECICL</v>
      </c>
      <c r="I316">
        <f t="shared" si="22"/>
        <v>1</v>
      </c>
      <c r="J316">
        <f t="shared" si="23"/>
        <v>0</v>
      </c>
    </row>
    <row r="317" spans="1:10" x14ac:dyDescent="0.25">
      <c r="A317" t="s">
        <v>410</v>
      </c>
      <c r="B317" t="s">
        <v>159</v>
      </c>
      <c r="C317" t="s">
        <v>72</v>
      </c>
      <c r="D317" s="3">
        <v>45570</v>
      </c>
      <c r="E317" t="str">
        <f>VLOOKUP(B317,'PROCV GERENTES BD'!A:B,2,0)</f>
        <v>FITZ</v>
      </c>
      <c r="F317" s="4" t="str">
        <f t="shared" si="24"/>
        <v>2024-10-1</v>
      </c>
      <c r="G317" t="str">
        <f t="shared" si="20"/>
        <v>FITZ</v>
      </c>
      <c r="H317" t="str">
        <f t="shared" si="21"/>
        <v>MOINHO DE TRIGO JM LTDA</v>
      </c>
      <c r="I317">
        <f t="shared" si="22"/>
        <v>1</v>
      </c>
      <c r="J317">
        <f t="shared" si="23"/>
        <v>0</v>
      </c>
    </row>
    <row r="318" spans="1:10" x14ac:dyDescent="0.25">
      <c r="A318" t="s">
        <v>343</v>
      </c>
      <c r="B318" t="s">
        <v>89</v>
      </c>
      <c r="C318" t="s">
        <v>72</v>
      </c>
      <c r="D318" s="3">
        <v>45570</v>
      </c>
      <c r="E318" t="str">
        <f>VLOOKUP(B318,'PROCV GERENTES BD'!A:B,2,0)</f>
        <v>MARCOS SOUZA</v>
      </c>
      <c r="F318" s="4" t="str">
        <f t="shared" si="24"/>
        <v>2024-10-1</v>
      </c>
      <c r="G318" t="str">
        <f t="shared" si="20"/>
        <v>MARCOS SOUZA</v>
      </c>
      <c r="H318" t="str">
        <f t="shared" si="21"/>
        <v>ARCA CONSTRUCOES E INCORPORACOES LTDA</v>
      </c>
      <c r="I318">
        <f t="shared" si="22"/>
        <v>1</v>
      </c>
      <c r="J318">
        <f t="shared" si="23"/>
        <v>0</v>
      </c>
    </row>
    <row r="319" spans="1:10" x14ac:dyDescent="0.25">
      <c r="A319" t="s">
        <v>347</v>
      </c>
      <c r="B319" t="s">
        <v>93</v>
      </c>
      <c r="C319" t="s">
        <v>56</v>
      </c>
      <c r="D319" s="3">
        <v>45570</v>
      </c>
      <c r="E319" t="str">
        <f>VLOOKUP(B319,'PROCV GERENTES BD'!A:B,2,0)</f>
        <v>NOELI SALETE</v>
      </c>
      <c r="F319" s="4" t="str">
        <f t="shared" si="24"/>
        <v>2024-10-1</v>
      </c>
      <c r="G319" t="str">
        <f t="shared" si="20"/>
        <v>NOELI SALETE</v>
      </c>
      <c r="H319" t="str">
        <f t="shared" si="21"/>
        <v>RODOBOX TRANSPORTES E ARMAZENAGEM DE CARGAS LTDA</v>
      </c>
      <c r="I319">
        <f t="shared" si="22"/>
        <v>0</v>
      </c>
      <c r="J319">
        <f t="shared" si="23"/>
        <v>1</v>
      </c>
    </row>
    <row r="320" spans="1:10" x14ac:dyDescent="0.25">
      <c r="A320" t="s">
        <v>348</v>
      </c>
      <c r="B320" t="s">
        <v>92</v>
      </c>
      <c r="C320" t="s">
        <v>56</v>
      </c>
      <c r="D320" s="3">
        <v>45570</v>
      </c>
      <c r="E320" t="str">
        <f>VLOOKUP(B320,'PROCV GERENTES BD'!A:B,2,0)</f>
        <v>NOELI SALETE</v>
      </c>
      <c r="F320" s="4" t="str">
        <f t="shared" si="24"/>
        <v>2024-10-1</v>
      </c>
      <c r="G320" t="str">
        <f t="shared" si="20"/>
        <v>NOELI SALETE</v>
      </c>
      <c r="H320" t="str">
        <f t="shared" si="21"/>
        <v>MEIO OESTE PAPEIS LTDA ME</v>
      </c>
      <c r="I320">
        <f t="shared" si="22"/>
        <v>0</v>
      </c>
      <c r="J320">
        <f t="shared" si="23"/>
        <v>1</v>
      </c>
    </row>
    <row r="321" spans="1:10" x14ac:dyDescent="0.25">
      <c r="A321" t="s">
        <v>408</v>
      </c>
      <c r="B321" t="s">
        <v>157</v>
      </c>
      <c r="C321" t="s">
        <v>56</v>
      </c>
      <c r="D321" s="3">
        <v>45570</v>
      </c>
      <c r="E321" t="str">
        <f>VLOOKUP(B321,'PROCV GERENTES BD'!A:B,2,0)</f>
        <v>NOELI SALETE</v>
      </c>
      <c r="F321" s="4" t="str">
        <f t="shared" si="24"/>
        <v>2024-10-1</v>
      </c>
      <c r="G321" t="str">
        <f t="shared" si="20"/>
        <v>NOELI SALETE</v>
      </c>
      <c r="H321" t="str">
        <f t="shared" si="21"/>
        <v>POOLMAK SISTEMAS ESTRUTURAIS LTDA</v>
      </c>
      <c r="I321">
        <f t="shared" si="22"/>
        <v>0</v>
      </c>
      <c r="J321">
        <f t="shared" si="23"/>
        <v>1</v>
      </c>
    </row>
    <row r="322" spans="1:10" x14ac:dyDescent="0.25">
      <c r="A322" t="s">
        <v>352</v>
      </c>
      <c r="B322" t="s">
        <v>95</v>
      </c>
      <c r="C322" t="s">
        <v>56</v>
      </c>
      <c r="D322" s="3">
        <v>45570</v>
      </c>
      <c r="E322" t="str">
        <f>VLOOKUP(B322,'PROCV GERENTES BD'!A:B,2,0)</f>
        <v>POENATELA</v>
      </c>
      <c r="F322" s="4" t="str">
        <f t="shared" si="24"/>
        <v>2024-10-1</v>
      </c>
      <c r="G322" t="str">
        <f t="shared" ref="G322:G385" si="25">E322</f>
        <v>POENATELA</v>
      </c>
      <c r="H322" t="str">
        <f t="shared" ref="H322:H385" si="26">B322</f>
        <v>CERVEJARIA SOUZA LTDA</v>
      </c>
      <c r="I322">
        <f t="shared" ref="I322:I385" si="27">IF(C322="EXCLUSAO  ANOT.INADIMPLENCIA",1,0)</f>
        <v>0</v>
      </c>
      <c r="J322">
        <f t="shared" ref="J322:J385" si="28">IF(C322="INCLUSAO  ANOT.INADIMPLENCIA",1,0)</f>
        <v>1</v>
      </c>
    </row>
    <row r="323" spans="1:10" x14ac:dyDescent="0.25">
      <c r="A323" t="s">
        <v>354</v>
      </c>
      <c r="B323" t="s">
        <v>97</v>
      </c>
      <c r="C323" t="s">
        <v>56</v>
      </c>
      <c r="D323" s="3">
        <v>45570</v>
      </c>
      <c r="E323" t="str">
        <f>VLOOKUP(B323,'PROCV GERENTES BD'!A:B,2,0)</f>
        <v>POENATELA</v>
      </c>
      <c r="F323" s="4" t="str">
        <f t="shared" ref="F323:F386" si="29">YEAR(D323)&amp;"-"&amp;TEXT(MONTH(D323),"00")&amp;"-"&amp;IF(DAY(D323)&lt;=15,"1",IF(DAY(D323)&gt;15,"2",""))</f>
        <v>2024-10-1</v>
      </c>
      <c r="G323" t="str">
        <f t="shared" si="25"/>
        <v>POENATELA</v>
      </c>
      <c r="H323" t="str">
        <f t="shared" si="26"/>
        <v>UBERTEC SERVICE USINAGEM LTDA EPP</v>
      </c>
      <c r="I323">
        <f t="shared" si="27"/>
        <v>0</v>
      </c>
      <c r="J323">
        <f t="shared" si="28"/>
        <v>1</v>
      </c>
    </row>
    <row r="324" spans="1:10" x14ac:dyDescent="0.25">
      <c r="A324" t="s">
        <v>395</v>
      </c>
      <c r="B324" t="s">
        <v>141</v>
      </c>
      <c r="C324" t="s">
        <v>56</v>
      </c>
      <c r="D324" s="3">
        <v>45570</v>
      </c>
      <c r="E324" t="str">
        <f>VLOOKUP(B324,'PROCV GERENTES BD'!A:B,2,0)</f>
        <v>RAFAEL PARISE</v>
      </c>
      <c r="F324" s="4" t="str">
        <f t="shared" si="29"/>
        <v>2024-10-1</v>
      </c>
      <c r="G324" t="str">
        <f t="shared" si="25"/>
        <v>RAFAEL PARISE</v>
      </c>
      <c r="H324" t="str">
        <f t="shared" si="26"/>
        <v>MAIS DISTRIBUIDORA LTDA</v>
      </c>
      <c r="I324">
        <f t="shared" si="27"/>
        <v>0</v>
      </c>
      <c r="J324">
        <f t="shared" si="28"/>
        <v>1</v>
      </c>
    </row>
    <row r="325" spans="1:10" x14ac:dyDescent="0.25">
      <c r="A325" t="s">
        <v>332</v>
      </c>
      <c r="B325" t="s">
        <v>145</v>
      </c>
      <c r="C325" t="s">
        <v>72</v>
      </c>
      <c r="D325" s="3">
        <v>45570</v>
      </c>
      <c r="E325" t="str">
        <f>VLOOKUP(B325,'PROCV GERENTES BD'!A:B,2,0)</f>
        <v>SEM GERENTE</v>
      </c>
      <c r="F325" s="4" t="str">
        <f t="shared" si="29"/>
        <v>2024-10-1</v>
      </c>
      <c r="G325" t="str">
        <f t="shared" si="25"/>
        <v>SEM GERENTE</v>
      </c>
      <c r="H325" t="str">
        <f t="shared" si="26"/>
        <v>ALLIAGE S A INDUSTRIAS MEDICO ODONTOLOGICA</v>
      </c>
      <c r="I325">
        <f t="shared" si="27"/>
        <v>1</v>
      </c>
      <c r="J325">
        <f t="shared" si="28"/>
        <v>0</v>
      </c>
    </row>
    <row r="326" spans="1:10" x14ac:dyDescent="0.25">
      <c r="A326" t="s">
        <v>412</v>
      </c>
      <c r="B326" t="s">
        <v>161</v>
      </c>
      <c r="C326" t="s">
        <v>56</v>
      </c>
      <c r="D326" s="3">
        <v>45573</v>
      </c>
      <c r="E326" t="str">
        <f>VLOOKUP(B326,'PROCV GERENTES BD'!A:B,2,0)</f>
        <v>ADMINISTRAÇÃO</v>
      </c>
      <c r="F326" s="4" t="str">
        <f t="shared" si="29"/>
        <v>2024-10-1</v>
      </c>
      <c r="G326" t="str">
        <f t="shared" si="25"/>
        <v>ADMINISTRAÇÃO</v>
      </c>
      <c r="H326" t="str">
        <f t="shared" si="26"/>
        <v>PRIVILEGIO CONFECCOES CAMA MESA E BANHO LTDA EPP</v>
      </c>
      <c r="I326">
        <f t="shared" si="27"/>
        <v>0</v>
      </c>
      <c r="J326">
        <f t="shared" si="28"/>
        <v>1</v>
      </c>
    </row>
    <row r="327" spans="1:10" x14ac:dyDescent="0.25">
      <c r="A327" t="s">
        <v>412</v>
      </c>
      <c r="B327" t="s">
        <v>161</v>
      </c>
      <c r="C327" t="s">
        <v>72</v>
      </c>
      <c r="D327" s="3">
        <f>D326</f>
        <v>45573</v>
      </c>
      <c r="E327" t="str">
        <f>VLOOKUP(B327,'PROCV GERENTES BD'!A:B,2,0)</f>
        <v>ADMINISTRAÇÃO</v>
      </c>
      <c r="F327" s="4" t="str">
        <f t="shared" si="29"/>
        <v>2024-10-1</v>
      </c>
      <c r="G327" t="str">
        <f t="shared" si="25"/>
        <v>ADMINISTRAÇÃO</v>
      </c>
      <c r="H327" t="str">
        <f t="shared" si="26"/>
        <v>PRIVILEGIO CONFECCOES CAMA MESA E BANHO LTDA EPP</v>
      </c>
      <c r="I327">
        <f t="shared" si="27"/>
        <v>1</v>
      </c>
      <c r="J327">
        <f t="shared" si="28"/>
        <v>0</v>
      </c>
    </row>
    <row r="328" spans="1:10" x14ac:dyDescent="0.25">
      <c r="A328" t="s">
        <v>311</v>
      </c>
      <c r="B328" t="s">
        <v>130</v>
      </c>
      <c r="C328" t="s">
        <v>72</v>
      </c>
      <c r="D328" s="3">
        <v>45573</v>
      </c>
      <c r="E328" t="str">
        <f>VLOOKUP(B328,'PROCV GERENTES BD'!A:B,2,0)</f>
        <v>ANTONIO CARLOS</v>
      </c>
      <c r="F328" s="4" t="str">
        <f t="shared" si="29"/>
        <v>2024-10-1</v>
      </c>
      <c r="G328" t="str">
        <f t="shared" si="25"/>
        <v>ANTONIO CARLOS</v>
      </c>
      <c r="H328" t="str">
        <f t="shared" si="26"/>
        <v>VIC LOGISTICA LTDA EM RECUPERACAO JUDICIAL</v>
      </c>
      <c r="I328">
        <f t="shared" si="27"/>
        <v>1</v>
      </c>
      <c r="J328">
        <f t="shared" si="28"/>
        <v>0</v>
      </c>
    </row>
    <row r="329" spans="1:10" x14ac:dyDescent="0.25">
      <c r="A329" t="s">
        <v>326</v>
      </c>
      <c r="B329" t="s">
        <v>86</v>
      </c>
      <c r="C329" t="s">
        <v>56</v>
      </c>
      <c r="D329" s="3">
        <v>45573</v>
      </c>
      <c r="E329" t="str">
        <f>VLOOKUP(B329,'PROCV GERENTES BD'!A:B,2,0)</f>
        <v>CELIO PIMENTA</v>
      </c>
      <c r="F329" s="4" t="str">
        <f t="shared" si="29"/>
        <v>2024-10-1</v>
      </c>
      <c r="G329" t="str">
        <f t="shared" si="25"/>
        <v>CELIO PIMENTA</v>
      </c>
      <c r="H329" t="str">
        <f t="shared" si="26"/>
        <v>IMPORTEXTIL COMERCIO DE TECIDOS LTDA</v>
      </c>
      <c r="I329">
        <f t="shared" si="27"/>
        <v>0</v>
      </c>
      <c r="J329">
        <f t="shared" si="28"/>
        <v>1</v>
      </c>
    </row>
    <row r="330" spans="1:10" x14ac:dyDescent="0.25">
      <c r="A330" t="s">
        <v>60</v>
      </c>
      <c r="B330" t="s">
        <v>61</v>
      </c>
      <c r="C330" t="s">
        <v>72</v>
      </c>
      <c r="D330" s="3">
        <v>45573</v>
      </c>
      <c r="E330" t="str">
        <f>VLOOKUP(B330,'PROCV GERENTES BD'!A:B,2,0)</f>
        <v>CELIO PIMENTA</v>
      </c>
      <c r="F330" s="4" t="str">
        <f t="shared" si="29"/>
        <v>2024-10-1</v>
      </c>
      <c r="G330" t="str">
        <f t="shared" si="25"/>
        <v>CELIO PIMENTA</v>
      </c>
      <c r="H330" t="str">
        <f t="shared" si="26"/>
        <v>WJ CALDEIRARIA INDUSTRIA E COMERCIO LTDA ME</v>
      </c>
      <c r="I330">
        <f t="shared" si="27"/>
        <v>1</v>
      </c>
      <c r="J330">
        <f t="shared" si="28"/>
        <v>0</v>
      </c>
    </row>
    <row r="331" spans="1:10" x14ac:dyDescent="0.25">
      <c r="A331" t="s">
        <v>366</v>
      </c>
      <c r="B331" t="s">
        <v>111</v>
      </c>
      <c r="C331" t="s">
        <v>56</v>
      </c>
      <c r="D331" s="3">
        <v>45573</v>
      </c>
      <c r="E331" t="str">
        <f>VLOOKUP(B331,'PROCV GERENTES BD'!A:B,2,0)</f>
        <v>DIOGO AZEVEDO</v>
      </c>
      <c r="F331" s="4" t="str">
        <f t="shared" si="29"/>
        <v>2024-10-1</v>
      </c>
      <c r="G331" t="str">
        <f t="shared" si="25"/>
        <v>DIOGO AZEVEDO</v>
      </c>
      <c r="H331" t="str">
        <f t="shared" si="26"/>
        <v>INDUSTRIA E CERVEJARIA ARTESANAL DE MINAS GERAIS L</v>
      </c>
      <c r="I331">
        <f t="shared" si="27"/>
        <v>0</v>
      </c>
      <c r="J331">
        <f t="shared" si="28"/>
        <v>1</v>
      </c>
    </row>
    <row r="332" spans="1:10" x14ac:dyDescent="0.25">
      <c r="A332" t="s">
        <v>331</v>
      </c>
      <c r="B332" t="s">
        <v>126</v>
      </c>
      <c r="C332" t="s">
        <v>56</v>
      </c>
      <c r="D332" s="3">
        <v>45573</v>
      </c>
      <c r="E332" t="str">
        <f>VLOOKUP(B332,'PROCV GERENTES BD'!A:B,2,0)</f>
        <v>FITZ</v>
      </c>
      <c r="F332" s="4" t="str">
        <f t="shared" si="29"/>
        <v>2024-10-1</v>
      </c>
      <c r="G332" t="str">
        <f t="shared" si="25"/>
        <v>FITZ</v>
      </c>
      <c r="H332" t="str">
        <f t="shared" si="26"/>
        <v>TRANSHENRY TRANSPORTES LTDA</v>
      </c>
      <c r="I332">
        <f t="shared" si="27"/>
        <v>0</v>
      </c>
      <c r="J332">
        <f t="shared" si="28"/>
        <v>1</v>
      </c>
    </row>
    <row r="333" spans="1:10" x14ac:dyDescent="0.25">
      <c r="A333" t="s">
        <v>358</v>
      </c>
      <c r="B333" t="s">
        <v>101</v>
      </c>
      <c r="C333" t="s">
        <v>56</v>
      </c>
      <c r="D333" s="3">
        <v>45573</v>
      </c>
      <c r="E333" t="str">
        <f>VLOOKUP(B333,'PROCV GERENTES BD'!A:B,2,0)</f>
        <v>GRUPO OTTO</v>
      </c>
      <c r="F333" s="4" t="str">
        <f t="shared" si="29"/>
        <v>2024-10-1</v>
      </c>
      <c r="G333" t="str">
        <f t="shared" si="25"/>
        <v>GRUPO OTTO</v>
      </c>
      <c r="H333" t="str">
        <f t="shared" si="26"/>
        <v>PLURIFORME INDUSTRIA E COMERCIO DE UNIFORMES LTDA</v>
      </c>
      <c r="I333">
        <f t="shared" si="27"/>
        <v>0</v>
      </c>
      <c r="J333">
        <f t="shared" si="28"/>
        <v>1</v>
      </c>
    </row>
    <row r="334" spans="1:10" x14ac:dyDescent="0.25">
      <c r="A334" t="s">
        <v>341</v>
      </c>
      <c r="B334" t="s">
        <v>88</v>
      </c>
      <c r="C334" t="s">
        <v>72</v>
      </c>
      <c r="D334" s="3">
        <v>45573</v>
      </c>
      <c r="E334" t="str">
        <f>VLOOKUP(B334,'PROCV GERENTES BD'!A:B,2,0)</f>
        <v>LUIS GUSTAVO</v>
      </c>
      <c r="F334" s="4" t="str">
        <f t="shared" si="29"/>
        <v>2024-10-1</v>
      </c>
      <c r="G334" t="str">
        <f t="shared" si="25"/>
        <v>LUIS GUSTAVO</v>
      </c>
      <c r="H334" t="str">
        <f t="shared" si="26"/>
        <v>BETMIX CONCRETO LTDA</v>
      </c>
      <c r="I334">
        <f t="shared" si="27"/>
        <v>1</v>
      </c>
      <c r="J334">
        <f t="shared" si="28"/>
        <v>0</v>
      </c>
    </row>
    <row r="335" spans="1:10" x14ac:dyDescent="0.25">
      <c r="A335" t="s">
        <v>383</v>
      </c>
      <c r="B335" t="s">
        <v>127</v>
      </c>
      <c r="C335" t="s">
        <v>72</v>
      </c>
      <c r="D335" s="3">
        <v>45573</v>
      </c>
      <c r="E335" t="str">
        <f>VLOOKUP(B335,'PROCV GERENTES BD'!A:B,2,0)</f>
        <v>NATALIA NUBIA</v>
      </c>
      <c r="F335" s="4" t="str">
        <f t="shared" si="29"/>
        <v>2024-10-1</v>
      </c>
      <c r="G335" t="str">
        <f t="shared" si="25"/>
        <v>NATALIA NUBIA</v>
      </c>
      <c r="H335" t="str">
        <f t="shared" si="26"/>
        <v>FARINELLI NUTRIMENTOS LTDA</v>
      </c>
      <c r="I335">
        <f t="shared" si="27"/>
        <v>1</v>
      </c>
      <c r="J335">
        <f t="shared" si="28"/>
        <v>0</v>
      </c>
    </row>
    <row r="336" spans="1:10" x14ac:dyDescent="0.25">
      <c r="A336" t="s">
        <v>348</v>
      </c>
      <c r="B336" t="s">
        <v>92</v>
      </c>
      <c r="C336" t="s">
        <v>56</v>
      </c>
      <c r="D336" s="3">
        <v>45573</v>
      </c>
      <c r="E336" t="str">
        <f>VLOOKUP(B336,'PROCV GERENTES BD'!A:B,2,0)</f>
        <v>NOELI SALETE</v>
      </c>
      <c r="F336" s="4" t="str">
        <f t="shared" si="29"/>
        <v>2024-10-1</v>
      </c>
      <c r="G336" t="str">
        <f t="shared" si="25"/>
        <v>NOELI SALETE</v>
      </c>
      <c r="H336" t="str">
        <f t="shared" si="26"/>
        <v>MEIO OESTE PAPEIS LTDA ME</v>
      </c>
      <c r="I336">
        <f t="shared" si="27"/>
        <v>0</v>
      </c>
      <c r="J336">
        <f t="shared" si="28"/>
        <v>1</v>
      </c>
    </row>
    <row r="337" spans="1:10" x14ac:dyDescent="0.25">
      <c r="A337" t="s">
        <v>408</v>
      </c>
      <c r="B337" t="s">
        <v>157</v>
      </c>
      <c r="C337" t="s">
        <v>56</v>
      </c>
      <c r="D337" s="3">
        <v>45573</v>
      </c>
      <c r="E337" t="str">
        <f>VLOOKUP(B337,'PROCV GERENTES BD'!A:B,2,0)</f>
        <v>NOELI SALETE</v>
      </c>
      <c r="F337" s="4" t="str">
        <f t="shared" si="29"/>
        <v>2024-10-1</v>
      </c>
      <c r="G337" t="str">
        <f t="shared" si="25"/>
        <v>NOELI SALETE</v>
      </c>
      <c r="H337" t="str">
        <f t="shared" si="26"/>
        <v>POOLMAK SISTEMAS ESTRUTURAIS LTDA</v>
      </c>
      <c r="I337">
        <f t="shared" si="27"/>
        <v>0</v>
      </c>
      <c r="J337">
        <f t="shared" si="28"/>
        <v>1</v>
      </c>
    </row>
    <row r="338" spans="1:10" x14ac:dyDescent="0.25">
      <c r="A338" t="s">
        <v>353</v>
      </c>
      <c r="B338" t="s">
        <v>96</v>
      </c>
      <c r="C338" t="s">
        <v>72</v>
      </c>
      <c r="D338" s="3">
        <v>45573</v>
      </c>
      <c r="E338" t="str">
        <f>VLOOKUP(B338,'PROCV GERENTES BD'!A:B,2,0)</f>
        <v>POENATELA</v>
      </c>
      <c r="F338" s="4" t="str">
        <f t="shared" si="29"/>
        <v>2024-10-1</v>
      </c>
      <c r="G338" t="str">
        <f t="shared" si="25"/>
        <v>POENATELA</v>
      </c>
      <c r="H338" t="str">
        <f t="shared" si="26"/>
        <v>GREEN FARMING FAZENDAS RENOVAVEIS LTDA</v>
      </c>
      <c r="I338">
        <f t="shared" si="27"/>
        <v>1</v>
      </c>
      <c r="J338">
        <f t="shared" si="28"/>
        <v>0</v>
      </c>
    </row>
    <row r="339" spans="1:10" x14ac:dyDescent="0.25">
      <c r="A339" t="s">
        <v>354</v>
      </c>
      <c r="B339" t="s">
        <v>97</v>
      </c>
      <c r="C339" t="s">
        <v>72</v>
      </c>
      <c r="D339" s="3">
        <v>45573</v>
      </c>
      <c r="E339" t="str">
        <f>VLOOKUP(B339,'PROCV GERENTES BD'!A:B,2,0)</f>
        <v>POENATELA</v>
      </c>
      <c r="F339" s="4" t="str">
        <f t="shared" si="29"/>
        <v>2024-10-1</v>
      </c>
      <c r="G339" t="str">
        <f t="shared" si="25"/>
        <v>POENATELA</v>
      </c>
      <c r="H339" t="str">
        <f t="shared" si="26"/>
        <v>UBERTEC SERVICE USINAGEM LTDA EPP</v>
      </c>
      <c r="I339">
        <f t="shared" si="27"/>
        <v>1</v>
      </c>
      <c r="J339">
        <f t="shared" si="28"/>
        <v>0</v>
      </c>
    </row>
    <row r="340" spans="1:10" x14ac:dyDescent="0.25">
      <c r="A340" t="s">
        <v>413</v>
      </c>
      <c r="B340" t="s">
        <v>162</v>
      </c>
      <c r="C340" t="s">
        <v>56</v>
      </c>
      <c r="D340" s="3">
        <v>45573</v>
      </c>
      <c r="E340" t="str">
        <f>VLOOKUP(B340,'PROCV GERENTES BD'!A:B,2,0)</f>
        <v>RODRIGO VIANNA</v>
      </c>
      <c r="F340" s="4" t="str">
        <f t="shared" si="29"/>
        <v>2024-10-1</v>
      </c>
      <c r="G340" t="str">
        <f t="shared" si="25"/>
        <v>RODRIGO VIANNA</v>
      </c>
      <c r="H340" t="str">
        <f t="shared" si="26"/>
        <v>PARTNER SECURITY SERVICOS DE SEGURANCA LTDA</v>
      </c>
      <c r="I340">
        <f t="shared" si="27"/>
        <v>0</v>
      </c>
      <c r="J340">
        <f t="shared" si="28"/>
        <v>1</v>
      </c>
    </row>
    <row r="341" spans="1:10" x14ac:dyDescent="0.25">
      <c r="A341" t="s">
        <v>332</v>
      </c>
      <c r="B341" t="s">
        <v>145</v>
      </c>
      <c r="C341" t="s">
        <v>72</v>
      </c>
      <c r="D341" s="3">
        <v>45573</v>
      </c>
      <c r="E341" t="str">
        <f>VLOOKUP(B341,'PROCV GERENTES BD'!A:B,2,0)</f>
        <v>SEM GERENTE</v>
      </c>
      <c r="F341" s="4" t="str">
        <f t="shared" si="29"/>
        <v>2024-10-1</v>
      </c>
      <c r="G341" t="str">
        <f t="shared" si="25"/>
        <v>SEM GERENTE</v>
      </c>
      <c r="H341" t="str">
        <f t="shared" si="26"/>
        <v>ALLIAGE S A INDUSTRIAS MEDICO ODONTOLOGICA</v>
      </c>
      <c r="I341">
        <f t="shared" si="27"/>
        <v>1</v>
      </c>
      <c r="J341">
        <f t="shared" si="28"/>
        <v>0</v>
      </c>
    </row>
    <row r="342" spans="1:10" x14ac:dyDescent="0.25">
      <c r="A342" t="s">
        <v>356</v>
      </c>
      <c r="B342" t="s">
        <v>99</v>
      </c>
      <c r="C342" t="s">
        <v>56</v>
      </c>
      <c r="D342" s="3">
        <v>45573</v>
      </c>
      <c r="E342" t="str">
        <f>VLOOKUP(B342,'PROCV GERENTES BD'!A:B,2,0)</f>
        <v>WHELKYA IRIS</v>
      </c>
      <c r="F342" s="4" t="str">
        <f t="shared" si="29"/>
        <v>2024-10-1</v>
      </c>
      <c r="G342" t="str">
        <f t="shared" si="25"/>
        <v>WHELKYA IRIS</v>
      </c>
      <c r="H342" t="str">
        <f t="shared" si="26"/>
        <v>DIVINA INDUSTRIA DE COURO LTDA</v>
      </c>
      <c r="I342">
        <f t="shared" si="27"/>
        <v>0</v>
      </c>
      <c r="J342">
        <f t="shared" si="28"/>
        <v>1</v>
      </c>
    </row>
    <row r="343" spans="1:10" x14ac:dyDescent="0.25">
      <c r="A343" t="s">
        <v>414</v>
      </c>
      <c r="B343" t="s">
        <v>163</v>
      </c>
      <c r="C343" t="s">
        <v>56</v>
      </c>
      <c r="D343" s="3">
        <v>45574</v>
      </c>
      <c r="E343" t="str">
        <f>VLOOKUP(B343,'PROCV GERENTES BD'!A:B,2,0)</f>
        <v>ADMINISTRAÇÃO</v>
      </c>
      <c r="F343" s="4" t="str">
        <f t="shared" si="29"/>
        <v>2024-10-1</v>
      </c>
      <c r="G343" t="str">
        <f t="shared" si="25"/>
        <v>ADMINISTRAÇÃO</v>
      </c>
      <c r="H343" t="str">
        <f t="shared" si="26"/>
        <v>RIMAG COMERCIO ATACADISTA DE ALIMENTOS IMPORTACAO</v>
      </c>
      <c r="I343">
        <f t="shared" si="27"/>
        <v>0</v>
      </c>
      <c r="J343">
        <f t="shared" si="28"/>
        <v>1</v>
      </c>
    </row>
    <row r="344" spans="1:10" x14ac:dyDescent="0.25">
      <c r="A344" t="s">
        <v>326</v>
      </c>
      <c r="B344" t="s">
        <v>86</v>
      </c>
      <c r="C344" t="s">
        <v>59</v>
      </c>
      <c r="D344" s="3">
        <v>45574</v>
      </c>
      <c r="E344" t="str">
        <f>VLOOKUP(B344,'PROCV GERENTES BD'!A:B,2,0)</f>
        <v>CELIO PIMENTA</v>
      </c>
      <c r="F344" s="4" t="str">
        <f t="shared" si="29"/>
        <v>2024-10-1</v>
      </c>
      <c r="G344" t="str">
        <f t="shared" si="25"/>
        <v>CELIO PIMENTA</v>
      </c>
      <c r="H344" t="str">
        <f t="shared" si="26"/>
        <v>IMPORTEXTIL COMERCIO DE TECIDOS LTDA</v>
      </c>
      <c r="I344">
        <f t="shared" si="27"/>
        <v>0</v>
      </c>
      <c r="J344">
        <f t="shared" si="28"/>
        <v>0</v>
      </c>
    </row>
    <row r="345" spans="1:10" x14ac:dyDescent="0.25">
      <c r="A345" t="s">
        <v>331</v>
      </c>
      <c r="B345" t="s">
        <v>126</v>
      </c>
      <c r="C345" t="s">
        <v>72</v>
      </c>
      <c r="D345" s="3">
        <v>45574</v>
      </c>
      <c r="E345" t="str">
        <f>VLOOKUP(B345,'PROCV GERENTES BD'!A:B,2,0)</f>
        <v>FITZ</v>
      </c>
      <c r="F345" s="4" t="str">
        <f t="shared" si="29"/>
        <v>2024-10-1</v>
      </c>
      <c r="G345" t="str">
        <f t="shared" si="25"/>
        <v>FITZ</v>
      </c>
      <c r="H345" t="str">
        <f t="shared" si="26"/>
        <v>TRANSHENRY TRANSPORTES LTDA</v>
      </c>
      <c r="I345">
        <f t="shared" si="27"/>
        <v>1</v>
      </c>
      <c r="J345">
        <f t="shared" si="28"/>
        <v>0</v>
      </c>
    </row>
    <row r="346" spans="1:10" x14ac:dyDescent="0.25">
      <c r="A346" t="s">
        <v>403</v>
      </c>
      <c r="B346" t="s">
        <v>152</v>
      </c>
      <c r="C346" t="s">
        <v>56</v>
      </c>
      <c r="D346" s="3">
        <v>45574</v>
      </c>
      <c r="E346" t="str">
        <f>VLOOKUP(B346,'PROCV GERENTES BD'!A:B,2,0)</f>
        <v>MARCIO LEONEL</v>
      </c>
      <c r="F346" s="4" t="str">
        <f t="shared" si="29"/>
        <v>2024-10-1</v>
      </c>
      <c r="G346" t="str">
        <f t="shared" si="25"/>
        <v>MARCIO LEONEL</v>
      </c>
      <c r="H346" t="str">
        <f t="shared" si="26"/>
        <v>MEDICAL PRIME IMP EXPORT DISTRIB PRODUTOS MEDICOS</v>
      </c>
      <c r="I346">
        <f t="shared" si="27"/>
        <v>0</v>
      </c>
      <c r="J346">
        <f t="shared" si="28"/>
        <v>1</v>
      </c>
    </row>
    <row r="347" spans="1:10" x14ac:dyDescent="0.25">
      <c r="A347" t="s">
        <v>347</v>
      </c>
      <c r="B347" t="s">
        <v>93</v>
      </c>
      <c r="C347" t="s">
        <v>56</v>
      </c>
      <c r="D347" s="3">
        <v>45574</v>
      </c>
      <c r="E347" t="str">
        <f>VLOOKUP(B347,'PROCV GERENTES BD'!A:B,2,0)</f>
        <v>NOELI SALETE</v>
      </c>
      <c r="F347" s="4" t="str">
        <f t="shared" si="29"/>
        <v>2024-10-1</v>
      </c>
      <c r="G347" t="str">
        <f t="shared" si="25"/>
        <v>NOELI SALETE</v>
      </c>
      <c r="H347" t="str">
        <f t="shared" si="26"/>
        <v>RODOBOX TRANSPORTES E ARMAZENAGEM DE CARGAS LTDA</v>
      </c>
      <c r="I347">
        <f t="shared" si="27"/>
        <v>0</v>
      </c>
      <c r="J347">
        <f t="shared" si="28"/>
        <v>1</v>
      </c>
    </row>
    <row r="348" spans="1:10" x14ac:dyDescent="0.25">
      <c r="A348" t="s">
        <v>415</v>
      </c>
      <c r="B348" t="s">
        <v>164</v>
      </c>
      <c r="C348" t="s">
        <v>72</v>
      </c>
      <c r="D348" s="3">
        <v>45574</v>
      </c>
      <c r="E348" t="str">
        <f>VLOOKUP(B348,'PROCV GERENTES BD'!A:B,2,0)</f>
        <v>NOELI SALETE</v>
      </c>
      <c r="F348" s="4" t="str">
        <f t="shared" si="29"/>
        <v>2024-10-1</v>
      </c>
      <c r="G348" t="str">
        <f t="shared" si="25"/>
        <v>NOELI SALETE</v>
      </c>
      <c r="H348" t="str">
        <f t="shared" si="26"/>
        <v>SGAMAQ INOVACAO AGROINDUSTRIAL LTDA</v>
      </c>
      <c r="I348">
        <f t="shared" si="27"/>
        <v>1</v>
      </c>
      <c r="J348">
        <f t="shared" si="28"/>
        <v>0</v>
      </c>
    </row>
    <row r="349" spans="1:10" x14ac:dyDescent="0.25">
      <c r="A349" t="s">
        <v>354</v>
      </c>
      <c r="B349" t="s">
        <v>97</v>
      </c>
      <c r="C349" t="s">
        <v>56</v>
      </c>
      <c r="D349" s="3">
        <v>45574</v>
      </c>
      <c r="E349" t="str">
        <f>VLOOKUP(B349,'PROCV GERENTES BD'!A:B,2,0)</f>
        <v>POENATELA</v>
      </c>
      <c r="F349" s="4" t="str">
        <f t="shared" si="29"/>
        <v>2024-10-1</v>
      </c>
      <c r="G349" t="str">
        <f t="shared" si="25"/>
        <v>POENATELA</v>
      </c>
      <c r="H349" t="str">
        <f t="shared" si="26"/>
        <v>UBERTEC SERVICE USINAGEM LTDA EPP</v>
      </c>
      <c r="I349">
        <f t="shared" si="27"/>
        <v>0</v>
      </c>
      <c r="J349">
        <f t="shared" si="28"/>
        <v>1</v>
      </c>
    </row>
    <row r="350" spans="1:10" x14ac:dyDescent="0.25">
      <c r="A350" t="s">
        <v>416</v>
      </c>
      <c r="B350" t="s">
        <v>165</v>
      </c>
      <c r="C350" t="s">
        <v>56</v>
      </c>
      <c r="D350" s="3">
        <v>45574</v>
      </c>
      <c r="E350" t="str">
        <f>VLOOKUP(B350,'PROCV GERENTES BD'!A:B,2,0)</f>
        <v>PRISCILA METZ</v>
      </c>
      <c r="F350" s="4" t="str">
        <f t="shared" si="29"/>
        <v>2024-10-1</v>
      </c>
      <c r="G350" t="str">
        <f t="shared" si="25"/>
        <v>PRISCILA METZ</v>
      </c>
      <c r="H350" t="str">
        <f t="shared" si="26"/>
        <v>37 054 821 LARISSA GONTIJO AZEVEDO ME</v>
      </c>
      <c r="I350">
        <f t="shared" si="27"/>
        <v>0</v>
      </c>
      <c r="J350">
        <f t="shared" si="28"/>
        <v>1</v>
      </c>
    </row>
    <row r="351" spans="1:10" x14ac:dyDescent="0.25">
      <c r="A351" t="s">
        <v>361</v>
      </c>
      <c r="B351" t="s">
        <v>103</v>
      </c>
      <c r="C351" t="s">
        <v>56</v>
      </c>
      <c r="D351" s="3">
        <v>45574</v>
      </c>
      <c r="E351" t="str">
        <f>VLOOKUP(B351,'PROCV GERENTES BD'!A:B,2,0)</f>
        <v>PRISCILA METZ</v>
      </c>
      <c r="F351" s="4" t="str">
        <f t="shared" si="29"/>
        <v>2024-10-1</v>
      </c>
      <c r="G351" t="str">
        <f t="shared" si="25"/>
        <v>PRISCILA METZ</v>
      </c>
      <c r="H351" t="str">
        <f t="shared" si="26"/>
        <v>ESSENZA INDUSTRIA QUIMICA LTDA</v>
      </c>
      <c r="I351">
        <f t="shared" si="27"/>
        <v>0</v>
      </c>
      <c r="J351">
        <f t="shared" si="28"/>
        <v>1</v>
      </c>
    </row>
    <row r="352" spans="1:10" x14ac:dyDescent="0.25">
      <c r="A352" t="s">
        <v>417</v>
      </c>
      <c r="B352" t="s">
        <v>166</v>
      </c>
      <c r="C352" t="s">
        <v>56</v>
      </c>
      <c r="D352" s="3">
        <v>45574</v>
      </c>
      <c r="E352" t="str">
        <f>VLOOKUP(B352,'PROCV GERENTES BD'!A:B,2,0)</f>
        <v>RAFAEL PARISE</v>
      </c>
      <c r="F352" s="4" t="str">
        <f t="shared" si="29"/>
        <v>2024-10-1</v>
      </c>
      <c r="G352" t="str">
        <f t="shared" si="25"/>
        <v>RAFAEL PARISE</v>
      </c>
      <c r="H352" t="str">
        <f t="shared" si="26"/>
        <v>OXIGAS RESIDUOS ESPECIAIS LTDA EPP</v>
      </c>
      <c r="I352">
        <f t="shared" si="27"/>
        <v>0</v>
      </c>
      <c r="J352">
        <f t="shared" si="28"/>
        <v>1</v>
      </c>
    </row>
    <row r="353" spans="1:10" x14ac:dyDescent="0.25">
      <c r="A353" t="s">
        <v>333</v>
      </c>
      <c r="B353" t="s">
        <v>129</v>
      </c>
      <c r="C353" t="s">
        <v>56</v>
      </c>
      <c r="D353" s="3">
        <v>45574</v>
      </c>
      <c r="E353" t="s">
        <v>25</v>
      </c>
      <c r="F353" s="4" t="str">
        <f t="shared" si="29"/>
        <v>2024-10-1</v>
      </c>
      <c r="G353" t="str">
        <f t="shared" si="25"/>
        <v xml:space="preserve">ROGERIO </v>
      </c>
      <c r="H353" t="str">
        <f t="shared" si="26"/>
        <v>BIBE PRODUTOS INFANTIS LTDA</v>
      </c>
      <c r="I353">
        <f t="shared" si="27"/>
        <v>0</v>
      </c>
      <c r="J353">
        <f t="shared" si="28"/>
        <v>1</v>
      </c>
    </row>
    <row r="354" spans="1:10" x14ac:dyDescent="0.25">
      <c r="A354" t="s">
        <v>414</v>
      </c>
      <c r="B354" t="s">
        <v>163</v>
      </c>
      <c r="C354" t="s">
        <v>72</v>
      </c>
      <c r="D354" s="3">
        <v>45575</v>
      </c>
      <c r="E354" t="str">
        <f>VLOOKUP(B354,'PROCV GERENTES BD'!A:B,2,0)</f>
        <v>ADMINISTRAÇÃO</v>
      </c>
      <c r="F354" s="4" t="str">
        <f t="shared" si="29"/>
        <v>2024-10-1</v>
      </c>
      <c r="G354" t="str">
        <f t="shared" si="25"/>
        <v>ADMINISTRAÇÃO</v>
      </c>
      <c r="H354" t="str">
        <f t="shared" si="26"/>
        <v>RIMAG COMERCIO ATACADISTA DE ALIMENTOS IMPORTACAO</v>
      </c>
      <c r="I354">
        <f t="shared" si="27"/>
        <v>1</v>
      </c>
      <c r="J354">
        <f t="shared" si="28"/>
        <v>0</v>
      </c>
    </row>
    <row r="355" spans="1:10" x14ac:dyDescent="0.25">
      <c r="A355" t="s">
        <v>326</v>
      </c>
      <c r="B355" t="s">
        <v>86</v>
      </c>
      <c r="C355" t="s">
        <v>59</v>
      </c>
      <c r="D355" s="3">
        <v>45575</v>
      </c>
      <c r="E355" t="str">
        <f>VLOOKUP(B355,'PROCV GERENTES BD'!A:B,2,0)</f>
        <v>CELIO PIMENTA</v>
      </c>
      <c r="F355" s="4" t="str">
        <f t="shared" si="29"/>
        <v>2024-10-1</v>
      </c>
      <c r="G355" t="str">
        <f t="shared" si="25"/>
        <v>CELIO PIMENTA</v>
      </c>
      <c r="H355" t="str">
        <f t="shared" si="26"/>
        <v>IMPORTEXTIL COMERCIO DE TECIDOS LTDA</v>
      </c>
      <c r="I355">
        <f t="shared" si="27"/>
        <v>0</v>
      </c>
      <c r="J355">
        <f t="shared" si="28"/>
        <v>0</v>
      </c>
    </row>
    <row r="356" spans="1:10" x14ac:dyDescent="0.25">
      <c r="A356" t="s">
        <v>418</v>
      </c>
      <c r="B356" t="s">
        <v>167</v>
      </c>
      <c r="C356" t="s">
        <v>56</v>
      </c>
      <c r="D356" s="3">
        <v>45575</v>
      </c>
      <c r="E356" t="str">
        <f>VLOOKUP(B356,'PROCV GERENTES BD'!A:B,2,0)</f>
        <v>FITZ</v>
      </c>
      <c r="F356" s="4" t="str">
        <f t="shared" si="29"/>
        <v>2024-10-1</v>
      </c>
      <c r="G356" t="str">
        <f t="shared" si="25"/>
        <v>FITZ</v>
      </c>
      <c r="H356" t="str">
        <f t="shared" si="26"/>
        <v>ESCUDO ADMINISTRACAO E SERVICOS LTDA EM RECUPERACA</v>
      </c>
      <c r="I356">
        <f t="shared" si="27"/>
        <v>0</v>
      </c>
      <c r="J356">
        <f t="shared" si="28"/>
        <v>1</v>
      </c>
    </row>
    <row r="357" spans="1:10" x14ac:dyDescent="0.25">
      <c r="A357" t="s">
        <v>419</v>
      </c>
      <c r="B357" t="s">
        <v>168</v>
      </c>
      <c r="C357" t="s">
        <v>56</v>
      </c>
      <c r="D357" s="3">
        <v>45575</v>
      </c>
      <c r="E357" t="str">
        <f>VLOOKUP(B357,'PROCV GERENTES BD'!A:B,2,0)</f>
        <v>FITZ</v>
      </c>
      <c r="F357" s="4" t="str">
        <f t="shared" si="29"/>
        <v>2024-10-1</v>
      </c>
      <c r="G357" t="str">
        <f t="shared" si="25"/>
        <v>FITZ</v>
      </c>
      <c r="H357" t="str">
        <f t="shared" si="26"/>
        <v>ESCUDO VIGILANCIA E SEGURANCA LTDA EM RECUPERACAO</v>
      </c>
      <c r="I357">
        <f t="shared" si="27"/>
        <v>0</v>
      </c>
      <c r="J357">
        <f t="shared" si="28"/>
        <v>1</v>
      </c>
    </row>
    <row r="358" spans="1:10" x14ac:dyDescent="0.25">
      <c r="A358" t="s">
        <v>420</v>
      </c>
      <c r="B358" t="s">
        <v>169</v>
      </c>
      <c r="C358" t="s">
        <v>56</v>
      </c>
      <c r="D358" s="3">
        <v>45575</v>
      </c>
      <c r="E358" t="str">
        <f>VLOOKUP(B358,'PROCV GERENTES BD'!A:B,2,0)</f>
        <v>FITZ</v>
      </c>
      <c r="F358" s="4" t="str">
        <f t="shared" si="29"/>
        <v>2024-10-1</v>
      </c>
      <c r="G358" t="str">
        <f t="shared" si="25"/>
        <v>FITZ</v>
      </c>
      <c r="H358" t="str">
        <f t="shared" si="26"/>
        <v>MORIA PRESTACAO DE SERVICOS LTDA ME</v>
      </c>
      <c r="I358">
        <f t="shared" si="27"/>
        <v>0</v>
      </c>
      <c r="J358">
        <f t="shared" si="28"/>
        <v>1</v>
      </c>
    </row>
    <row r="359" spans="1:10" x14ac:dyDescent="0.25">
      <c r="A359" t="s">
        <v>354</v>
      </c>
      <c r="B359" t="s">
        <v>97</v>
      </c>
      <c r="C359" t="s">
        <v>72</v>
      </c>
      <c r="D359" s="3">
        <v>45575</v>
      </c>
      <c r="E359" t="str">
        <f>VLOOKUP(B359,'PROCV GERENTES BD'!A:B,2,0)</f>
        <v>POENATELA</v>
      </c>
      <c r="F359" s="4" t="str">
        <f t="shared" si="29"/>
        <v>2024-10-1</v>
      </c>
      <c r="G359" t="str">
        <f t="shared" si="25"/>
        <v>POENATELA</v>
      </c>
      <c r="H359" t="str">
        <f t="shared" si="26"/>
        <v>UBERTEC SERVICE USINAGEM LTDA EPP</v>
      </c>
      <c r="I359">
        <f t="shared" si="27"/>
        <v>1</v>
      </c>
      <c r="J359">
        <f t="shared" si="28"/>
        <v>0</v>
      </c>
    </row>
    <row r="360" spans="1:10" x14ac:dyDescent="0.25">
      <c r="A360" t="s">
        <v>398</v>
      </c>
      <c r="B360" t="s">
        <v>144</v>
      </c>
      <c r="C360" t="s">
        <v>72</v>
      </c>
      <c r="D360" s="3">
        <v>45575</v>
      </c>
      <c r="E360" t="str">
        <f>VLOOKUP(B360,'PROCV GERENTES BD'!A:B,2,0)</f>
        <v>PRISCILA METZ</v>
      </c>
      <c r="F360" s="4" t="str">
        <f t="shared" si="29"/>
        <v>2024-10-1</v>
      </c>
      <c r="G360" t="str">
        <f t="shared" si="25"/>
        <v>PRISCILA METZ</v>
      </c>
      <c r="H360" t="str">
        <f t="shared" si="26"/>
        <v>VLF IMPERIAL LATICINIOS LTDA ME</v>
      </c>
      <c r="I360">
        <f t="shared" si="27"/>
        <v>1</v>
      </c>
      <c r="J360">
        <f t="shared" si="28"/>
        <v>0</v>
      </c>
    </row>
    <row r="361" spans="1:10" x14ac:dyDescent="0.25">
      <c r="A361" t="s">
        <v>413</v>
      </c>
      <c r="B361" t="s">
        <v>162</v>
      </c>
      <c r="C361" t="s">
        <v>72</v>
      </c>
      <c r="D361" s="3">
        <v>45575</v>
      </c>
      <c r="E361" t="str">
        <f>VLOOKUP(B361,'PROCV GERENTES BD'!A:B,2,0)</f>
        <v>RODRIGO VIANNA</v>
      </c>
      <c r="F361" s="4" t="str">
        <f t="shared" si="29"/>
        <v>2024-10-1</v>
      </c>
      <c r="G361" t="str">
        <f t="shared" si="25"/>
        <v>RODRIGO VIANNA</v>
      </c>
      <c r="H361" t="str">
        <f t="shared" si="26"/>
        <v>PARTNER SECURITY SERVICOS DE SEGURANCA LTDA</v>
      </c>
      <c r="I361">
        <f t="shared" si="27"/>
        <v>1</v>
      </c>
      <c r="J361">
        <f t="shared" si="28"/>
        <v>0</v>
      </c>
    </row>
    <row r="362" spans="1:10" x14ac:dyDescent="0.25">
      <c r="A362" t="s">
        <v>421</v>
      </c>
      <c r="B362" t="s">
        <v>170</v>
      </c>
      <c r="C362" t="s">
        <v>335</v>
      </c>
      <c r="D362" s="3">
        <v>45576</v>
      </c>
      <c r="E362" t="str">
        <f>VLOOKUP(B362,'PROCV GERENTES BD'!A:B,2,0)</f>
        <v>CELIO PIMENTA</v>
      </c>
      <c r="F362" s="4" t="str">
        <f t="shared" si="29"/>
        <v>2024-10-1</v>
      </c>
      <c r="G362" t="str">
        <f t="shared" si="25"/>
        <v>CELIO PIMENTA</v>
      </c>
      <c r="H362" t="str">
        <f t="shared" si="26"/>
        <v>TOUROS IMPLEMENTOS LTDA ME</v>
      </c>
      <c r="I362">
        <f t="shared" si="27"/>
        <v>0</v>
      </c>
      <c r="J362">
        <f t="shared" si="28"/>
        <v>0</v>
      </c>
    </row>
    <row r="363" spans="1:10" x14ac:dyDescent="0.25">
      <c r="A363" t="s">
        <v>421</v>
      </c>
      <c r="B363" t="s">
        <v>170</v>
      </c>
      <c r="C363" t="s">
        <v>56</v>
      </c>
      <c r="D363" s="3">
        <f>D362</f>
        <v>45576</v>
      </c>
      <c r="E363" t="str">
        <f>VLOOKUP(B363,'PROCV GERENTES BD'!A:B,2,0)</f>
        <v>CELIO PIMENTA</v>
      </c>
      <c r="F363" s="4" t="str">
        <f t="shared" si="29"/>
        <v>2024-10-1</v>
      </c>
      <c r="G363" t="str">
        <f t="shared" si="25"/>
        <v>CELIO PIMENTA</v>
      </c>
      <c r="H363" t="str">
        <f t="shared" si="26"/>
        <v>TOUROS IMPLEMENTOS LTDA ME</v>
      </c>
      <c r="I363">
        <f t="shared" si="27"/>
        <v>0</v>
      </c>
      <c r="J363">
        <f t="shared" si="28"/>
        <v>1</v>
      </c>
    </row>
    <row r="364" spans="1:10" x14ac:dyDescent="0.25">
      <c r="A364" t="s">
        <v>326</v>
      </c>
      <c r="B364" t="s">
        <v>86</v>
      </c>
      <c r="C364" t="s">
        <v>56</v>
      </c>
      <c r="D364" s="3">
        <v>45577</v>
      </c>
      <c r="E364" t="str">
        <f>VLOOKUP(B364,'PROCV GERENTES BD'!A:B,2,0)</f>
        <v>CELIO PIMENTA</v>
      </c>
      <c r="F364" s="4" t="str">
        <f t="shared" si="29"/>
        <v>2024-10-1</v>
      </c>
      <c r="G364" t="str">
        <f t="shared" si="25"/>
        <v>CELIO PIMENTA</v>
      </c>
      <c r="H364" t="str">
        <f t="shared" si="26"/>
        <v>IMPORTEXTIL COMERCIO DE TECIDOS LTDA</v>
      </c>
      <c r="I364">
        <f t="shared" si="27"/>
        <v>0</v>
      </c>
      <c r="J364">
        <f t="shared" si="28"/>
        <v>1</v>
      </c>
    </row>
    <row r="365" spans="1:10" x14ac:dyDescent="0.25">
      <c r="A365" t="s">
        <v>419</v>
      </c>
      <c r="B365" t="s">
        <v>168</v>
      </c>
      <c r="C365" t="s">
        <v>72</v>
      </c>
      <c r="D365" s="3">
        <v>45577</v>
      </c>
      <c r="E365" t="str">
        <f>VLOOKUP(B365,'PROCV GERENTES BD'!A:B,2,0)</f>
        <v>FITZ</v>
      </c>
      <c r="F365" s="4" t="str">
        <f t="shared" si="29"/>
        <v>2024-10-1</v>
      </c>
      <c r="G365" t="str">
        <f t="shared" si="25"/>
        <v>FITZ</v>
      </c>
      <c r="H365" t="str">
        <f t="shared" si="26"/>
        <v>ESCUDO VIGILANCIA E SEGURANCA LTDA EM RECUPERACAO</v>
      </c>
      <c r="I365">
        <f t="shared" si="27"/>
        <v>1</v>
      </c>
      <c r="J365">
        <f t="shared" si="28"/>
        <v>0</v>
      </c>
    </row>
    <row r="366" spans="1:10" x14ac:dyDescent="0.25">
      <c r="A366" t="s">
        <v>330</v>
      </c>
      <c r="B366" t="s">
        <v>116</v>
      </c>
      <c r="C366" t="s">
        <v>59</v>
      </c>
      <c r="D366" s="3">
        <v>45577</v>
      </c>
      <c r="E366" t="str">
        <f>VLOOKUP(B366,'PROCV GERENTES BD'!A:B,2,0)</f>
        <v>FITZ</v>
      </c>
      <c r="F366" s="4" t="str">
        <f t="shared" si="29"/>
        <v>2024-10-1</v>
      </c>
      <c r="G366" t="str">
        <f t="shared" si="25"/>
        <v>FITZ</v>
      </c>
      <c r="H366" t="str">
        <f t="shared" si="26"/>
        <v>SIAP COMERCIO DE PRODUTOS AGROPECUARIOS LTDA</v>
      </c>
      <c r="I366">
        <f t="shared" si="27"/>
        <v>0</v>
      </c>
      <c r="J366">
        <f t="shared" si="28"/>
        <v>0</v>
      </c>
    </row>
    <row r="367" spans="1:10" x14ac:dyDescent="0.25">
      <c r="A367" t="s">
        <v>348</v>
      </c>
      <c r="B367" t="s">
        <v>92</v>
      </c>
      <c r="C367" t="s">
        <v>56</v>
      </c>
      <c r="D367" s="3">
        <v>45577</v>
      </c>
      <c r="E367" t="str">
        <f>VLOOKUP(B367,'PROCV GERENTES BD'!A:B,2,0)</f>
        <v>NOELI SALETE</v>
      </c>
      <c r="F367" s="4" t="str">
        <f t="shared" si="29"/>
        <v>2024-10-1</v>
      </c>
      <c r="G367" t="str">
        <f t="shared" si="25"/>
        <v>NOELI SALETE</v>
      </c>
      <c r="H367" t="str">
        <f t="shared" si="26"/>
        <v>MEIO OESTE PAPEIS LTDA ME</v>
      </c>
      <c r="I367">
        <f t="shared" si="27"/>
        <v>0</v>
      </c>
      <c r="J367">
        <f t="shared" si="28"/>
        <v>1</v>
      </c>
    </row>
    <row r="368" spans="1:10" x14ac:dyDescent="0.25">
      <c r="A368" t="s">
        <v>415</v>
      </c>
      <c r="B368" t="s">
        <v>164</v>
      </c>
      <c r="C368" t="s">
        <v>72</v>
      </c>
      <c r="D368" s="3">
        <v>45577</v>
      </c>
      <c r="E368" t="str">
        <f>VLOOKUP(B368,'PROCV GERENTES BD'!A:B,2,0)</f>
        <v>NOELI SALETE</v>
      </c>
      <c r="F368" s="4" t="str">
        <f t="shared" si="29"/>
        <v>2024-10-1</v>
      </c>
      <c r="G368" t="str">
        <f t="shared" si="25"/>
        <v>NOELI SALETE</v>
      </c>
      <c r="H368" t="str">
        <f t="shared" si="26"/>
        <v>SGAMAQ INOVACAO AGROINDUSTRIAL LTDA</v>
      </c>
      <c r="I368">
        <f t="shared" si="27"/>
        <v>1</v>
      </c>
      <c r="J368">
        <f t="shared" si="28"/>
        <v>0</v>
      </c>
    </row>
    <row r="369" spans="1:10" x14ac:dyDescent="0.25">
      <c r="A369" t="s">
        <v>384</v>
      </c>
      <c r="B369" t="s">
        <v>128</v>
      </c>
      <c r="C369" t="s">
        <v>56</v>
      </c>
      <c r="D369" s="3">
        <v>45577</v>
      </c>
      <c r="E369" t="str">
        <f>VLOOKUP(B369,'PROCV GERENTES BD'!A:B,2,0)</f>
        <v>PRISCILA METZ</v>
      </c>
      <c r="F369" s="4" t="str">
        <f t="shared" si="29"/>
        <v>2024-10-1</v>
      </c>
      <c r="G369" t="str">
        <f t="shared" si="25"/>
        <v>PRISCILA METZ</v>
      </c>
      <c r="H369" t="str">
        <f t="shared" si="26"/>
        <v>NOVA DISTRIBUIDORA E ATACADO DE LIMPEZA LTDA</v>
      </c>
      <c r="I369">
        <f t="shared" si="27"/>
        <v>0</v>
      </c>
      <c r="J369">
        <f t="shared" si="28"/>
        <v>1</v>
      </c>
    </row>
    <row r="370" spans="1:10" x14ac:dyDescent="0.25">
      <c r="A370" t="s">
        <v>321</v>
      </c>
      <c r="B370" t="s">
        <v>104</v>
      </c>
      <c r="C370" t="s">
        <v>72</v>
      </c>
      <c r="D370" s="3">
        <v>45577</v>
      </c>
      <c r="E370" t="str">
        <f>VLOOKUP(B370,'PROCV GERENTES BD'!A:B,2,0)</f>
        <v>THAYNA/COMERCIAL</v>
      </c>
      <c r="F370" s="4" t="str">
        <f t="shared" si="29"/>
        <v>2024-10-1</v>
      </c>
      <c r="G370" t="str">
        <f t="shared" si="25"/>
        <v>THAYNA/COMERCIAL</v>
      </c>
      <c r="H370" t="str">
        <f t="shared" si="26"/>
        <v>MUTCD CENTRO DISTRIBUICAO IND FABRICANTE COSMETICO</v>
      </c>
      <c r="I370">
        <f t="shared" si="27"/>
        <v>1</v>
      </c>
      <c r="J370">
        <f t="shared" si="28"/>
        <v>0</v>
      </c>
    </row>
    <row r="371" spans="1:10" x14ac:dyDescent="0.25">
      <c r="A371" t="s">
        <v>422</v>
      </c>
      <c r="B371" t="s">
        <v>171</v>
      </c>
      <c r="C371" t="s">
        <v>56</v>
      </c>
      <c r="D371" s="3">
        <v>45580</v>
      </c>
      <c r="E371" t="str">
        <f>VLOOKUP(B371,'PROCV GERENTES BD'!A:B,2,0)</f>
        <v>ADMINISTRAÇÃO</v>
      </c>
      <c r="F371" s="4" t="str">
        <f t="shared" si="29"/>
        <v>2024-10-1</v>
      </c>
      <c r="G371" t="str">
        <f t="shared" si="25"/>
        <v>ADMINISTRAÇÃO</v>
      </c>
      <c r="H371" t="str">
        <f t="shared" si="26"/>
        <v>PROSPER MINERACAO S/A</v>
      </c>
      <c r="I371">
        <f t="shared" si="27"/>
        <v>0</v>
      </c>
      <c r="J371">
        <f t="shared" si="28"/>
        <v>1</v>
      </c>
    </row>
    <row r="372" spans="1:10" x14ac:dyDescent="0.25">
      <c r="A372" t="s">
        <v>380</v>
      </c>
      <c r="B372" t="s">
        <v>123</v>
      </c>
      <c r="C372" t="s">
        <v>56</v>
      </c>
      <c r="D372" s="3">
        <v>45580</v>
      </c>
      <c r="E372" t="str">
        <f>VLOOKUP(B372,'PROCV GERENTES BD'!A:B,2,0)</f>
        <v>ANTONIO CARLOS</v>
      </c>
      <c r="F372" s="4" t="str">
        <f t="shared" si="29"/>
        <v>2024-10-1</v>
      </c>
      <c r="G372" t="str">
        <f t="shared" si="25"/>
        <v>ANTONIO CARLOS</v>
      </c>
      <c r="H372" t="str">
        <f t="shared" si="26"/>
        <v>PREMOLDADOS MATOSINHOS LTDA EPP</v>
      </c>
      <c r="I372">
        <f t="shared" si="27"/>
        <v>0</v>
      </c>
      <c r="J372">
        <f t="shared" si="28"/>
        <v>1</v>
      </c>
    </row>
    <row r="373" spans="1:10" x14ac:dyDescent="0.25">
      <c r="A373" t="s">
        <v>326</v>
      </c>
      <c r="B373" t="s">
        <v>86</v>
      </c>
      <c r="C373" t="s">
        <v>56</v>
      </c>
      <c r="D373" s="3">
        <v>45580</v>
      </c>
      <c r="E373" t="str">
        <f>VLOOKUP(B373,'PROCV GERENTES BD'!A:B,2,0)</f>
        <v>CELIO PIMENTA</v>
      </c>
      <c r="F373" s="4" t="str">
        <f t="shared" si="29"/>
        <v>2024-10-1</v>
      </c>
      <c r="G373" t="str">
        <f t="shared" si="25"/>
        <v>CELIO PIMENTA</v>
      </c>
      <c r="H373" t="str">
        <f t="shared" si="26"/>
        <v>IMPORTEXTIL COMERCIO DE TECIDOS LTDA</v>
      </c>
      <c r="I373">
        <f t="shared" si="27"/>
        <v>0</v>
      </c>
      <c r="J373">
        <f t="shared" si="28"/>
        <v>1</v>
      </c>
    </row>
    <row r="374" spans="1:10" x14ac:dyDescent="0.25">
      <c r="A374" t="s">
        <v>318</v>
      </c>
      <c r="B374" t="s">
        <v>87</v>
      </c>
      <c r="C374" t="s">
        <v>56</v>
      </c>
      <c r="D374" s="3">
        <v>45580</v>
      </c>
      <c r="E374" t="str">
        <f>VLOOKUP(B374,'PROCV GERENTES BD'!A:B,2,0)</f>
        <v>CELIO PIMENTA</v>
      </c>
      <c r="F374" s="4" t="str">
        <f t="shared" si="29"/>
        <v>2024-10-1</v>
      </c>
      <c r="G374" t="str">
        <f t="shared" si="25"/>
        <v>CELIO PIMENTA</v>
      </c>
      <c r="H374" t="str">
        <f t="shared" si="26"/>
        <v>MBIOLOG DIAGNOSTICOS LTDA</v>
      </c>
      <c r="I374">
        <f t="shared" si="27"/>
        <v>0</v>
      </c>
      <c r="J374">
        <f t="shared" si="28"/>
        <v>1</v>
      </c>
    </row>
    <row r="375" spans="1:10" x14ac:dyDescent="0.25">
      <c r="A375" t="s">
        <v>423</v>
      </c>
      <c r="B375" t="s">
        <v>172</v>
      </c>
      <c r="C375" t="s">
        <v>56</v>
      </c>
      <c r="D375" s="3">
        <v>45580</v>
      </c>
      <c r="E375" t="str">
        <f>VLOOKUP(B375,'PROCV GERENTES BD'!A:B,2,0)</f>
        <v>FITZ</v>
      </c>
      <c r="F375" s="4" t="str">
        <f t="shared" si="29"/>
        <v>2024-10-1</v>
      </c>
      <c r="G375" t="str">
        <f t="shared" si="25"/>
        <v>FITZ</v>
      </c>
      <c r="H375" t="str">
        <f t="shared" si="26"/>
        <v>STA SERVICOS LTDA</v>
      </c>
      <c r="I375">
        <f t="shared" si="27"/>
        <v>0</v>
      </c>
      <c r="J375">
        <f t="shared" si="28"/>
        <v>1</v>
      </c>
    </row>
    <row r="376" spans="1:10" x14ac:dyDescent="0.25">
      <c r="A376" t="s">
        <v>331</v>
      </c>
      <c r="B376" t="s">
        <v>126</v>
      </c>
      <c r="C376" t="s">
        <v>56</v>
      </c>
      <c r="D376" s="3">
        <v>45580</v>
      </c>
      <c r="E376" t="str">
        <f>VLOOKUP(B376,'PROCV GERENTES BD'!A:B,2,0)</f>
        <v>FITZ</v>
      </c>
      <c r="F376" s="4" t="str">
        <f t="shared" si="29"/>
        <v>2024-10-1</v>
      </c>
      <c r="G376" t="str">
        <f t="shared" si="25"/>
        <v>FITZ</v>
      </c>
      <c r="H376" t="str">
        <f t="shared" si="26"/>
        <v>TRANSHENRY TRANSPORTES LTDA</v>
      </c>
      <c r="I376">
        <f t="shared" si="27"/>
        <v>0</v>
      </c>
      <c r="J376">
        <f t="shared" si="28"/>
        <v>1</v>
      </c>
    </row>
    <row r="377" spans="1:10" x14ac:dyDescent="0.25">
      <c r="A377" t="s">
        <v>330</v>
      </c>
      <c r="B377" t="s">
        <v>116</v>
      </c>
      <c r="C377" t="s">
        <v>72</v>
      </c>
      <c r="D377" s="3">
        <v>45580</v>
      </c>
      <c r="E377" t="str">
        <f>VLOOKUP(B377,'PROCV GERENTES BD'!A:B,2,0)</f>
        <v>FITZ</v>
      </c>
      <c r="F377" s="4" t="str">
        <f t="shared" si="29"/>
        <v>2024-10-1</v>
      </c>
      <c r="G377" t="str">
        <f t="shared" si="25"/>
        <v>FITZ</v>
      </c>
      <c r="H377" t="str">
        <f t="shared" si="26"/>
        <v>SIAP COMERCIO DE PRODUTOS AGROPECUARIOS LTDA</v>
      </c>
      <c r="I377">
        <f t="shared" si="27"/>
        <v>1</v>
      </c>
      <c r="J377">
        <f t="shared" si="28"/>
        <v>0</v>
      </c>
    </row>
    <row r="378" spans="1:10" x14ac:dyDescent="0.25">
      <c r="A378" t="s">
        <v>341</v>
      </c>
      <c r="B378" t="s">
        <v>88</v>
      </c>
      <c r="C378" t="s">
        <v>56</v>
      </c>
      <c r="D378" s="3">
        <v>45580</v>
      </c>
      <c r="E378" t="str">
        <f>VLOOKUP(B378,'PROCV GERENTES BD'!A:B,2,0)</f>
        <v>LUIS GUSTAVO</v>
      </c>
      <c r="F378" s="4" t="str">
        <f t="shared" si="29"/>
        <v>2024-10-1</v>
      </c>
      <c r="G378" t="str">
        <f t="shared" si="25"/>
        <v>LUIS GUSTAVO</v>
      </c>
      <c r="H378" t="str">
        <f t="shared" si="26"/>
        <v>BETMIX CONCRETO LTDA</v>
      </c>
      <c r="I378">
        <f t="shared" si="27"/>
        <v>0</v>
      </c>
      <c r="J378">
        <f t="shared" si="28"/>
        <v>1</v>
      </c>
    </row>
    <row r="379" spans="1:10" x14ac:dyDescent="0.25">
      <c r="A379" t="s">
        <v>347</v>
      </c>
      <c r="B379" t="s">
        <v>93</v>
      </c>
      <c r="C379" t="s">
        <v>56</v>
      </c>
      <c r="D379" s="3">
        <v>45580</v>
      </c>
      <c r="E379" t="str">
        <f>VLOOKUP(B379,'PROCV GERENTES BD'!A:B,2,0)</f>
        <v>NOELI SALETE</v>
      </c>
      <c r="F379" s="4" t="str">
        <f t="shared" si="29"/>
        <v>2024-10-1</v>
      </c>
      <c r="G379" t="str">
        <f t="shared" si="25"/>
        <v>NOELI SALETE</v>
      </c>
      <c r="H379" t="str">
        <f t="shared" si="26"/>
        <v>RODOBOX TRANSPORTES E ARMAZENAGEM DE CARGAS LTDA</v>
      </c>
      <c r="I379">
        <f t="shared" si="27"/>
        <v>0</v>
      </c>
      <c r="J379">
        <f t="shared" si="28"/>
        <v>1</v>
      </c>
    </row>
    <row r="380" spans="1:10" x14ac:dyDescent="0.25">
      <c r="A380" t="s">
        <v>348</v>
      </c>
      <c r="B380" t="s">
        <v>92</v>
      </c>
      <c r="C380" t="s">
        <v>56</v>
      </c>
      <c r="D380" s="3">
        <v>45580</v>
      </c>
      <c r="E380" t="str">
        <f>VLOOKUP(B380,'PROCV GERENTES BD'!A:B,2,0)</f>
        <v>NOELI SALETE</v>
      </c>
      <c r="F380" s="4" t="str">
        <f t="shared" si="29"/>
        <v>2024-10-1</v>
      </c>
      <c r="G380" t="str">
        <f t="shared" si="25"/>
        <v>NOELI SALETE</v>
      </c>
      <c r="H380" t="str">
        <f t="shared" si="26"/>
        <v>MEIO OESTE PAPEIS LTDA ME</v>
      </c>
      <c r="I380">
        <f t="shared" si="27"/>
        <v>0</v>
      </c>
      <c r="J380">
        <f t="shared" si="28"/>
        <v>1</v>
      </c>
    </row>
    <row r="381" spans="1:10" x14ac:dyDescent="0.25">
      <c r="A381" t="s">
        <v>352</v>
      </c>
      <c r="B381" t="s">
        <v>95</v>
      </c>
      <c r="C381" t="s">
        <v>56</v>
      </c>
      <c r="D381" s="3">
        <v>45580</v>
      </c>
      <c r="E381" t="str">
        <f>VLOOKUP(B381,'PROCV GERENTES BD'!A:B,2,0)</f>
        <v>POENATELA</v>
      </c>
      <c r="F381" s="4" t="str">
        <f t="shared" si="29"/>
        <v>2024-10-1</v>
      </c>
      <c r="G381" t="str">
        <f t="shared" si="25"/>
        <v>POENATELA</v>
      </c>
      <c r="H381" t="str">
        <f t="shared" si="26"/>
        <v>CERVEJARIA SOUZA LTDA</v>
      </c>
      <c r="I381">
        <f t="shared" si="27"/>
        <v>0</v>
      </c>
      <c r="J381">
        <f t="shared" si="28"/>
        <v>1</v>
      </c>
    </row>
    <row r="382" spans="1:10" x14ac:dyDescent="0.25">
      <c r="A382" t="s">
        <v>394</v>
      </c>
      <c r="B382" t="s">
        <v>140</v>
      </c>
      <c r="C382" t="s">
        <v>56</v>
      </c>
      <c r="D382" s="3">
        <v>45580</v>
      </c>
      <c r="E382" t="str">
        <f>VLOOKUP(B382,'PROCV GERENTES BD'!A:B,2,0)</f>
        <v>POENATELA</v>
      </c>
      <c r="F382" s="4" t="str">
        <f t="shared" si="29"/>
        <v>2024-10-1</v>
      </c>
      <c r="G382" t="str">
        <f t="shared" si="25"/>
        <v>POENATELA</v>
      </c>
      <c r="H382" t="str">
        <f t="shared" si="26"/>
        <v>HT SERVICOS DE TRANSPORTE E LOCACAO LTDA</v>
      </c>
      <c r="I382">
        <f t="shared" si="27"/>
        <v>0</v>
      </c>
      <c r="J382">
        <f t="shared" si="28"/>
        <v>1</v>
      </c>
    </row>
    <row r="383" spans="1:10" x14ac:dyDescent="0.25">
      <c r="A383" t="s">
        <v>354</v>
      </c>
      <c r="B383" t="s">
        <v>97</v>
      </c>
      <c r="C383" t="s">
        <v>56</v>
      </c>
      <c r="D383" s="3">
        <v>45580</v>
      </c>
      <c r="E383" t="str">
        <f>VLOOKUP(B383,'PROCV GERENTES BD'!A:B,2,0)</f>
        <v>POENATELA</v>
      </c>
      <c r="F383" s="4" t="str">
        <f t="shared" si="29"/>
        <v>2024-10-1</v>
      </c>
      <c r="G383" t="str">
        <f t="shared" si="25"/>
        <v>POENATELA</v>
      </c>
      <c r="H383" t="str">
        <f t="shared" si="26"/>
        <v>UBERTEC SERVICE USINAGEM LTDA EPP</v>
      </c>
      <c r="I383">
        <f t="shared" si="27"/>
        <v>0</v>
      </c>
      <c r="J383">
        <f t="shared" si="28"/>
        <v>1</v>
      </c>
    </row>
    <row r="384" spans="1:10" x14ac:dyDescent="0.25">
      <c r="A384" t="s">
        <v>384</v>
      </c>
      <c r="B384" t="s">
        <v>128</v>
      </c>
      <c r="C384" t="s">
        <v>56</v>
      </c>
      <c r="D384" s="3">
        <v>45580</v>
      </c>
      <c r="E384" t="str">
        <f>VLOOKUP(B384,'PROCV GERENTES BD'!A:B,2,0)</f>
        <v>PRISCILA METZ</v>
      </c>
      <c r="F384" s="4" t="str">
        <f t="shared" si="29"/>
        <v>2024-10-1</v>
      </c>
      <c r="G384" t="str">
        <f t="shared" si="25"/>
        <v>PRISCILA METZ</v>
      </c>
      <c r="H384" t="str">
        <f t="shared" si="26"/>
        <v>NOVA DISTRIBUIDORA E ATACADO DE LIMPEZA LTDA</v>
      </c>
      <c r="I384">
        <f t="shared" si="27"/>
        <v>0</v>
      </c>
      <c r="J384">
        <f t="shared" si="28"/>
        <v>1</v>
      </c>
    </row>
    <row r="385" spans="1:10" x14ac:dyDescent="0.25">
      <c r="A385" t="s">
        <v>333</v>
      </c>
      <c r="B385" t="s">
        <v>129</v>
      </c>
      <c r="C385" t="s">
        <v>72</v>
      </c>
      <c r="D385" s="3">
        <v>45580</v>
      </c>
      <c r="E385" t="s">
        <v>25</v>
      </c>
      <c r="F385" s="4" t="str">
        <f t="shared" si="29"/>
        <v>2024-10-1</v>
      </c>
      <c r="G385" t="str">
        <f t="shared" si="25"/>
        <v xml:space="preserve">ROGERIO </v>
      </c>
      <c r="H385" t="str">
        <f t="shared" si="26"/>
        <v>BIBE PRODUTOS INFANTIS LTDA</v>
      </c>
      <c r="I385">
        <f t="shared" si="27"/>
        <v>1</v>
      </c>
      <c r="J385">
        <f t="shared" si="28"/>
        <v>0</v>
      </c>
    </row>
    <row r="386" spans="1:10" x14ac:dyDescent="0.25">
      <c r="A386" t="s">
        <v>424</v>
      </c>
      <c r="B386" t="s">
        <v>173</v>
      </c>
      <c r="C386" t="s">
        <v>56</v>
      </c>
      <c r="D386" s="3">
        <v>45580</v>
      </c>
      <c r="E386" t="s">
        <v>25</v>
      </c>
      <c r="F386" s="4" t="str">
        <f t="shared" si="29"/>
        <v>2024-10-1</v>
      </c>
      <c r="G386" t="str">
        <f t="shared" ref="G386:G449" si="30">E386</f>
        <v xml:space="preserve">ROGERIO </v>
      </c>
      <c r="H386" t="str">
        <f t="shared" ref="H386:H449" si="31">B386</f>
        <v>LUCCI ILUMINACAO LTDA EPP</v>
      </c>
      <c r="I386">
        <f t="shared" ref="I386:I449" si="32">IF(C386="EXCLUSAO  ANOT.INADIMPLENCIA",1,0)</f>
        <v>0</v>
      </c>
      <c r="J386">
        <f t="shared" ref="J386:J449" si="33">IF(C386="INCLUSAO  ANOT.INADIMPLENCIA",1,0)</f>
        <v>1</v>
      </c>
    </row>
    <row r="387" spans="1:10" x14ac:dyDescent="0.25">
      <c r="A387" t="s">
        <v>339</v>
      </c>
      <c r="B387" t="s">
        <v>151</v>
      </c>
      <c r="C387" t="s">
        <v>56</v>
      </c>
      <c r="D387" s="3">
        <v>45581</v>
      </c>
      <c r="E387" t="str">
        <f>VLOOKUP(B387,'PROCV GERENTES BD'!A:B,2,0)</f>
        <v>ADMINISTRAÇÃO</v>
      </c>
      <c r="F387" s="4" t="str">
        <f t="shared" ref="F387:F450" si="34">YEAR(D387)&amp;"-"&amp;TEXT(MONTH(D387),"00")&amp;"-"&amp;IF(DAY(D387)&lt;=15,"1",IF(DAY(D387)&gt;15,"2",""))</f>
        <v>2024-10-2</v>
      </c>
      <c r="G387" t="str">
        <f t="shared" si="30"/>
        <v>ADMINISTRAÇÃO</v>
      </c>
      <c r="H387" t="str">
        <f t="shared" si="31"/>
        <v>BOM PASTOR PAPEIS LTDA EM RECUPERACAO JUDICIAL</v>
      </c>
      <c r="I387">
        <f t="shared" si="32"/>
        <v>0</v>
      </c>
      <c r="J387">
        <f t="shared" si="33"/>
        <v>1</v>
      </c>
    </row>
    <row r="388" spans="1:10" x14ac:dyDescent="0.25">
      <c r="A388" t="s">
        <v>326</v>
      </c>
      <c r="B388" t="s">
        <v>86</v>
      </c>
      <c r="C388" t="s">
        <v>59</v>
      </c>
      <c r="D388" s="3">
        <v>45581</v>
      </c>
      <c r="E388" t="str">
        <f>VLOOKUP(B388,'PROCV GERENTES BD'!A:B,2,0)</f>
        <v>CELIO PIMENTA</v>
      </c>
      <c r="F388" s="4" t="str">
        <f t="shared" si="34"/>
        <v>2024-10-2</v>
      </c>
      <c r="G388" t="str">
        <f t="shared" si="30"/>
        <v>CELIO PIMENTA</v>
      </c>
      <c r="H388" t="str">
        <f t="shared" si="31"/>
        <v>IMPORTEXTIL COMERCIO DE TECIDOS LTDA</v>
      </c>
      <c r="I388">
        <f t="shared" si="32"/>
        <v>0</v>
      </c>
      <c r="J388">
        <f t="shared" si="33"/>
        <v>0</v>
      </c>
    </row>
    <row r="389" spans="1:10" x14ac:dyDescent="0.25">
      <c r="A389" t="s">
        <v>60</v>
      </c>
      <c r="B389" t="s">
        <v>61</v>
      </c>
      <c r="C389" t="s">
        <v>56</v>
      </c>
      <c r="D389" s="3">
        <v>45581</v>
      </c>
      <c r="E389" t="str">
        <f>VLOOKUP(B389,'PROCV GERENTES BD'!A:B,2,0)</f>
        <v>CELIO PIMENTA</v>
      </c>
      <c r="F389" s="4" t="str">
        <f t="shared" si="34"/>
        <v>2024-10-2</v>
      </c>
      <c r="G389" t="str">
        <f t="shared" si="30"/>
        <v>CELIO PIMENTA</v>
      </c>
      <c r="H389" t="str">
        <f t="shared" si="31"/>
        <v>WJ CALDEIRARIA INDUSTRIA E COMERCIO LTDA ME</v>
      </c>
      <c r="I389">
        <f t="shared" si="32"/>
        <v>0</v>
      </c>
      <c r="J389">
        <f t="shared" si="33"/>
        <v>1</v>
      </c>
    </row>
    <row r="390" spans="1:10" x14ac:dyDescent="0.25">
      <c r="A390" t="s">
        <v>330</v>
      </c>
      <c r="B390" t="s">
        <v>116</v>
      </c>
      <c r="C390" t="s">
        <v>72</v>
      </c>
      <c r="D390" s="3">
        <v>45581</v>
      </c>
      <c r="E390" t="str">
        <f>VLOOKUP(B390,'PROCV GERENTES BD'!A:B,2,0)</f>
        <v>FITZ</v>
      </c>
      <c r="F390" s="4" t="str">
        <f t="shared" si="34"/>
        <v>2024-10-2</v>
      </c>
      <c r="G390" t="str">
        <f t="shared" si="30"/>
        <v>FITZ</v>
      </c>
      <c r="H390" t="str">
        <f t="shared" si="31"/>
        <v>SIAP COMERCIO DE PRODUTOS AGROPECUARIOS LTDA</v>
      </c>
      <c r="I390">
        <f t="shared" si="32"/>
        <v>1</v>
      </c>
      <c r="J390">
        <f t="shared" si="33"/>
        <v>0</v>
      </c>
    </row>
    <row r="391" spans="1:10" x14ac:dyDescent="0.25">
      <c r="A391" t="s">
        <v>347</v>
      </c>
      <c r="B391" t="s">
        <v>93</v>
      </c>
      <c r="C391" t="s">
        <v>56</v>
      </c>
      <c r="D391" s="3">
        <v>45581</v>
      </c>
      <c r="E391" t="str">
        <f>VLOOKUP(B391,'PROCV GERENTES BD'!A:B,2,0)</f>
        <v>NOELI SALETE</v>
      </c>
      <c r="F391" s="4" t="str">
        <f t="shared" si="34"/>
        <v>2024-10-2</v>
      </c>
      <c r="G391" t="str">
        <f t="shared" si="30"/>
        <v>NOELI SALETE</v>
      </c>
      <c r="H391" t="str">
        <f t="shared" si="31"/>
        <v>RODOBOX TRANSPORTES E ARMAZENAGEM DE CARGAS LTDA</v>
      </c>
      <c r="I391">
        <f t="shared" si="32"/>
        <v>0</v>
      </c>
      <c r="J391">
        <f t="shared" si="33"/>
        <v>1</v>
      </c>
    </row>
    <row r="392" spans="1:10" x14ac:dyDescent="0.25">
      <c r="A392" t="s">
        <v>348</v>
      </c>
      <c r="B392" t="s">
        <v>92</v>
      </c>
      <c r="C392" t="s">
        <v>72</v>
      </c>
      <c r="D392" s="3">
        <v>45581</v>
      </c>
      <c r="E392" t="str">
        <f>VLOOKUP(B392,'PROCV GERENTES BD'!A:B,2,0)</f>
        <v>NOELI SALETE</v>
      </c>
      <c r="F392" s="4" t="str">
        <f t="shared" si="34"/>
        <v>2024-10-2</v>
      </c>
      <c r="G392" t="str">
        <f t="shared" si="30"/>
        <v>NOELI SALETE</v>
      </c>
      <c r="H392" t="str">
        <f t="shared" si="31"/>
        <v>MEIO OESTE PAPEIS LTDA ME</v>
      </c>
      <c r="I392">
        <f t="shared" si="32"/>
        <v>1</v>
      </c>
      <c r="J392">
        <f t="shared" si="33"/>
        <v>0</v>
      </c>
    </row>
    <row r="393" spans="1:10" x14ac:dyDescent="0.25">
      <c r="A393" t="s">
        <v>415</v>
      </c>
      <c r="B393" t="s">
        <v>164</v>
      </c>
      <c r="C393" t="s">
        <v>72</v>
      </c>
      <c r="D393" s="3">
        <v>45581</v>
      </c>
      <c r="E393" t="str">
        <f>VLOOKUP(B393,'PROCV GERENTES BD'!A:B,2,0)</f>
        <v>NOELI SALETE</v>
      </c>
      <c r="F393" s="4" t="str">
        <f t="shared" si="34"/>
        <v>2024-10-2</v>
      </c>
      <c r="G393" t="str">
        <f t="shared" si="30"/>
        <v>NOELI SALETE</v>
      </c>
      <c r="H393" t="str">
        <f t="shared" si="31"/>
        <v>SGAMAQ INOVACAO AGROINDUSTRIAL LTDA</v>
      </c>
      <c r="I393">
        <f t="shared" si="32"/>
        <v>1</v>
      </c>
      <c r="J393">
        <f t="shared" si="33"/>
        <v>0</v>
      </c>
    </row>
    <row r="394" spans="1:10" x14ac:dyDescent="0.25">
      <c r="A394" t="s">
        <v>425</v>
      </c>
      <c r="B394" t="s">
        <v>174</v>
      </c>
      <c r="C394" t="s">
        <v>335</v>
      </c>
      <c r="D394" s="3">
        <v>45581</v>
      </c>
      <c r="E394" t="str">
        <f>VLOOKUP(B394,'PROCV GERENTES BD'!A:B,2,0)</f>
        <v>POENATELA</v>
      </c>
      <c r="F394" s="4" t="str">
        <f t="shared" si="34"/>
        <v>2024-10-2</v>
      </c>
      <c r="G394" t="str">
        <f t="shared" si="30"/>
        <v>POENATELA</v>
      </c>
      <c r="H394" t="str">
        <f t="shared" si="31"/>
        <v>DETRONIC ENERGIA E SERVICOS LTDA</v>
      </c>
      <c r="I394">
        <f t="shared" si="32"/>
        <v>0</v>
      </c>
      <c r="J394">
        <f t="shared" si="33"/>
        <v>0</v>
      </c>
    </row>
    <row r="395" spans="1:10" x14ac:dyDescent="0.25">
      <c r="A395" t="s">
        <v>354</v>
      </c>
      <c r="B395" t="s">
        <v>97</v>
      </c>
      <c r="C395" t="s">
        <v>56</v>
      </c>
      <c r="D395" s="3">
        <v>45581</v>
      </c>
      <c r="E395" t="str">
        <f>VLOOKUP(B395,'PROCV GERENTES BD'!A:B,2,0)</f>
        <v>POENATELA</v>
      </c>
      <c r="F395" s="4" t="str">
        <f t="shared" si="34"/>
        <v>2024-10-2</v>
      </c>
      <c r="G395" t="str">
        <f t="shared" si="30"/>
        <v>POENATELA</v>
      </c>
      <c r="H395" t="str">
        <f t="shared" si="31"/>
        <v>UBERTEC SERVICE USINAGEM LTDA EPP</v>
      </c>
      <c r="I395">
        <f t="shared" si="32"/>
        <v>0</v>
      </c>
      <c r="J395">
        <f t="shared" si="33"/>
        <v>1</v>
      </c>
    </row>
    <row r="396" spans="1:10" x14ac:dyDescent="0.25">
      <c r="A396" t="s">
        <v>384</v>
      </c>
      <c r="B396" t="s">
        <v>128</v>
      </c>
      <c r="C396" t="s">
        <v>56</v>
      </c>
      <c r="D396" s="3">
        <v>45581</v>
      </c>
      <c r="E396" t="str">
        <f>VLOOKUP(B396,'PROCV GERENTES BD'!A:B,2,0)</f>
        <v>PRISCILA METZ</v>
      </c>
      <c r="F396" s="4" t="str">
        <f t="shared" si="34"/>
        <v>2024-10-2</v>
      </c>
      <c r="G396" t="str">
        <f t="shared" si="30"/>
        <v>PRISCILA METZ</v>
      </c>
      <c r="H396" t="str">
        <f t="shared" si="31"/>
        <v>NOVA DISTRIBUIDORA E ATACADO DE LIMPEZA LTDA</v>
      </c>
      <c r="I396">
        <f t="shared" si="32"/>
        <v>0</v>
      </c>
      <c r="J396">
        <f t="shared" si="33"/>
        <v>1</v>
      </c>
    </row>
    <row r="397" spans="1:10" x14ac:dyDescent="0.25">
      <c r="A397" t="s">
        <v>417</v>
      </c>
      <c r="B397" t="s">
        <v>166</v>
      </c>
      <c r="C397" t="s">
        <v>56</v>
      </c>
      <c r="D397" s="3">
        <v>45581</v>
      </c>
      <c r="E397" t="str">
        <f>VLOOKUP(B397,'PROCV GERENTES BD'!A:B,2,0)</f>
        <v>RAFAEL PARISE</v>
      </c>
      <c r="F397" s="4" t="str">
        <f t="shared" si="34"/>
        <v>2024-10-2</v>
      </c>
      <c r="G397" t="str">
        <f t="shared" si="30"/>
        <v>RAFAEL PARISE</v>
      </c>
      <c r="H397" t="str">
        <f t="shared" si="31"/>
        <v>OXIGAS RESIDUOS ESPECIAIS LTDA EPP</v>
      </c>
      <c r="I397">
        <f t="shared" si="32"/>
        <v>0</v>
      </c>
      <c r="J397">
        <f t="shared" si="33"/>
        <v>1</v>
      </c>
    </row>
    <row r="398" spans="1:10" x14ac:dyDescent="0.25">
      <c r="A398" t="s">
        <v>376</v>
      </c>
      <c r="B398" t="s">
        <v>118</v>
      </c>
      <c r="C398" t="s">
        <v>56</v>
      </c>
      <c r="D398" s="3">
        <v>45582</v>
      </c>
      <c r="E398" t="str">
        <f>VLOOKUP(B398,'PROCV GERENTES BD'!A:B,2,0)</f>
        <v>ADMINISTRAÇÃO</v>
      </c>
      <c r="F398" s="4" t="str">
        <f t="shared" si="34"/>
        <v>2024-10-2</v>
      </c>
      <c r="G398" t="str">
        <f t="shared" si="30"/>
        <v>ADMINISTRAÇÃO</v>
      </c>
      <c r="H398" t="str">
        <f t="shared" si="31"/>
        <v>ARTECAL ELETROCENTROS S/A</v>
      </c>
      <c r="I398">
        <f t="shared" si="32"/>
        <v>0</v>
      </c>
      <c r="J398">
        <f t="shared" si="33"/>
        <v>1</v>
      </c>
    </row>
    <row r="399" spans="1:10" x14ac:dyDescent="0.25">
      <c r="A399" t="s">
        <v>326</v>
      </c>
      <c r="B399" t="s">
        <v>86</v>
      </c>
      <c r="C399" t="s">
        <v>59</v>
      </c>
      <c r="D399" s="3">
        <v>45582</v>
      </c>
      <c r="E399" t="str">
        <f>VLOOKUP(B399,'PROCV GERENTES BD'!A:B,2,0)</f>
        <v>CELIO PIMENTA</v>
      </c>
      <c r="F399" s="4" t="str">
        <f t="shared" si="34"/>
        <v>2024-10-2</v>
      </c>
      <c r="G399" t="str">
        <f t="shared" si="30"/>
        <v>CELIO PIMENTA</v>
      </c>
      <c r="H399" t="str">
        <f t="shared" si="31"/>
        <v>IMPORTEXTIL COMERCIO DE TECIDOS LTDA</v>
      </c>
      <c r="I399">
        <f t="shared" si="32"/>
        <v>0</v>
      </c>
      <c r="J399">
        <f t="shared" si="33"/>
        <v>0</v>
      </c>
    </row>
    <row r="400" spans="1:10" x14ac:dyDescent="0.25">
      <c r="A400" t="s">
        <v>60</v>
      </c>
      <c r="B400" t="s">
        <v>61</v>
      </c>
      <c r="C400" t="s">
        <v>56</v>
      </c>
      <c r="D400" s="3">
        <v>45582</v>
      </c>
      <c r="E400" t="str">
        <f>VLOOKUP(B400,'PROCV GERENTES BD'!A:B,2,0)</f>
        <v>CELIO PIMENTA</v>
      </c>
      <c r="F400" s="4" t="str">
        <f t="shared" si="34"/>
        <v>2024-10-2</v>
      </c>
      <c r="G400" t="str">
        <f t="shared" si="30"/>
        <v>CELIO PIMENTA</v>
      </c>
      <c r="H400" t="str">
        <f t="shared" si="31"/>
        <v>WJ CALDEIRARIA INDUSTRIA E COMERCIO LTDA ME</v>
      </c>
      <c r="I400">
        <f t="shared" si="32"/>
        <v>0</v>
      </c>
      <c r="J400">
        <f t="shared" si="33"/>
        <v>1</v>
      </c>
    </row>
    <row r="401" spans="1:10" x14ac:dyDescent="0.25">
      <c r="A401" t="s">
        <v>385</v>
      </c>
      <c r="B401" t="s">
        <v>131</v>
      </c>
      <c r="C401" t="s">
        <v>56</v>
      </c>
      <c r="D401" s="3">
        <v>45582</v>
      </c>
      <c r="E401" t="str">
        <f>VLOOKUP(B401,'PROCV GERENTES BD'!A:B,2,0)</f>
        <v>EDUARDO MATOSO</v>
      </c>
      <c r="F401" s="4" t="str">
        <f t="shared" si="34"/>
        <v>2024-10-2</v>
      </c>
      <c r="G401" t="str">
        <f t="shared" si="30"/>
        <v>EDUARDO MATOSO</v>
      </c>
      <c r="H401" t="str">
        <f t="shared" si="31"/>
        <v>STONE ENGENHARIA E MONTAGENS INDUSTRIAIS LTDA</v>
      </c>
      <c r="I401">
        <f t="shared" si="32"/>
        <v>0</v>
      </c>
      <c r="J401">
        <f t="shared" si="33"/>
        <v>1</v>
      </c>
    </row>
    <row r="402" spans="1:10" x14ac:dyDescent="0.25">
      <c r="A402" t="s">
        <v>367</v>
      </c>
      <c r="B402" t="s">
        <v>112</v>
      </c>
      <c r="C402" t="s">
        <v>56</v>
      </c>
      <c r="D402" s="3">
        <v>45582</v>
      </c>
      <c r="E402" t="str">
        <f>VLOOKUP(B402,'PROCV GERENTES BD'!A:B,2,0)</f>
        <v>FITZ</v>
      </c>
      <c r="F402" s="4" t="str">
        <f t="shared" si="34"/>
        <v>2024-10-2</v>
      </c>
      <c r="G402" t="str">
        <f t="shared" si="30"/>
        <v>FITZ</v>
      </c>
      <c r="H402" t="str">
        <f t="shared" si="31"/>
        <v>ALEXANDRE ROSA VICENTE E SERVICOS LTDA ME</v>
      </c>
      <c r="I402">
        <f t="shared" si="32"/>
        <v>0</v>
      </c>
      <c r="J402">
        <f t="shared" si="33"/>
        <v>1</v>
      </c>
    </row>
    <row r="403" spans="1:10" x14ac:dyDescent="0.25">
      <c r="A403" t="s">
        <v>418</v>
      </c>
      <c r="B403" t="s">
        <v>167</v>
      </c>
      <c r="C403" t="s">
        <v>72</v>
      </c>
      <c r="D403" s="3">
        <v>45582</v>
      </c>
      <c r="E403" t="str">
        <f>VLOOKUP(B403,'PROCV GERENTES BD'!A:B,2,0)</f>
        <v>FITZ</v>
      </c>
      <c r="F403" s="4" t="str">
        <f t="shared" si="34"/>
        <v>2024-10-2</v>
      </c>
      <c r="G403" t="str">
        <f t="shared" si="30"/>
        <v>FITZ</v>
      </c>
      <c r="H403" t="str">
        <f t="shared" si="31"/>
        <v>ESCUDO ADMINISTRACAO E SERVICOS LTDA EM RECUPERACA</v>
      </c>
      <c r="I403">
        <f t="shared" si="32"/>
        <v>1</v>
      </c>
      <c r="J403">
        <f t="shared" si="33"/>
        <v>0</v>
      </c>
    </row>
    <row r="404" spans="1:10" x14ac:dyDescent="0.25">
      <c r="A404" t="s">
        <v>330</v>
      </c>
      <c r="B404" t="s">
        <v>116</v>
      </c>
      <c r="C404" t="s">
        <v>59</v>
      </c>
      <c r="D404" s="3">
        <v>45582</v>
      </c>
      <c r="E404" t="str">
        <f>VLOOKUP(B404,'PROCV GERENTES BD'!A:B,2,0)</f>
        <v>FITZ</v>
      </c>
      <c r="F404" s="4" t="str">
        <f t="shared" si="34"/>
        <v>2024-10-2</v>
      </c>
      <c r="G404" t="str">
        <f t="shared" si="30"/>
        <v>FITZ</v>
      </c>
      <c r="H404" t="str">
        <f t="shared" si="31"/>
        <v>SIAP COMERCIO DE PRODUTOS AGROPECUARIOS LTDA</v>
      </c>
      <c r="I404">
        <f t="shared" si="32"/>
        <v>0</v>
      </c>
      <c r="J404">
        <f t="shared" si="33"/>
        <v>0</v>
      </c>
    </row>
    <row r="405" spans="1:10" x14ac:dyDescent="0.25">
      <c r="A405" t="s">
        <v>392</v>
      </c>
      <c r="B405" t="s">
        <v>138</v>
      </c>
      <c r="C405" t="s">
        <v>56</v>
      </c>
      <c r="D405" s="3">
        <v>45582</v>
      </c>
      <c r="E405" t="str">
        <f>VLOOKUP(B405,'PROCV GERENTES BD'!A:B,2,0)</f>
        <v xml:space="preserve">MARCUS VINICIUS </v>
      </c>
      <c r="F405" s="4" t="str">
        <f t="shared" si="34"/>
        <v>2024-10-2</v>
      </c>
      <c r="G405" t="str">
        <f t="shared" si="30"/>
        <v xml:space="preserve">MARCUS VINICIUS </v>
      </c>
      <c r="H405" t="str">
        <f t="shared" si="31"/>
        <v>PALMILHADO INDUSTRIA E COMERCIO LTDA</v>
      </c>
      <c r="I405">
        <f t="shared" si="32"/>
        <v>0</v>
      </c>
      <c r="J405">
        <f t="shared" si="33"/>
        <v>1</v>
      </c>
    </row>
    <row r="406" spans="1:10" x14ac:dyDescent="0.25">
      <c r="A406" t="s">
        <v>383</v>
      </c>
      <c r="B406" t="s">
        <v>127</v>
      </c>
      <c r="C406" t="s">
        <v>72</v>
      </c>
      <c r="D406" s="3">
        <v>45582</v>
      </c>
      <c r="E406" t="str">
        <f>VLOOKUP(B406,'PROCV GERENTES BD'!A:B,2,0)</f>
        <v>NATALIA NUBIA</v>
      </c>
      <c r="F406" s="4" t="str">
        <f t="shared" si="34"/>
        <v>2024-10-2</v>
      </c>
      <c r="G406" t="str">
        <f t="shared" si="30"/>
        <v>NATALIA NUBIA</v>
      </c>
      <c r="H406" t="str">
        <f t="shared" si="31"/>
        <v>FARINELLI NUTRIMENTOS LTDA</v>
      </c>
      <c r="I406">
        <f t="shared" si="32"/>
        <v>1</v>
      </c>
      <c r="J406">
        <f t="shared" si="33"/>
        <v>0</v>
      </c>
    </row>
    <row r="407" spans="1:10" x14ac:dyDescent="0.25">
      <c r="A407" t="s">
        <v>426</v>
      </c>
      <c r="B407" t="s">
        <v>175</v>
      </c>
      <c r="C407" t="s">
        <v>56</v>
      </c>
      <c r="D407" s="3">
        <v>45582</v>
      </c>
      <c r="E407" t="str">
        <f>VLOOKUP(B407,'PROCV GERENTES BD'!A:B,2,0)</f>
        <v>NATALIA NUBIA</v>
      </c>
      <c r="F407" s="4" t="str">
        <f t="shared" si="34"/>
        <v>2024-10-2</v>
      </c>
      <c r="G407" t="str">
        <f t="shared" si="30"/>
        <v>NATALIA NUBIA</v>
      </c>
      <c r="H407" t="str">
        <f t="shared" si="31"/>
        <v>MAAT COMERCIO DE VESTUARIO LTDA EPP</v>
      </c>
      <c r="I407">
        <f t="shared" si="32"/>
        <v>0</v>
      </c>
      <c r="J407">
        <f t="shared" si="33"/>
        <v>1</v>
      </c>
    </row>
    <row r="408" spans="1:10" x14ac:dyDescent="0.25">
      <c r="A408" t="s">
        <v>427</v>
      </c>
      <c r="B408" t="s">
        <v>176</v>
      </c>
      <c r="C408" t="s">
        <v>56</v>
      </c>
      <c r="D408" s="3">
        <v>45582</v>
      </c>
      <c r="E408" t="str">
        <f>VLOOKUP(B408,'PROCV GERENTES BD'!A:B,2,0)</f>
        <v>NOELI SALETE</v>
      </c>
      <c r="F408" s="4" t="str">
        <f t="shared" si="34"/>
        <v>2024-10-2</v>
      </c>
      <c r="G408" t="str">
        <f t="shared" si="30"/>
        <v>NOELI SALETE</v>
      </c>
      <c r="H408" t="str">
        <f t="shared" si="31"/>
        <v>GLOBAL ACO SERVICOS E PRODUTOS SIDERURGICOS LTDA E</v>
      </c>
      <c r="I408">
        <f t="shared" si="32"/>
        <v>0</v>
      </c>
      <c r="J408">
        <f t="shared" si="33"/>
        <v>1</v>
      </c>
    </row>
    <row r="409" spans="1:10" x14ac:dyDescent="0.25">
      <c r="A409" t="s">
        <v>408</v>
      </c>
      <c r="B409" t="s">
        <v>157</v>
      </c>
      <c r="C409" t="s">
        <v>72</v>
      </c>
      <c r="D409" s="3">
        <v>45582</v>
      </c>
      <c r="E409" t="str">
        <f>VLOOKUP(B409,'PROCV GERENTES BD'!A:B,2,0)</f>
        <v>NOELI SALETE</v>
      </c>
      <c r="F409" s="4" t="str">
        <f t="shared" si="34"/>
        <v>2024-10-2</v>
      </c>
      <c r="G409" t="str">
        <f t="shared" si="30"/>
        <v>NOELI SALETE</v>
      </c>
      <c r="H409" t="str">
        <f t="shared" si="31"/>
        <v>POOLMAK SISTEMAS ESTRUTURAIS LTDA</v>
      </c>
      <c r="I409">
        <f t="shared" si="32"/>
        <v>1</v>
      </c>
      <c r="J409">
        <f t="shared" si="33"/>
        <v>0</v>
      </c>
    </row>
    <row r="410" spans="1:10" x14ac:dyDescent="0.25">
      <c r="A410" t="s">
        <v>354</v>
      </c>
      <c r="B410" t="s">
        <v>97</v>
      </c>
      <c r="C410" t="s">
        <v>56</v>
      </c>
      <c r="D410" s="3">
        <v>45582</v>
      </c>
      <c r="E410" t="str">
        <f>VLOOKUP(B410,'PROCV GERENTES BD'!A:B,2,0)</f>
        <v>POENATELA</v>
      </c>
      <c r="F410" s="4" t="str">
        <f t="shared" si="34"/>
        <v>2024-10-2</v>
      </c>
      <c r="G410" t="str">
        <f t="shared" si="30"/>
        <v>POENATELA</v>
      </c>
      <c r="H410" t="str">
        <f t="shared" si="31"/>
        <v>UBERTEC SERVICE USINAGEM LTDA EPP</v>
      </c>
      <c r="I410">
        <f t="shared" si="32"/>
        <v>0</v>
      </c>
      <c r="J410">
        <f t="shared" si="33"/>
        <v>1</v>
      </c>
    </row>
    <row r="411" spans="1:10" x14ac:dyDescent="0.25">
      <c r="A411" t="s">
        <v>82</v>
      </c>
      <c r="B411" t="s">
        <v>83</v>
      </c>
      <c r="C411" t="s">
        <v>72</v>
      </c>
      <c r="D411" s="3">
        <v>45582</v>
      </c>
      <c r="E411" t="str">
        <f>VLOOKUP(B411,'PROCV GERENTES BD'!A:B,2,0)</f>
        <v>RAFAEL PARISE</v>
      </c>
      <c r="F411" s="4" t="str">
        <f t="shared" si="34"/>
        <v>2024-10-2</v>
      </c>
      <c r="G411" t="str">
        <f t="shared" si="30"/>
        <v>RAFAEL PARISE</v>
      </c>
      <c r="H411" t="str">
        <f t="shared" si="31"/>
        <v>UNITA AUTO PECAS LTDA EPP</v>
      </c>
      <c r="I411">
        <f t="shared" si="32"/>
        <v>1</v>
      </c>
      <c r="J411">
        <f t="shared" si="33"/>
        <v>0</v>
      </c>
    </row>
    <row r="412" spans="1:10" x14ac:dyDescent="0.25">
      <c r="A412" t="s">
        <v>370</v>
      </c>
      <c r="B412" t="s">
        <v>114</v>
      </c>
      <c r="C412" t="s">
        <v>56</v>
      </c>
      <c r="D412" s="3">
        <v>45582</v>
      </c>
      <c r="E412" t="s">
        <v>25</v>
      </c>
      <c r="F412" s="4" t="str">
        <f t="shared" si="34"/>
        <v>2024-10-2</v>
      </c>
      <c r="G412" t="str">
        <f t="shared" si="30"/>
        <v xml:space="preserve">ROGERIO </v>
      </c>
      <c r="H412" t="str">
        <f t="shared" si="31"/>
        <v>EVOLUTION MACHINES LTDA ME</v>
      </c>
      <c r="I412">
        <f t="shared" si="32"/>
        <v>0</v>
      </c>
      <c r="J412">
        <f t="shared" si="33"/>
        <v>1</v>
      </c>
    </row>
    <row r="413" spans="1:10" x14ac:dyDescent="0.25">
      <c r="A413" t="s">
        <v>332</v>
      </c>
      <c r="B413" t="s">
        <v>145</v>
      </c>
      <c r="C413" t="s">
        <v>72</v>
      </c>
      <c r="D413" s="3">
        <v>45582</v>
      </c>
      <c r="E413" t="str">
        <f>VLOOKUP(B413,'PROCV GERENTES BD'!A:B,2,0)</f>
        <v>SEM GERENTE</v>
      </c>
      <c r="F413" s="4" t="str">
        <f t="shared" si="34"/>
        <v>2024-10-2</v>
      </c>
      <c r="G413" t="str">
        <f t="shared" si="30"/>
        <v>SEM GERENTE</v>
      </c>
      <c r="H413" t="str">
        <f t="shared" si="31"/>
        <v>ALLIAGE S A INDUSTRIAS MEDICO ODONTOLOGICA</v>
      </c>
      <c r="I413">
        <f t="shared" si="32"/>
        <v>1</v>
      </c>
      <c r="J413">
        <f t="shared" si="33"/>
        <v>0</v>
      </c>
    </row>
    <row r="414" spans="1:10" x14ac:dyDescent="0.25">
      <c r="A414" t="s">
        <v>375</v>
      </c>
      <c r="B414" t="s">
        <v>119</v>
      </c>
      <c r="C414" t="s">
        <v>56</v>
      </c>
      <c r="D414" s="3">
        <v>45583</v>
      </c>
      <c r="E414" t="str">
        <f>VLOOKUP(B414,'PROCV GERENTES BD'!A:B,2,0)</f>
        <v>ADMINISTRAÇÃO</v>
      </c>
      <c r="F414" s="4" t="str">
        <f t="shared" si="34"/>
        <v>2024-10-2</v>
      </c>
      <c r="G414" t="str">
        <f t="shared" si="30"/>
        <v>ADMINISTRAÇÃO</v>
      </c>
      <c r="H414" t="str">
        <f t="shared" si="31"/>
        <v>DISPA DISTRIBUIDORA SAO PAULO LTDA ME</v>
      </c>
      <c r="I414">
        <f t="shared" si="32"/>
        <v>0</v>
      </c>
      <c r="J414">
        <f t="shared" si="33"/>
        <v>1</v>
      </c>
    </row>
    <row r="415" spans="1:10" x14ac:dyDescent="0.25">
      <c r="A415" t="s">
        <v>357</v>
      </c>
      <c r="B415" t="s">
        <v>100</v>
      </c>
      <c r="C415" t="s">
        <v>56</v>
      </c>
      <c r="D415" s="3">
        <v>45583</v>
      </c>
      <c r="E415" t="str">
        <f>VLOOKUP(B415,'PROCV GERENTES BD'!A:B,2,0)</f>
        <v>ADMINISTRAÇÃO</v>
      </c>
      <c r="F415" s="4" t="str">
        <f t="shared" si="34"/>
        <v>2024-10-2</v>
      </c>
      <c r="G415" t="str">
        <f t="shared" si="30"/>
        <v>ADMINISTRAÇÃO</v>
      </c>
      <c r="H415" t="str">
        <f t="shared" si="31"/>
        <v>MEK SOL FUNDACOES E SERVICOS GEOTECNICOS LTDA EPP</v>
      </c>
      <c r="I415">
        <f t="shared" si="32"/>
        <v>0</v>
      </c>
      <c r="J415">
        <f t="shared" si="33"/>
        <v>1</v>
      </c>
    </row>
    <row r="416" spans="1:10" x14ac:dyDescent="0.25">
      <c r="A416" t="s">
        <v>414</v>
      </c>
      <c r="B416" t="s">
        <v>163</v>
      </c>
      <c r="C416" t="s">
        <v>56</v>
      </c>
      <c r="D416" s="3">
        <v>45583</v>
      </c>
      <c r="E416" t="str">
        <f>VLOOKUP(B416,'PROCV GERENTES BD'!A:B,2,0)</f>
        <v>ADMINISTRAÇÃO</v>
      </c>
      <c r="F416" s="4" t="str">
        <f t="shared" si="34"/>
        <v>2024-10-2</v>
      </c>
      <c r="G416" t="str">
        <f t="shared" si="30"/>
        <v>ADMINISTRAÇÃO</v>
      </c>
      <c r="H416" t="str">
        <f t="shared" si="31"/>
        <v>RIMAG COMERCIO ATACADISTA DE ALIMENTOS IMPORTACAO</v>
      </c>
      <c r="I416">
        <f t="shared" si="32"/>
        <v>0</v>
      </c>
      <c r="J416">
        <f t="shared" si="33"/>
        <v>1</v>
      </c>
    </row>
    <row r="417" spans="1:10" x14ac:dyDescent="0.25">
      <c r="A417" t="s">
        <v>326</v>
      </c>
      <c r="B417" t="s">
        <v>86</v>
      </c>
      <c r="C417" t="s">
        <v>56</v>
      </c>
      <c r="D417" s="3">
        <v>45583</v>
      </c>
      <c r="E417" t="str">
        <f>VLOOKUP(B417,'PROCV GERENTES BD'!A:B,2,0)</f>
        <v>CELIO PIMENTA</v>
      </c>
      <c r="F417" s="4" t="str">
        <f t="shared" si="34"/>
        <v>2024-10-2</v>
      </c>
      <c r="G417" t="str">
        <f t="shared" si="30"/>
        <v>CELIO PIMENTA</v>
      </c>
      <c r="H417" t="str">
        <f t="shared" si="31"/>
        <v>IMPORTEXTIL COMERCIO DE TECIDOS LTDA</v>
      </c>
      <c r="I417">
        <f t="shared" si="32"/>
        <v>0</v>
      </c>
      <c r="J417">
        <f t="shared" si="33"/>
        <v>1</v>
      </c>
    </row>
    <row r="418" spans="1:10" x14ac:dyDescent="0.25">
      <c r="A418" t="s">
        <v>318</v>
      </c>
      <c r="B418" t="s">
        <v>87</v>
      </c>
      <c r="C418" t="s">
        <v>56</v>
      </c>
      <c r="D418" s="3">
        <v>45583</v>
      </c>
      <c r="E418" t="str">
        <f>VLOOKUP(B418,'PROCV GERENTES BD'!A:B,2,0)</f>
        <v>CELIO PIMENTA</v>
      </c>
      <c r="F418" s="4" t="str">
        <f t="shared" si="34"/>
        <v>2024-10-2</v>
      </c>
      <c r="G418" t="str">
        <f t="shared" si="30"/>
        <v>CELIO PIMENTA</v>
      </c>
      <c r="H418" t="str">
        <f t="shared" si="31"/>
        <v>MBIOLOG DIAGNOSTICOS LTDA</v>
      </c>
      <c r="I418">
        <f t="shared" si="32"/>
        <v>0</v>
      </c>
      <c r="J418">
        <f t="shared" si="33"/>
        <v>1</v>
      </c>
    </row>
    <row r="419" spans="1:10" x14ac:dyDescent="0.25">
      <c r="A419" t="s">
        <v>382</v>
      </c>
      <c r="B419" t="s">
        <v>125</v>
      </c>
      <c r="C419" t="s">
        <v>56</v>
      </c>
      <c r="D419" s="3">
        <v>45583</v>
      </c>
      <c r="E419" t="str">
        <f>VLOOKUP(B419,'PROCV GERENTES BD'!A:B,2,0)</f>
        <v>CELIO PIMENTA</v>
      </c>
      <c r="F419" s="4" t="str">
        <f t="shared" si="34"/>
        <v>2024-10-2</v>
      </c>
      <c r="G419" t="str">
        <f t="shared" si="30"/>
        <v>CELIO PIMENTA</v>
      </c>
      <c r="H419" t="str">
        <f t="shared" si="31"/>
        <v>MINAS ALIMENTOS E FRUTAS SECAS LTDA EPP</v>
      </c>
      <c r="I419">
        <f t="shared" si="32"/>
        <v>0</v>
      </c>
      <c r="J419">
        <f t="shared" si="33"/>
        <v>1</v>
      </c>
    </row>
    <row r="420" spans="1:10" x14ac:dyDescent="0.25">
      <c r="A420" t="s">
        <v>366</v>
      </c>
      <c r="B420" t="s">
        <v>111</v>
      </c>
      <c r="C420" t="s">
        <v>56</v>
      </c>
      <c r="D420" s="3">
        <v>45583</v>
      </c>
      <c r="E420" t="str">
        <f>VLOOKUP(B420,'PROCV GERENTES BD'!A:B,2,0)</f>
        <v>DIOGO AZEVEDO</v>
      </c>
      <c r="F420" s="4" t="str">
        <f t="shared" si="34"/>
        <v>2024-10-2</v>
      </c>
      <c r="G420" t="str">
        <f t="shared" si="30"/>
        <v>DIOGO AZEVEDO</v>
      </c>
      <c r="H420" t="str">
        <f t="shared" si="31"/>
        <v>INDUSTRIA E CERVEJARIA ARTESANAL DE MINAS GERAIS L</v>
      </c>
      <c r="I420">
        <f t="shared" si="32"/>
        <v>0</v>
      </c>
      <c r="J420">
        <f t="shared" si="33"/>
        <v>1</v>
      </c>
    </row>
    <row r="421" spans="1:10" x14ac:dyDescent="0.25">
      <c r="A421" t="s">
        <v>385</v>
      </c>
      <c r="B421" t="s">
        <v>131</v>
      </c>
      <c r="C421" t="s">
        <v>56</v>
      </c>
      <c r="D421" s="3">
        <v>45583</v>
      </c>
      <c r="E421" t="str">
        <f>VLOOKUP(B421,'PROCV GERENTES BD'!A:B,2,0)</f>
        <v>EDUARDO MATOSO</v>
      </c>
      <c r="F421" s="4" t="str">
        <f t="shared" si="34"/>
        <v>2024-10-2</v>
      </c>
      <c r="G421" t="str">
        <f t="shared" si="30"/>
        <v>EDUARDO MATOSO</v>
      </c>
      <c r="H421" t="str">
        <f t="shared" si="31"/>
        <v>STONE ENGENHARIA E MONTAGENS INDUSTRIAIS LTDA</v>
      </c>
      <c r="I421">
        <f t="shared" si="32"/>
        <v>0</v>
      </c>
      <c r="J421">
        <f t="shared" si="33"/>
        <v>1</v>
      </c>
    </row>
    <row r="422" spans="1:10" x14ac:dyDescent="0.25">
      <c r="A422" t="s">
        <v>392</v>
      </c>
      <c r="B422" t="s">
        <v>138</v>
      </c>
      <c r="C422" t="s">
        <v>56</v>
      </c>
      <c r="D422" s="3">
        <v>45583</v>
      </c>
      <c r="E422" t="str">
        <f>VLOOKUP(B422,'PROCV GERENTES BD'!A:B,2,0)</f>
        <v xml:space="preserve">MARCUS VINICIUS </v>
      </c>
      <c r="F422" s="4" t="str">
        <f t="shared" si="34"/>
        <v>2024-10-2</v>
      </c>
      <c r="G422" t="str">
        <f t="shared" si="30"/>
        <v xml:space="preserve">MARCUS VINICIUS </v>
      </c>
      <c r="H422" t="str">
        <f t="shared" si="31"/>
        <v>PALMILHADO INDUSTRIA E COMERCIO LTDA</v>
      </c>
      <c r="I422">
        <f t="shared" si="32"/>
        <v>0</v>
      </c>
      <c r="J422">
        <f t="shared" si="33"/>
        <v>1</v>
      </c>
    </row>
    <row r="423" spans="1:10" x14ac:dyDescent="0.25">
      <c r="A423" t="s">
        <v>426</v>
      </c>
      <c r="B423" t="s">
        <v>175</v>
      </c>
      <c r="C423" t="s">
        <v>56</v>
      </c>
      <c r="D423" s="3">
        <v>45583</v>
      </c>
      <c r="E423" t="str">
        <f>VLOOKUP(B423,'PROCV GERENTES BD'!A:B,2,0)</f>
        <v>NATALIA NUBIA</v>
      </c>
      <c r="F423" s="4" t="str">
        <f t="shared" si="34"/>
        <v>2024-10-2</v>
      </c>
      <c r="G423" t="str">
        <f t="shared" si="30"/>
        <v>NATALIA NUBIA</v>
      </c>
      <c r="H423" t="str">
        <f t="shared" si="31"/>
        <v>MAAT COMERCIO DE VESTUARIO LTDA EPP</v>
      </c>
      <c r="I423">
        <f t="shared" si="32"/>
        <v>0</v>
      </c>
      <c r="J423">
        <f t="shared" si="33"/>
        <v>1</v>
      </c>
    </row>
    <row r="424" spans="1:10" x14ac:dyDescent="0.25">
      <c r="A424" t="s">
        <v>374</v>
      </c>
      <c r="B424" t="s">
        <v>117</v>
      </c>
      <c r="C424" t="s">
        <v>56</v>
      </c>
      <c r="D424" s="3">
        <v>45583</v>
      </c>
      <c r="E424" t="str">
        <f>VLOOKUP(B424,'PROCV GERENTES BD'!A:B,2,0)</f>
        <v>NELSON</v>
      </c>
      <c r="F424" s="4" t="str">
        <f t="shared" si="34"/>
        <v>2024-10-2</v>
      </c>
      <c r="G424" t="str">
        <f t="shared" si="30"/>
        <v>NELSON</v>
      </c>
      <c r="H424" t="str">
        <f t="shared" si="31"/>
        <v>VALENTE PRODUCOES LTDA ME</v>
      </c>
      <c r="I424">
        <f t="shared" si="32"/>
        <v>0</v>
      </c>
      <c r="J424">
        <f t="shared" si="33"/>
        <v>1</v>
      </c>
    </row>
    <row r="425" spans="1:10" x14ac:dyDescent="0.25">
      <c r="A425" t="s">
        <v>347</v>
      </c>
      <c r="B425" t="s">
        <v>93</v>
      </c>
      <c r="C425" t="s">
        <v>56</v>
      </c>
      <c r="D425" s="3">
        <v>45583</v>
      </c>
      <c r="E425" t="str">
        <f>VLOOKUP(B425,'PROCV GERENTES BD'!A:B,2,0)</f>
        <v>NOELI SALETE</v>
      </c>
      <c r="F425" s="4" t="str">
        <f t="shared" si="34"/>
        <v>2024-10-2</v>
      </c>
      <c r="G425" t="str">
        <f t="shared" si="30"/>
        <v>NOELI SALETE</v>
      </c>
      <c r="H425" t="str">
        <f t="shared" si="31"/>
        <v>RODOBOX TRANSPORTES E ARMAZENAGEM DE CARGAS LTDA</v>
      </c>
      <c r="I425">
        <f t="shared" si="32"/>
        <v>0</v>
      </c>
      <c r="J425">
        <f t="shared" si="33"/>
        <v>1</v>
      </c>
    </row>
    <row r="426" spans="1:10" x14ac:dyDescent="0.25">
      <c r="A426" t="s">
        <v>415</v>
      </c>
      <c r="B426" t="s">
        <v>164</v>
      </c>
      <c r="C426" t="s">
        <v>56</v>
      </c>
      <c r="D426" s="3">
        <v>45583</v>
      </c>
      <c r="E426" t="str">
        <f>VLOOKUP(B426,'PROCV GERENTES BD'!A:B,2,0)</f>
        <v>NOELI SALETE</v>
      </c>
      <c r="F426" s="4" t="str">
        <f t="shared" si="34"/>
        <v>2024-10-2</v>
      </c>
      <c r="G426" t="str">
        <f t="shared" si="30"/>
        <v>NOELI SALETE</v>
      </c>
      <c r="H426" t="str">
        <f t="shared" si="31"/>
        <v>SGAMAQ INOVACAO AGROINDUSTRIAL LTDA</v>
      </c>
      <c r="I426">
        <f t="shared" si="32"/>
        <v>0</v>
      </c>
      <c r="J426">
        <f t="shared" si="33"/>
        <v>1</v>
      </c>
    </row>
    <row r="427" spans="1:10" x14ac:dyDescent="0.25">
      <c r="A427" t="s">
        <v>352</v>
      </c>
      <c r="B427" t="s">
        <v>95</v>
      </c>
      <c r="C427" t="s">
        <v>72</v>
      </c>
      <c r="D427" s="3">
        <v>45583</v>
      </c>
      <c r="E427" t="str">
        <f>VLOOKUP(B427,'PROCV GERENTES BD'!A:B,2,0)</f>
        <v>POENATELA</v>
      </c>
      <c r="F427" s="4" t="str">
        <f t="shared" si="34"/>
        <v>2024-10-2</v>
      </c>
      <c r="G427" t="str">
        <f t="shared" si="30"/>
        <v>POENATELA</v>
      </c>
      <c r="H427" t="str">
        <f t="shared" si="31"/>
        <v>CERVEJARIA SOUZA LTDA</v>
      </c>
      <c r="I427">
        <f t="shared" si="32"/>
        <v>1</v>
      </c>
      <c r="J427">
        <f t="shared" si="33"/>
        <v>0</v>
      </c>
    </row>
    <row r="428" spans="1:10" x14ac:dyDescent="0.25">
      <c r="A428" t="s">
        <v>428</v>
      </c>
      <c r="B428" t="s">
        <v>177</v>
      </c>
      <c r="C428" t="s">
        <v>72</v>
      </c>
      <c r="D428" s="3">
        <v>45583</v>
      </c>
      <c r="E428" t="str">
        <f>VLOOKUP(B428,'PROCV GERENTES BD'!A:B,2,0)</f>
        <v>POENATELA</v>
      </c>
      <c r="F428" s="4" t="str">
        <f t="shared" si="34"/>
        <v>2024-10-2</v>
      </c>
      <c r="G428" t="str">
        <f t="shared" si="30"/>
        <v>POENATELA</v>
      </c>
      <c r="H428" t="str">
        <f t="shared" si="31"/>
        <v>SAVIXX COMERCIO INTERNACIONAL S/A</v>
      </c>
      <c r="I428">
        <f t="shared" si="32"/>
        <v>1</v>
      </c>
      <c r="J428">
        <f t="shared" si="33"/>
        <v>0</v>
      </c>
    </row>
    <row r="429" spans="1:10" x14ac:dyDescent="0.25">
      <c r="A429" t="s">
        <v>354</v>
      </c>
      <c r="B429" t="s">
        <v>97</v>
      </c>
      <c r="C429" t="s">
        <v>56</v>
      </c>
      <c r="D429" s="3">
        <v>45583</v>
      </c>
      <c r="E429" t="str">
        <f>VLOOKUP(B429,'PROCV GERENTES BD'!A:B,2,0)</f>
        <v>POENATELA</v>
      </c>
      <c r="F429" s="4" t="str">
        <f t="shared" si="34"/>
        <v>2024-10-2</v>
      </c>
      <c r="G429" t="str">
        <f t="shared" si="30"/>
        <v>POENATELA</v>
      </c>
      <c r="H429" t="str">
        <f t="shared" si="31"/>
        <v>UBERTEC SERVICE USINAGEM LTDA EPP</v>
      </c>
      <c r="I429">
        <f t="shared" si="32"/>
        <v>0</v>
      </c>
      <c r="J429">
        <f t="shared" si="33"/>
        <v>1</v>
      </c>
    </row>
    <row r="430" spans="1:10" x14ac:dyDescent="0.25">
      <c r="A430" t="s">
        <v>361</v>
      </c>
      <c r="B430" t="s">
        <v>103</v>
      </c>
      <c r="C430" t="s">
        <v>56</v>
      </c>
      <c r="D430" s="3">
        <v>45583</v>
      </c>
      <c r="E430" t="str">
        <f>VLOOKUP(B430,'PROCV GERENTES BD'!A:B,2,0)</f>
        <v>PRISCILA METZ</v>
      </c>
      <c r="F430" s="4" t="str">
        <f t="shared" si="34"/>
        <v>2024-10-2</v>
      </c>
      <c r="G430" t="str">
        <f t="shared" si="30"/>
        <v>PRISCILA METZ</v>
      </c>
      <c r="H430" t="str">
        <f t="shared" si="31"/>
        <v>ESSENZA INDUSTRIA QUIMICA LTDA</v>
      </c>
      <c r="I430">
        <f t="shared" si="32"/>
        <v>0</v>
      </c>
      <c r="J430">
        <f t="shared" si="33"/>
        <v>1</v>
      </c>
    </row>
    <row r="431" spans="1:10" x14ac:dyDescent="0.25">
      <c r="A431" t="s">
        <v>82</v>
      </c>
      <c r="B431" t="s">
        <v>83</v>
      </c>
      <c r="C431" t="s">
        <v>56</v>
      </c>
      <c r="D431" s="3">
        <v>45583</v>
      </c>
      <c r="E431" t="str">
        <f>VLOOKUP(B431,'PROCV GERENTES BD'!A:B,2,0)</f>
        <v>RAFAEL PARISE</v>
      </c>
      <c r="F431" s="4" t="str">
        <f t="shared" si="34"/>
        <v>2024-10-2</v>
      </c>
      <c r="G431" t="str">
        <f t="shared" si="30"/>
        <v>RAFAEL PARISE</v>
      </c>
      <c r="H431" t="str">
        <f t="shared" si="31"/>
        <v>UNITA AUTO PECAS LTDA EPP</v>
      </c>
      <c r="I431">
        <f t="shared" si="32"/>
        <v>0</v>
      </c>
      <c r="J431">
        <f t="shared" si="33"/>
        <v>1</v>
      </c>
    </row>
    <row r="432" spans="1:10" x14ac:dyDescent="0.25">
      <c r="A432" t="s">
        <v>424</v>
      </c>
      <c r="B432" t="s">
        <v>173</v>
      </c>
      <c r="C432" t="s">
        <v>56</v>
      </c>
      <c r="D432" s="3">
        <v>45583</v>
      </c>
      <c r="E432" t="s">
        <v>25</v>
      </c>
      <c r="F432" s="4" t="str">
        <f t="shared" si="34"/>
        <v>2024-10-2</v>
      </c>
      <c r="G432" t="str">
        <f t="shared" si="30"/>
        <v xml:space="preserve">ROGERIO </v>
      </c>
      <c r="H432" t="str">
        <f t="shared" si="31"/>
        <v>LUCCI ILUMINACAO LTDA EPP</v>
      </c>
      <c r="I432">
        <f t="shared" si="32"/>
        <v>0</v>
      </c>
      <c r="J432">
        <f t="shared" si="33"/>
        <v>1</v>
      </c>
    </row>
    <row r="433" spans="1:10" x14ac:dyDescent="0.25">
      <c r="A433" t="s">
        <v>429</v>
      </c>
      <c r="B433" t="s">
        <v>178</v>
      </c>
      <c r="C433" t="s">
        <v>56</v>
      </c>
      <c r="D433" s="3">
        <v>45583</v>
      </c>
      <c r="E433" t="str">
        <f>VLOOKUP(B433,'PROCV GERENTES BD'!A:B,2,0)</f>
        <v>WHELKYA IRIS</v>
      </c>
      <c r="F433" s="4" t="str">
        <f t="shared" si="34"/>
        <v>2024-10-2</v>
      </c>
      <c r="G433" t="str">
        <f t="shared" si="30"/>
        <v>WHELKYA IRIS</v>
      </c>
      <c r="H433" t="str">
        <f t="shared" si="31"/>
        <v>EDUARDO LUIZ SILVA DA LUZ ME</v>
      </c>
      <c r="I433">
        <f t="shared" si="32"/>
        <v>0</v>
      </c>
      <c r="J433">
        <f t="shared" si="33"/>
        <v>1</v>
      </c>
    </row>
    <row r="434" spans="1:10" x14ac:dyDescent="0.25">
      <c r="A434" t="s">
        <v>389</v>
      </c>
      <c r="B434" t="s">
        <v>135</v>
      </c>
      <c r="C434" t="s">
        <v>56</v>
      </c>
      <c r="D434" s="3">
        <v>45586</v>
      </c>
      <c r="E434" t="str">
        <f>VLOOKUP(B434,'PROCV GERENTES BD'!A:B,2,0)</f>
        <v>ADMINISTRAÇÃO</v>
      </c>
      <c r="F434" s="4" t="str">
        <f t="shared" si="34"/>
        <v>2024-10-2</v>
      </c>
      <c r="G434" t="str">
        <f t="shared" si="30"/>
        <v>ADMINISTRAÇÃO</v>
      </c>
      <c r="H434" t="str">
        <f t="shared" si="31"/>
        <v>MOLAS ANEL POSTO DE TROCA LTDA EPP</v>
      </c>
      <c r="I434">
        <f t="shared" si="32"/>
        <v>0</v>
      </c>
      <c r="J434">
        <f t="shared" si="33"/>
        <v>1</v>
      </c>
    </row>
    <row r="435" spans="1:10" x14ac:dyDescent="0.25">
      <c r="A435" t="s">
        <v>400</v>
      </c>
      <c r="B435" t="s">
        <v>179</v>
      </c>
      <c r="C435" t="s">
        <v>336</v>
      </c>
      <c r="D435" s="3">
        <v>45586</v>
      </c>
      <c r="E435" t="str">
        <f>VLOOKUP(B435,'PROCV GERENTES BD'!A:B,2,0)</f>
        <v>ADMINISTRAÇÃO</v>
      </c>
      <c r="F435" s="4" t="str">
        <f t="shared" si="34"/>
        <v>2024-10-2</v>
      </c>
      <c r="G435" t="str">
        <f t="shared" si="30"/>
        <v>ADMINISTRAÇÃO</v>
      </c>
      <c r="H435" t="str">
        <f t="shared" si="31"/>
        <v>VALADARES DIESEL LTDA EM RECUPERACAO JUDICIAL</v>
      </c>
      <c r="I435">
        <f t="shared" si="32"/>
        <v>0</v>
      </c>
      <c r="J435">
        <f t="shared" si="33"/>
        <v>0</v>
      </c>
    </row>
    <row r="436" spans="1:10" x14ac:dyDescent="0.25">
      <c r="A436" t="s">
        <v>364</v>
      </c>
      <c r="B436" t="s">
        <v>107</v>
      </c>
      <c r="C436" t="s">
        <v>72</v>
      </c>
      <c r="D436" s="3">
        <v>45586</v>
      </c>
      <c r="E436" t="str">
        <f>VLOOKUP(B436,'PROCV GERENTES BD'!A:B,2,0)</f>
        <v>ANTONIO CARLOS</v>
      </c>
      <c r="F436" s="4" t="str">
        <f t="shared" si="34"/>
        <v>2024-10-2</v>
      </c>
      <c r="G436" t="str">
        <f t="shared" si="30"/>
        <v>ANTONIO CARLOS</v>
      </c>
      <c r="H436" t="str">
        <f t="shared" si="31"/>
        <v>RPT SOLUCOES AMBIENTAIS LTDA</v>
      </c>
      <c r="I436">
        <f t="shared" si="32"/>
        <v>1</v>
      </c>
      <c r="J436">
        <f t="shared" si="33"/>
        <v>0</v>
      </c>
    </row>
    <row r="437" spans="1:10" x14ac:dyDescent="0.25">
      <c r="A437" t="s">
        <v>326</v>
      </c>
      <c r="B437" t="s">
        <v>86</v>
      </c>
      <c r="C437" t="s">
        <v>56</v>
      </c>
      <c r="D437" s="3">
        <v>45586</v>
      </c>
      <c r="E437" t="str">
        <f>VLOOKUP(B437,'PROCV GERENTES BD'!A:B,2,0)</f>
        <v>CELIO PIMENTA</v>
      </c>
      <c r="F437" s="4" t="str">
        <f t="shared" si="34"/>
        <v>2024-10-2</v>
      </c>
      <c r="G437" t="str">
        <f t="shared" si="30"/>
        <v>CELIO PIMENTA</v>
      </c>
      <c r="H437" t="str">
        <f t="shared" si="31"/>
        <v>IMPORTEXTIL COMERCIO DE TECIDOS LTDA</v>
      </c>
      <c r="I437">
        <f t="shared" si="32"/>
        <v>0</v>
      </c>
      <c r="J437">
        <f t="shared" si="33"/>
        <v>1</v>
      </c>
    </row>
    <row r="438" spans="1:10" x14ac:dyDescent="0.25">
      <c r="A438" t="s">
        <v>366</v>
      </c>
      <c r="B438" t="s">
        <v>111</v>
      </c>
      <c r="C438" t="s">
        <v>59</v>
      </c>
      <c r="D438" s="3">
        <v>45586</v>
      </c>
      <c r="E438" t="str">
        <f>VLOOKUP(B438,'PROCV GERENTES BD'!A:B,2,0)</f>
        <v>DIOGO AZEVEDO</v>
      </c>
      <c r="F438" s="4" t="str">
        <f t="shared" si="34"/>
        <v>2024-10-2</v>
      </c>
      <c r="G438" t="str">
        <f t="shared" si="30"/>
        <v>DIOGO AZEVEDO</v>
      </c>
      <c r="H438" t="str">
        <f t="shared" si="31"/>
        <v>INDUSTRIA E CERVEJARIA ARTESANAL DE MINAS GERAIS L</v>
      </c>
      <c r="I438">
        <f t="shared" si="32"/>
        <v>0</v>
      </c>
      <c r="J438">
        <f t="shared" si="33"/>
        <v>0</v>
      </c>
    </row>
    <row r="439" spans="1:10" x14ac:dyDescent="0.25">
      <c r="A439" t="s">
        <v>385</v>
      </c>
      <c r="B439" t="s">
        <v>131</v>
      </c>
      <c r="C439" t="s">
        <v>56</v>
      </c>
      <c r="D439" s="3">
        <v>45586</v>
      </c>
      <c r="E439" t="str">
        <f>VLOOKUP(B439,'PROCV GERENTES BD'!A:B,2,0)</f>
        <v>EDUARDO MATOSO</v>
      </c>
      <c r="F439" s="4" t="str">
        <f t="shared" si="34"/>
        <v>2024-10-2</v>
      </c>
      <c r="G439" t="str">
        <f t="shared" si="30"/>
        <v>EDUARDO MATOSO</v>
      </c>
      <c r="H439" t="str">
        <f t="shared" si="31"/>
        <v>STONE ENGENHARIA E MONTAGENS INDUSTRIAIS LTDA</v>
      </c>
      <c r="I439">
        <f t="shared" si="32"/>
        <v>0</v>
      </c>
      <c r="J439">
        <f t="shared" si="33"/>
        <v>1</v>
      </c>
    </row>
    <row r="440" spans="1:10" x14ac:dyDescent="0.25">
      <c r="A440" t="s">
        <v>358</v>
      </c>
      <c r="B440" t="s">
        <v>101</v>
      </c>
      <c r="C440" t="s">
        <v>56</v>
      </c>
      <c r="D440" s="3">
        <v>45586</v>
      </c>
      <c r="E440" t="str">
        <f>VLOOKUP(B440,'PROCV GERENTES BD'!A:B,2,0)</f>
        <v>GRUPO OTTO</v>
      </c>
      <c r="F440" s="4" t="str">
        <f t="shared" si="34"/>
        <v>2024-10-2</v>
      </c>
      <c r="G440" t="str">
        <f t="shared" si="30"/>
        <v>GRUPO OTTO</v>
      </c>
      <c r="H440" t="str">
        <f t="shared" si="31"/>
        <v>PLURIFORME INDUSTRIA E COMERCIO DE UNIFORMES LTDA</v>
      </c>
      <c r="I440">
        <f t="shared" si="32"/>
        <v>0</v>
      </c>
      <c r="J440">
        <f t="shared" si="33"/>
        <v>1</v>
      </c>
    </row>
    <row r="441" spans="1:10" x14ac:dyDescent="0.25">
      <c r="A441" t="s">
        <v>358</v>
      </c>
      <c r="B441" t="s">
        <v>101</v>
      </c>
      <c r="C441" t="s">
        <v>335</v>
      </c>
      <c r="D441" s="3">
        <v>45586</v>
      </c>
      <c r="E441" t="str">
        <f>VLOOKUP(B441,'PROCV GERENTES BD'!A:B,2,0)</f>
        <v>GRUPO OTTO</v>
      </c>
      <c r="F441" s="4" t="str">
        <f t="shared" si="34"/>
        <v>2024-10-2</v>
      </c>
      <c r="G441" t="str">
        <f t="shared" si="30"/>
        <v>GRUPO OTTO</v>
      </c>
      <c r="H441" t="str">
        <f t="shared" si="31"/>
        <v>PLURIFORME INDUSTRIA E COMERCIO DE UNIFORMES LTDA</v>
      </c>
      <c r="I441">
        <f t="shared" si="32"/>
        <v>0</v>
      </c>
      <c r="J441">
        <f t="shared" si="33"/>
        <v>0</v>
      </c>
    </row>
    <row r="442" spans="1:10" x14ac:dyDescent="0.25">
      <c r="A442" t="s">
        <v>358</v>
      </c>
      <c r="B442" t="s">
        <v>101</v>
      </c>
      <c r="C442" t="s">
        <v>56</v>
      </c>
      <c r="D442" s="3">
        <v>45586</v>
      </c>
      <c r="E442" t="str">
        <f>VLOOKUP(B442,'PROCV GERENTES BD'!A:B,2,0)</f>
        <v>GRUPO OTTO</v>
      </c>
      <c r="F442" s="4" t="str">
        <f t="shared" si="34"/>
        <v>2024-10-2</v>
      </c>
      <c r="G442" t="str">
        <f t="shared" si="30"/>
        <v>GRUPO OTTO</v>
      </c>
      <c r="H442" t="str">
        <f t="shared" si="31"/>
        <v>PLURIFORME INDUSTRIA E COMERCIO DE UNIFORMES LTDA</v>
      </c>
      <c r="I442">
        <f t="shared" si="32"/>
        <v>0</v>
      </c>
      <c r="J442">
        <f t="shared" si="33"/>
        <v>1</v>
      </c>
    </row>
    <row r="443" spans="1:10" x14ac:dyDescent="0.25">
      <c r="A443" t="s">
        <v>358</v>
      </c>
      <c r="B443" t="s">
        <v>101</v>
      </c>
      <c r="C443" t="s">
        <v>56</v>
      </c>
      <c r="D443" s="3">
        <v>45586</v>
      </c>
      <c r="E443" t="str">
        <f>VLOOKUP(B443,'PROCV GERENTES BD'!A:B,2,0)</f>
        <v>GRUPO OTTO</v>
      </c>
      <c r="F443" s="4" t="str">
        <f t="shared" si="34"/>
        <v>2024-10-2</v>
      </c>
      <c r="G443" t="str">
        <f t="shared" si="30"/>
        <v>GRUPO OTTO</v>
      </c>
      <c r="H443" t="str">
        <f t="shared" si="31"/>
        <v>PLURIFORME INDUSTRIA E COMERCIO DE UNIFORMES LTDA</v>
      </c>
      <c r="I443">
        <f t="shared" si="32"/>
        <v>0</v>
      </c>
      <c r="J443">
        <f t="shared" si="33"/>
        <v>1</v>
      </c>
    </row>
    <row r="444" spans="1:10" x14ac:dyDescent="0.25">
      <c r="A444" t="s">
        <v>430</v>
      </c>
      <c r="B444" t="s">
        <v>180</v>
      </c>
      <c r="C444" t="s">
        <v>56</v>
      </c>
      <c r="D444" s="3">
        <v>45586</v>
      </c>
      <c r="E444" t="str">
        <f>VLOOKUP(B444,'PROCV GERENTES BD'!A:B,2,0)</f>
        <v>NOELI SALETE</v>
      </c>
      <c r="F444" s="4" t="str">
        <f t="shared" si="34"/>
        <v>2024-10-2</v>
      </c>
      <c r="G444" t="str">
        <f t="shared" si="30"/>
        <v>NOELI SALETE</v>
      </c>
      <c r="H444" t="str">
        <f t="shared" si="31"/>
        <v>COMGROUP AGROINDUSTRIAL LTDA</v>
      </c>
      <c r="I444">
        <f t="shared" si="32"/>
        <v>0</v>
      </c>
      <c r="J444">
        <f t="shared" si="33"/>
        <v>1</v>
      </c>
    </row>
    <row r="445" spans="1:10" x14ac:dyDescent="0.25">
      <c r="A445" t="s">
        <v>347</v>
      </c>
      <c r="B445" t="s">
        <v>93</v>
      </c>
      <c r="C445" t="s">
        <v>56</v>
      </c>
      <c r="D445" s="3">
        <v>45586</v>
      </c>
      <c r="E445" t="str">
        <f>VLOOKUP(B445,'PROCV GERENTES BD'!A:B,2,0)</f>
        <v>NOELI SALETE</v>
      </c>
      <c r="F445" s="4" t="str">
        <f t="shared" si="34"/>
        <v>2024-10-2</v>
      </c>
      <c r="G445" t="str">
        <f t="shared" si="30"/>
        <v>NOELI SALETE</v>
      </c>
      <c r="H445" t="str">
        <f t="shared" si="31"/>
        <v>RODOBOX TRANSPORTES E ARMAZENAGEM DE CARGAS LTDA</v>
      </c>
      <c r="I445">
        <f t="shared" si="32"/>
        <v>0</v>
      </c>
      <c r="J445">
        <f t="shared" si="33"/>
        <v>1</v>
      </c>
    </row>
    <row r="446" spans="1:10" x14ac:dyDescent="0.25">
      <c r="A446" t="s">
        <v>348</v>
      </c>
      <c r="B446" t="s">
        <v>92</v>
      </c>
      <c r="C446" t="s">
        <v>56</v>
      </c>
      <c r="D446" s="3">
        <v>45586</v>
      </c>
      <c r="E446" t="str">
        <f>VLOOKUP(B446,'PROCV GERENTES BD'!A:B,2,0)</f>
        <v>NOELI SALETE</v>
      </c>
      <c r="F446" s="4" t="str">
        <f t="shared" si="34"/>
        <v>2024-10-2</v>
      </c>
      <c r="G446" t="str">
        <f t="shared" si="30"/>
        <v>NOELI SALETE</v>
      </c>
      <c r="H446" t="str">
        <f t="shared" si="31"/>
        <v>MEIO OESTE PAPEIS LTDA ME</v>
      </c>
      <c r="I446">
        <f t="shared" si="32"/>
        <v>0</v>
      </c>
      <c r="J446">
        <f t="shared" si="33"/>
        <v>1</v>
      </c>
    </row>
    <row r="447" spans="1:10" x14ac:dyDescent="0.25">
      <c r="A447" t="s">
        <v>408</v>
      </c>
      <c r="B447" t="s">
        <v>157</v>
      </c>
      <c r="C447" t="s">
        <v>56</v>
      </c>
      <c r="D447" s="3">
        <v>45586</v>
      </c>
      <c r="E447" t="str">
        <f>VLOOKUP(B447,'PROCV GERENTES BD'!A:B,2,0)</f>
        <v>NOELI SALETE</v>
      </c>
      <c r="F447" s="4" t="str">
        <f t="shared" si="34"/>
        <v>2024-10-2</v>
      </c>
      <c r="G447" t="str">
        <f t="shared" si="30"/>
        <v>NOELI SALETE</v>
      </c>
      <c r="H447" t="str">
        <f t="shared" si="31"/>
        <v>POOLMAK SISTEMAS ESTRUTURAIS LTDA</v>
      </c>
      <c r="I447">
        <f t="shared" si="32"/>
        <v>0</v>
      </c>
      <c r="J447">
        <f t="shared" si="33"/>
        <v>1</v>
      </c>
    </row>
    <row r="448" spans="1:10" x14ac:dyDescent="0.25">
      <c r="A448" t="s">
        <v>415</v>
      </c>
      <c r="B448" t="s">
        <v>164</v>
      </c>
      <c r="C448" t="s">
        <v>72</v>
      </c>
      <c r="D448" s="3">
        <v>45586</v>
      </c>
      <c r="E448" t="str">
        <f>VLOOKUP(B448,'PROCV GERENTES BD'!A:B,2,0)</f>
        <v>NOELI SALETE</v>
      </c>
      <c r="F448" s="4" t="str">
        <f t="shared" si="34"/>
        <v>2024-10-2</v>
      </c>
      <c r="G448" t="str">
        <f t="shared" si="30"/>
        <v>NOELI SALETE</v>
      </c>
      <c r="H448" t="str">
        <f t="shared" si="31"/>
        <v>SGAMAQ INOVACAO AGROINDUSTRIAL LTDA</v>
      </c>
      <c r="I448">
        <f t="shared" si="32"/>
        <v>1</v>
      </c>
      <c r="J448">
        <f t="shared" si="33"/>
        <v>0</v>
      </c>
    </row>
    <row r="449" spans="1:10" x14ac:dyDescent="0.25">
      <c r="A449" t="s">
        <v>431</v>
      </c>
      <c r="B449" t="s">
        <v>181</v>
      </c>
      <c r="C449" t="s">
        <v>56</v>
      </c>
      <c r="D449" s="3">
        <v>45586</v>
      </c>
      <c r="E449" t="str">
        <f>VLOOKUP(B449,'PROCV GERENTES BD'!A:B,2,0)</f>
        <v>POENATELA</v>
      </c>
      <c r="F449" s="4" t="str">
        <f t="shared" si="34"/>
        <v>2024-10-2</v>
      </c>
      <c r="G449" t="str">
        <f t="shared" si="30"/>
        <v>POENATELA</v>
      </c>
      <c r="H449" t="str">
        <f t="shared" si="31"/>
        <v>EXPRESSO PAV CONSTRUCOES E SERVICOS LTDA ME</v>
      </c>
      <c r="I449">
        <f t="shared" si="32"/>
        <v>0</v>
      </c>
      <c r="J449">
        <f t="shared" si="33"/>
        <v>1</v>
      </c>
    </row>
    <row r="450" spans="1:10" x14ac:dyDescent="0.25">
      <c r="A450" t="s">
        <v>354</v>
      </c>
      <c r="B450" t="s">
        <v>97</v>
      </c>
      <c r="C450" t="s">
        <v>59</v>
      </c>
      <c r="D450" s="3">
        <v>45586</v>
      </c>
      <c r="E450" t="str">
        <f>VLOOKUP(B450,'PROCV GERENTES BD'!A:B,2,0)</f>
        <v>POENATELA</v>
      </c>
      <c r="F450" s="4" t="str">
        <f t="shared" si="34"/>
        <v>2024-10-2</v>
      </c>
      <c r="G450" t="str">
        <f t="shared" ref="G450:G513" si="35">E450</f>
        <v>POENATELA</v>
      </c>
      <c r="H450" t="str">
        <f t="shared" ref="H450:H513" si="36">B450</f>
        <v>UBERTEC SERVICE USINAGEM LTDA EPP</v>
      </c>
      <c r="I450">
        <f t="shared" ref="I450:I513" si="37">IF(C450="EXCLUSAO  ANOT.INADIMPLENCIA",1,0)</f>
        <v>0</v>
      </c>
      <c r="J450">
        <f t="shared" ref="J450:J513" si="38">IF(C450="INCLUSAO  ANOT.INADIMPLENCIA",1,0)</f>
        <v>0</v>
      </c>
    </row>
    <row r="451" spans="1:10" x14ac:dyDescent="0.25">
      <c r="A451" t="s">
        <v>432</v>
      </c>
      <c r="B451" t="s">
        <v>182</v>
      </c>
      <c r="C451" t="s">
        <v>336</v>
      </c>
      <c r="D451" s="3">
        <v>45586</v>
      </c>
      <c r="E451" t="str">
        <f>VLOOKUP(B451,'PROCV GERENTES BD'!A:B,2,0)</f>
        <v>RAFAEL PARISE</v>
      </c>
      <c r="F451" s="4" t="str">
        <f t="shared" ref="F451:F514" si="39">YEAR(D451)&amp;"-"&amp;TEXT(MONTH(D451),"00")&amp;"-"&amp;IF(DAY(D451)&lt;=15,"1",IF(DAY(D451)&gt;15,"2",""))</f>
        <v>2024-10-2</v>
      </c>
      <c r="G451" t="str">
        <f t="shared" si="35"/>
        <v>RAFAEL PARISE</v>
      </c>
      <c r="H451" t="str">
        <f t="shared" si="36"/>
        <v>AGROINDUSTRIA FRUTAS JARDINS LTDA</v>
      </c>
      <c r="I451">
        <f t="shared" si="37"/>
        <v>0</v>
      </c>
      <c r="J451">
        <f t="shared" si="38"/>
        <v>0</v>
      </c>
    </row>
    <row r="452" spans="1:10" x14ac:dyDescent="0.25">
      <c r="A452" t="s">
        <v>433</v>
      </c>
      <c r="B452" t="s">
        <v>183</v>
      </c>
      <c r="C452" t="s">
        <v>336</v>
      </c>
      <c r="D452" s="3">
        <v>45586</v>
      </c>
      <c r="E452" t="str">
        <f>VLOOKUP(B452,'PROCV GERENTES BD'!A:B,2,0)</f>
        <v>SEM GERENTE</v>
      </c>
      <c r="F452" s="4" t="str">
        <f t="shared" si="39"/>
        <v>2024-10-2</v>
      </c>
      <c r="G452" t="str">
        <f t="shared" si="35"/>
        <v>SEM GERENTE</v>
      </c>
      <c r="H452" t="str">
        <f t="shared" si="36"/>
        <v>RESERVA TRADE LTDA ME</v>
      </c>
      <c r="I452">
        <f t="shared" si="37"/>
        <v>0</v>
      </c>
      <c r="J452">
        <f t="shared" si="38"/>
        <v>0</v>
      </c>
    </row>
    <row r="453" spans="1:10" x14ac:dyDescent="0.25">
      <c r="A453" t="s">
        <v>433</v>
      </c>
      <c r="B453" t="s">
        <v>183</v>
      </c>
      <c r="C453" t="s">
        <v>56</v>
      </c>
      <c r="D453" s="3">
        <v>45586</v>
      </c>
      <c r="E453" t="str">
        <f>VLOOKUP(B453,'PROCV GERENTES BD'!A:B,2,0)</f>
        <v>SEM GERENTE</v>
      </c>
      <c r="F453" s="4" t="str">
        <f t="shared" si="39"/>
        <v>2024-10-2</v>
      </c>
      <c r="G453" t="str">
        <f t="shared" si="35"/>
        <v>SEM GERENTE</v>
      </c>
      <c r="H453" t="str">
        <f t="shared" si="36"/>
        <v>RESERVA TRADE LTDA ME</v>
      </c>
      <c r="I453">
        <f t="shared" si="37"/>
        <v>0</v>
      </c>
      <c r="J453">
        <f t="shared" si="38"/>
        <v>1</v>
      </c>
    </row>
    <row r="454" spans="1:10" x14ac:dyDescent="0.25">
      <c r="A454" t="s">
        <v>429</v>
      </c>
      <c r="B454" t="s">
        <v>178</v>
      </c>
      <c r="C454" t="s">
        <v>56</v>
      </c>
      <c r="D454" s="3">
        <v>45586</v>
      </c>
      <c r="E454" t="str">
        <f>VLOOKUP(B454,'PROCV GERENTES BD'!A:B,2,0)</f>
        <v>WHELKYA IRIS</v>
      </c>
      <c r="F454" s="4" t="str">
        <f t="shared" si="39"/>
        <v>2024-10-2</v>
      </c>
      <c r="G454" t="str">
        <f t="shared" si="35"/>
        <v>WHELKYA IRIS</v>
      </c>
      <c r="H454" t="str">
        <f t="shared" si="36"/>
        <v>EDUARDO LUIZ SILVA DA LUZ ME</v>
      </c>
      <c r="I454">
        <f t="shared" si="37"/>
        <v>0</v>
      </c>
      <c r="J454">
        <f t="shared" si="38"/>
        <v>1</v>
      </c>
    </row>
    <row r="455" spans="1:10" x14ac:dyDescent="0.25">
      <c r="A455" t="s">
        <v>434</v>
      </c>
      <c r="B455" t="s">
        <v>184</v>
      </c>
      <c r="C455" t="s">
        <v>56</v>
      </c>
      <c r="D455" s="3">
        <v>45586</v>
      </c>
      <c r="E455" t="str">
        <f>VLOOKUP(B455,'PROCV GERENTES BD'!A:B,2,0)</f>
        <v>WHELKYA IRIS</v>
      </c>
      <c r="F455" s="4" t="str">
        <f t="shared" si="39"/>
        <v>2024-10-2</v>
      </c>
      <c r="G455" t="str">
        <f t="shared" si="35"/>
        <v>WHELKYA IRIS</v>
      </c>
      <c r="H455" t="str">
        <f t="shared" si="36"/>
        <v>JFIX INDUSTRIA QUIMICA LTDA ME</v>
      </c>
      <c r="I455">
        <f t="shared" si="37"/>
        <v>0</v>
      </c>
      <c r="J455">
        <f t="shared" si="38"/>
        <v>1</v>
      </c>
    </row>
    <row r="456" spans="1:10" x14ac:dyDescent="0.25">
      <c r="A456" t="s">
        <v>435</v>
      </c>
      <c r="B456" t="s">
        <v>185</v>
      </c>
      <c r="C456" t="s">
        <v>56</v>
      </c>
      <c r="D456" s="3">
        <v>45587</v>
      </c>
      <c r="E456" t="str">
        <f>VLOOKUP(B456,'PROCV GERENTES BD'!A:B,2,0)</f>
        <v>ADMINISTRAÇÃO</v>
      </c>
      <c r="F456" s="4" t="str">
        <f t="shared" si="39"/>
        <v>2024-10-2</v>
      </c>
      <c r="G456" t="str">
        <f t="shared" si="35"/>
        <v>ADMINISTRAÇÃO</v>
      </c>
      <c r="H456" t="str">
        <f t="shared" si="36"/>
        <v>LIZZENA COSMETICOS LTDA EPP</v>
      </c>
      <c r="I456">
        <f t="shared" si="37"/>
        <v>0</v>
      </c>
      <c r="J456">
        <f t="shared" si="38"/>
        <v>1</v>
      </c>
    </row>
    <row r="457" spans="1:10" x14ac:dyDescent="0.25">
      <c r="A457" t="s">
        <v>380</v>
      </c>
      <c r="B457" t="s">
        <v>123</v>
      </c>
      <c r="C457" t="s">
        <v>56</v>
      </c>
      <c r="D457" s="3">
        <v>45587</v>
      </c>
      <c r="E457" t="str">
        <f>VLOOKUP(B457,'PROCV GERENTES BD'!A:B,2,0)</f>
        <v>ANTONIO CARLOS</v>
      </c>
      <c r="F457" s="4" t="str">
        <f t="shared" si="39"/>
        <v>2024-10-2</v>
      </c>
      <c r="G457" t="str">
        <f t="shared" si="35"/>
        <v>ANTONIO CARLOS</v>
      </c>
      <c r="H457" t="str">
        <f t="shared" si="36"/>
        <v>PREMOLDADOS MATOSINHOS LTDA EPP</v>
      </c>
      <c r="I457">
        <f t="shared" si="37"/>
        <v>0</v>
      </c>
      <c r="J457">
        <f t="shared" si="38"/>
        <v>1</v>
      </c>
    </row>
    <row r="458" spans="1:10" x14ac:dyDescent="0.25">
      <c r="A458" t="s">
        <v>326</v>
      </c>
      <c r="B458" t="s">
        <v>86</v>
      </c>
      <c r="C458" t="s">
        <v>56</v>
      </c>
      <c r="D458" s="3">
        <v>45587</v>
      </c>
      <c r="E458" t="str">
        <f>VLOOKUP(B458,'PROCV GERENTES BD'!A:B,2,0)</f>
        <v>CELIO PIMENTA</v>
      </c>
      <c r="F458" s="4" t="str">
        <f t="shared" si="39"/>
        <v>2024-10-2</v>
      </c>
      <c r="G458" t="str">
        <f t="shared" si="35"/>
        <v>CELIO PIMENTA</v>
      </c>
      <c r="H458" t="str">
        <f t="shared" si="36"/>
        <v>IMPORTEXTIL COMERCIO DE TECIDOS LTDA</v>
      </c>
      <c r="I458">
        <f t="shared" si="37"/>
        <v>0</v>
      </c>
      <c r="J458">
        <f t="shared" si="38"/>
        <v>1</v>
      </c>
    </row>
    <row r="459" spans="1:10" x14ac:dyDescent="0.25">
      <c r="A459" t="s">
        <v>331</v>
      </c>
      <c r="B459" t="s">
        <v>126</v>
      </c>
      <c r="C459" t="s">
        <v>72</v>
      </c>
      <c r="D459" s="3">
        <v>45587</v>
      </c>
      <c r="E459" t="str">
        <f>VLOOKUP(B459,'PROCV GERENTES BD'!A:B,2,0)</f>
        <v>FITZ</v>
      </c>
      <c r="F459" s="4" t="str">
        <f t="shared" si="39"/>
        <v>2024-10-2</v>
      </c>
      <c r="G459" t="str">
        <f t="shared" si="35"/>
        <v>FITZ</v>
      </c>
      <c r="H459" t="str">
        <f t="shared" si="36"/>
        <v>TRANSHENRY TRANSPORTES LTDA</v>
      </c>
      <c r="I459">
        <f t="shared" si="37"/>
        <v>1</v>
      </c>
      <c r="J459">
        <f t="shared" si="38"/>
        <v>0</v>
      </c>
    </row>
    <row r="460" spans="1:10" x14ac:dyDescent="0.25">
      <c r="A460" t="s">
        <v>341</v>
      </c>
      <c r="B460" t="s">
        <v>88</v>
      </c>
      <c r="C460" t="s">
        <v>56</v>
      </c>
      <c r="D460" s="3">
        <v>45587</v>
      </c>
      <c r="E460" t="str">
        <f>VLOOKUP(B460,'PROCV GERENTES BD'!A:B,2,0)</f>
        <v>LUIS GUSTAVO</v>
      </c>
      <c r="F460" s="4" t="str">
        <f t="shared" si="39"/>
        <v>2024-10-2</v>
      </c>
      <c r="G460" t="str">
        <f t="shared" si="35"/>
        <v>LUIS GUSTAVO</v>
      </c>
      <c r="H460" t="str">
        <f t="shared" si="36"/>
        <v>BETMIX CONCRETO LTDA</v>
      </c>
      <c r="I460">
        <f t="shared" si="37"/>
        <v>0</v>
      </c>
      <c r="J460">
        <f t="shared" si="38"/>
        <v>1</v>
      </c>
    </row>
    <row r="461" spans="1:10" x14ac:dyDescent="0.25">
      <c r="A461" t="s">
        <v>377</v>
      </c>
      <c r="B461" t="s">
        <v>120</v>
      </c>
      <c r="C461" t="s">
        <v>56</v>
      </c>
      <c r="D461" s="3">
        <v>45587</v>
      </c>
      <c r="E461" t="str">
        <f>VLOOKUP(B461,'PROCV GERENTES BD'!A:B,2,0)</f>
        <v xml:space="preserve">MARCUS VINICIUS </v>
      </c>
      <c r="F461" s="4" t="str">
        <f t="shared" si="39"/>
        <v>2024-10-2</v>
      </c>
      <c r="G461" t="str">
        <f t="shared" si="35"/>
        <v xml:space="preserve">MARCUS VINICIUS </v>
      </c>
      <c r="H461" t="str">
        <f t="shared" si="36"/>
        <v>ISOBASE POLIESTIRENO LTDA EPP</v>
      </c>
      <c r="I461">
        <f t="shared" si="37"/>
        <v>0</v>
      </c>
      <c r="J461">
        <f t="shared" si="38"/>
        <v>1</v>
      </c>
    </row>
    <row r="462" spans="1:10" x14ac:dyDescent="0.25">
      <c r="A462" t="s">
        <v>436</v>
      </c>
      <c r="B462" t="s">
        <v>186</v>
      </c>
      <c r="C462" t="s">
        <v>56</v>
      </c>
      <c r="D462" s="3">
        <v>45587</v>
      </c>
      <c r="E462" t="str">
        <f>VLOOKUP(B462,'PROCV GERENTES BD'!A:B,2,0)</f>
        <v xml:space="preserve">MARCUS VINICIUS </v>
      </c>
      <c r="F462" s="4" t="str">
        <f t="shared" si="39"/>
        <v>2024-10-2</v>
      </c>
      <c r="G462" t="str">
        <f t="shared" si="35"/>
        <v xml:space="preserve">MARCUS VINICIUS </v>
      </c>
      <c r="H462" t="str">
        <f t="shared" si="36"/>
        <v>LABOR ELETRIC INDUSTRIA E COMERCIO UNIPESSOAL LTDA</v>
      </c>
      <c r="I462">
        <f t="shared" si="37"/>
        <v>0</v>
      </c>
      <c r="J462">
        <f t="shared" si="38"/>
        <v>1</v>
      </c>
    </row>
    <row r="463" spans="1:10" x14ac:dyDescent="0.25">
      <c r="A463" t="s">
        <v>374</v>
      </c>
      <c r="B463" t="s">
        <v>117</v>
      </c>
      <c r="C463" t="s">
        <v>72</v>
      </c>
      <c r="D463" s="3">
        <v>45587</v>
      </c>
      <c r="E463" t="str">
        <f>VLOOKUP(B463,'PROCV GERENTES BD'!A:B,2,0)</f>
        <v>NELSON</v>
      </c>
      <c r="F463" s="4" t="str">
        <f t="shared" si="39"/>
        <v>2024-10-2</v>
      </c>
      <c r="G463" t="str">
        <f t="shared" si="35"/>
        <v>NELSON</v>
      </c>
      <c r="H463" t="str">
        <f t="shared" si="36"/>
        <v>VALENTE PRODUCOES LTDA ME</v>
      </c>
      <c r="I463">
        <f t="shared" si="37"/>
        <v>1</v>
      </c>
      <c r="J463">
        <f t="shared" si="38"/>
        <v>0</v>
      </c>
    </row>
    <row r="464" spans="1:10" x14ac:dyDescent="0.25">
      <c r="A464" t="s">
        <v>430</v>
      </c>
      <c r="B464" t="s">
        <v>180</v>
      </c>
      <c r="C464" t="s">
        <v>56</v>
      </c>
      <c r="D464" s="3">
        <v>45587</v>
      </c>
      <c r="E464" t="str">
        <f>VLOOKUP(B464,'PROCV GERENTES BD'!A:B,2,0)</f>
        <v>NOELI SALETE</v>
      </c>
      <c r="F464" s="4" t="str">
        <f t="shared" si="39"/>
        <v>2024-10-2</v>
      </c>
      <c r="G464" t="str">
        <f t="shared" si="35"/>
        <v>NOELI SALETE</v>
      </c>
      <c r="H464" t="str">
        <f t="shared" si="36"/>
        <v>COMGROUP AGROINDUSTRIAL LTDA</v>
      </c>
      <c r="I464">
        <f t="shared" si="37"/>
        <v>0</v>
      </c>
      <c r="J464">
        <f t="shared" si="38"/>
        <v>1</v>
      </c>
    </row>
    <row r="465" spans="1:10" x14ac:dyDescent="0.25">
      <c r="A465" t="s">
        <v>427</v>
      </c>
      <c r="B465" t="s">
        <v>176</v>
      </c>
      <c r="C465" t="s">
        <v>56</v>
      </c>
      <c r="D465" s="3">
        <v>45587</v>
      </c>
      <c r="E465" t="str">
        <f>VLOOKUP(B465,'PROCV GERENTES BD'!A:B,2,0)</f>
        <v>NOELI SALETE</v>
      </c>
      <c r="F465" s="4" t="str">
        <f t="shared" si="39"/>
        <v>2024-10-2</v>
      </c>
      <c r="G465" t="str">
        <f t="shared" si="35"/>
        <v>NOELI SALETE</v>
      </c>
      <c r="H465" t="str">
        <f t="shared" si="36"/>
        <v>GLOBAL ACO SERVICOS E PRODUTOS SIDERURGICOS LTDA E</v>
      </c>
      <c r="I465">
        <f t="shared" si="37"/>
        <v>0</v>
      </c>
      <c r="J465">
        <f t="shared" si="38"/>
        <v>1</v>
      </c>
    </row>
    <row r="466" spans="1:10" x14ac:dyDescent="0.25">
      <c r="A466" t="s">
        <v>347</v>
      </c>
      <c r="B466" t="s">
        <v>93</v>
      </c>
      <c r="C466" t="s">
        <v>56</v>
      </c>
      <c r="D466" s="3">
        <v>45587</v>
      </c>
      <c r="E466" t="str">
        <f>VLOOKUP(B466,'PROCV GERENTES BD'!A:B,2,0)</f>
        <v>NOELI SALETE</v>
      </c>
      <c r="F466" s="4" t="str">
        <f t="shared" si="39"/>
        <v>2024-10-2</v>
      </c>
      <c r="G466" t="str">
        <f t="shared" si="35"/>
        <v>NOELI SALETE</v>
      </c>
      <c r="H466" t="str">
        <f t="shared" si="36"/>
        <v>RODOBOX TRANSPORTES E ARMAZENAGEM DE CARGAS LTDA</v>
      </c>
      <c r="I466">
        <f t="shared" si="37"/>
        <v>0</v>
      </c>
      <c r="J466">
        <f t="shared" si="38"/>
        <v>1</v>
      </c>
    </row>
    <row r="467" spans="1:10" x14ac:dyDescent="0.25">
      <c r="A467" t="s">
        <v>348</v>
      </c>
      <c r="B467" t="s">
        <v>92</v>
      </c>
      <c r="C467" t="s">
        <v>56</v>
      </c>
      <c r="D467" s="3">
        <v>45587</v>
      </c>
      <c r="E467" t="str">
        <f>VLOOKUP(B467,'PROCV GERENTES BD'!A:B,2,0)</f>
        <v>NOELI SALETE</v>
      </c>
      <c r="F467" s="4" t="str">
        <f t="shared" si="39"/>
        <v>2024-10-2</v>
      </c>
      <c r="G467" t="str">
        <f t="shared" si="35"/>
        <v>NOELI SALETE</v>
      </c>
      <c r="H467" t="str">
        <f t="shared" si="36"/>
        <v>MEIO OESTE PAPEIS LTDA ME</v>
      </c>
      <c r="I467">
        <f t="shared" si="37"/>
        <v>0</v>
      </c>
      <c r="J467">
        <f t="shared" si="38"/>
        <v>1</v>
      </c>
    </row>
    <row r="468" spans="1:10" x14ac:dyDescent="0.25">
      <c r="A468" t="s">
        <v>415</v>
      </c>
      <c r="B468" t="s">
        <v>164</v>
      </c>
      <c r="C468" t="s">
        <v>56</v>
      </c>
      <c r="D468" s="3">
        <v>45587</v>
      </c>
      <c r="E468" t="str">
        <f>VLOOKUP(B468,'PROCV GERENTES BD'!A:B,2,0)</f>
        <v>NOELI SALETE</v>
      </c>
      <c r="F468" s="4" t="str">
        <f t="shared" si="39"/>
        <v>2024-10-2</v>
      </c>
      <c r="G468" t="str">
        <f t="shared" si="35"/>
        <v>NOELI SALETE</v>
      </c>
      <c r="H468" t="str">
        <f t="shared" si="36"/>
        <v>SGAMAQ INOVACAO AGROINDUSTRIAL LTDA</v>
      </c>
      <c r="I468">
        <f t="shared" si="37"/>
        <v>0</v>
      </c>
      <c r="J468">
        <f t="shared" si="38"/>
        <v>1</v>
      </c>
    </row>
    <row r="469" spans="1:10" x14ac:dyDescent="0.25">
      <c r="A469" t="s">
        <v>425</v>
      </c>
      <c r="B469" t="s">
        <v>174</v>
      </c>
      <c r="C469" t="s">
        <v>56</v>
      </c>
      <c r="D469" s="3">
        <v>45587</v>
      </c>
      <c r="E469" t="str">
        <f>VLOOKUP(B469,'PROCV GERENTES BD'!A:B,2,0)</f>
        <v>POENATELA</v>
      </c>
      <c r="F469" s="4" t="str">
        <f t="shared" si="39"/>
        <v>2024-10-2</v>
      </c>
      <c r="G469" t="str">
        <f t="shared" si="35"/>
        <v>POENATELA</v>
      </c>
      <c r="H469" t="str">
        <f t="shared" si="36"/>
        <v>DETRONIC ENERGIA E SERVICOS LTDA</v>
      </c>
      <c r="I469">
        <f t="shared" si="37"/>
        <v>0</v>
      </c>
      <c r="J469">
        <f t="shared" si="38"/>
        <v>1</v>
      </c>
    </row>
    <row r="470" spans="1:10" x14ac:dyDescent="0.25">
      <c r="A470" t="s">
        <v>361</v>
      </c>
      <c r="B470" t="s">
        <v>103</v>
      </c>
      <c r="C470" t="s">
        <v>56</v>
      </c>
      <c r="D470" s="3">
        <v>45587</v>
      </c>
      <c r="E470" t="str">
        <f>VLOOKUP(B470,'PROCV GERENTES BD'!A:B,2,0)</f>
        <v>PRISCILA METZ</v>
      </c>
      <c r="F470" s="4" t="str">
        <f t="shared" si="39"/>
        <v>2024-10-2</v>
      </c>
      <c r="G470" t="str">
        <f t="shared" si="35"/>
        <v>PRISCILA METZ</v>
      </c>
      <c r="H470" t="str">
        <f t="shared" si="36"/>
        <v>ESSENZA INDUSTRIA QUIMICA LTDA</v>
      </c>
      <c r="I470">
        <f t="shared" si="37"/>
        <v>0</v>
      </c>
      <c r="J470">
        <f t="shared" si="38"/>
        <v>1</v>
      </c>
    </row>
    <row r="471" spans="1:10" x14ac:dyDescent="0.25">
      <c r="A471" t="s">
        <v>384</v>
      </c>
      <c r="B471" t="s">
        <v>128</v>
      </c>
      <c r="C471" t="s">
        <v>56</v>
      </c>
      <c r="D471" s="3">
        <v>45587</v>
      </c>
      <c r="E471" t="str">
        <f>VLOOKUP(B471,'PROCV GERENTES BD'!A:B,2,0)</f>
        <v>PRISCILA METZ</v>
      </c>
      <c r="F471" s="4" t="str">
        <f t="shared" si="39"/>
        <v>2024-10-2</v>
      </c>
      <c r="G471" t="str">
        <f t="shared" si="35"/>
        <v>PRISCILA METZ</v>
      </c>
      <c r="H471" t="str">
        <f t="shared" si="36"/>
        <v>NOVA DISTRIBUIDORA E ATACADO DE LIMPEZA LTDA</v>
      </c>
      <c r="I471">
        <f t="shared" si="37"/>
        <v>0</v>
      </c>
      <c r="J471">
        <f t="shared" si="38"/>
        <v>1</v>
      </c>
    </row>
    <row r="472" spans="1:10" x14ac:dyDescent="0.25">
      <c r="A472" t="s">
        <v>437</v>
      </c>
      <c r="B472" t="s">
        <v>187</v>
      </c>
      <c r="C472" t="s">
        <v>56</v>
      </c>
      <c r="D472" s="3">
        <v>45587</v>
      </c>
      <c r="E472" t="s">
        <v>25</v>
      </c>
      <c r="F472" s="4" t="str">
        <f t="shared" si="39"/>
        <v>2024-10-2</v>
      </c>
      <c r="G472" t="str">
        <f t="shared" si="35"/>
        <v xml:space="preserve">ROGERIO </v>
      </c>
      <c r="H472" t="str">
        <f t="shared" si="36"/>
        <v>ENCADESP LTDA ME</v>
      </c>
      <c r="I472">
        <f t="shared" si="37"/>
        <v>0</v>
      </c>
      <c r="J472">
        <f t="shared" si="38"/>
        <v>1</v>
      </c>
    </row>
    <row r="473" spans="1:10" x14ac:dyDescent="0.25">
      <c r="A473" t="s">
        <v>414</v>
      </c>
      <c r="B473" t="s">
        <v>163</v>
      </c>
      <c r="C473" t="s">
        <v>56</v>
      </c>
      <c r="D473" s="3">
        <v>45588</v>
      </c>
      <c r="E473" t="str">
        <f>VLOOKUP(B473,'PROCV GERENTES BD'!A:B,2,0)</f>
        <v>ADMINISTRAÇÃO</v>
      </c>
      <c r="F473" s="4" t="str">
        <f t="shared" si="39"/>
        <v>2024-10-2</v>
      </c>
      <c r="G473" t="str">
        <f t="shared" si="35"/>
        <v>ADMINISTRAÇÃO</v>
      </c>
      <c r="H473" t="str">
        <f t="shared" si="36"/>
        <v>RIMAG COMERCIO ATACADISTA DE ALIMENTOS IMPORTACAO</v>
      </c>
      <c r="I473">
        <f t="shared" si="37"/>
        <v>0</v>
      </c>
      <c r="J473">
        <f t="shared" si="38"/>
        <v>1</v>
      </c>
    </row>
    <row r="474" spans="1:10" x14ac:dyDescent="0.25">
      <c r="A474" t="s">
        <v>326</v>
      </c>
      <c r="B474" t="s">
        <v>86</v>
      </c>
      <c r="C474" t="s">
        <v>56</v>
      </c>
      <c r="D474" s="3">
        <v>45588</v>
      </c>
      <c r="E474" t="str">
        <f>VLOOKUP(B474,'PROCV GERENTES BD'!A:B,2,0)</f>
        <v>CELIO PIMENTA</v>
      </c>
      <c r="F474" s="4" t="str">
        <f t="shared" si="39"/>
        <v>2024-10-2</v>
      </c>
      <c r="G474" t="str">
        <f t="shared" si="35"/>
        <v>CELIO PIMENTA</v>
      </c>
      <c r="H474" t="str">
        <f t="shared" si="36"/>
        <v>IMPORTEXTIL COMERCIO DE TECIDOS LTDA</v>
      </c>
      <c r="I474">
        <f t="shared" si="37"/>
        <v>0</v>
      </c>
      <c r="J474">
        <f t="shared" si="38"/>
        <v>1</v>
      </c>
    </row>
    <row r="475" spans="1:10" x14ac:dyDescent="0.25">
      <c r="A475" t="s">
        <v>382</v>
      </c>
      <c r="B475" t="s">
        <v>125</v>
      </c>
      <c r="C475" t="s">
        <v>56</v>
      </c>
      <c r="D475" s="3">
        <v>45588</v>
      </c>
      <c r="E475" t="str">
        <f>VLOOKUP(B475,'PROCV GERENTES BD'!A:B,2,0)</f>
        <v>CELIO PIMENTA</v>
      </c>
      <c r="F475" s="4" t="str">
        <f t="shared" si="39"/>
        <v>2024-10-2</v>
      </c>
      <c r="G475" t="str">
        <f t="shared" si="35"/>
        <v>CELIO PIMENTA</v>
      </c>
      <c r="H475" t="str">
        <f t="shared" si="36"/>
        <v>MINAS ALIMENTOS E FRUTAS SECAS LTDA EPP</v>
      </c>
      <c r="I475">
        <f t="shared" si="37"/>
        <v>0</v>
      </c>
      <c r="J475">
        <f t="shared" si="38"/>
        <v>1</v>
      </c>
    </row>
    <row r="476" spans="1:10" x14ac:dyDescent="0.25">
      <c r="A476" t="s">
        <v>60</v>
      </c>
      <c r="B476" t="s">
        <v>61</v>
      </c>
      <c r="C476" t="s">
        <v>72</v>
      </c>
      <c r="D476" s="3">
        <v>45588</v>
      </c>
      <c r="E476" t="str">
        <f>VLOOKUP(B476,'PROCV GERENTES BD'!A:B,2,0)</f>
        <v>CELIO PIMENTA</v>
      </c>
      <c r="F476" s="4" t="str">
        <f t="shared" si="39"/>
        <v>2024-10-2</v>
      </c>
      <c r="G476" t="str">
        <f t="shared" si="35"/>
        <v>CELIO PIMENTA</v>
      </c>
      <c r="H476" t="str">
        <f t="shared" si="36"/>
        <v>WJ CALDEIRARIA INDUSTRIA E COMERCIO LTDA ME</v>
      </c>
      <c r="I476">
        <f t="shared" si="37"/>
        <v>1</v>
      </c>
      <c r="J476">
        <f t="shared" si="38"/>
        <v>0</v>
      </c>
    </row>
    <row r="477" spans="1:10" x14ac:dyDescent="0.25">
      <c r="A477" t="s">
        <v>358</v>
      </c>
      <c r="B477" t="s">
        <v>101</v>
      </c>
      <c r="C477" t="s">
        <v>59</v>
      </c>
      <c r="D477" s="3">
        <v>45588</v>
      </c>
      <c r="E477" t="str">
        <f>VLOOKUP(B477,'PROCV GERENTES BD'!A:B,2,0)</f>
        <v>GRUPO OTTO</v>
      </c>
      <c r="F477" s="4" t="str">
        <f t="shared" si="39"/>
        <v>2024-10-2</v>
      </c>
      <c r="G477" t="str">
        <f t="shared" si="35"/>
        <v>GRUPO OTTO</v>
      </c>
      <c r="H477" t="str">
        <f t="shared" si="36"/>
        <v>PLURIFORME INDUSTRIA E COMERCIO DE UNIFORMES LTDA</v>
      </c>
      <c r="I477">
        <f t="shared" si="37"/>
        <v>0</v>
      </c>
      <c r="J477">
        <f t="shared" si="38"/>
        <v>0</v>
      </c>
    </row>
    <row r="478" spans="1:10" x14ac:dyDescent="0.25">
      <c r="A478" t="s">
        <v>426</v>
      </c>
      <c r="B478" t="s">
        <v>175</v>
      </c>
      <c r="C478" t="s">
        <v>56</v>
      </c>
      <c r="D478" s="3">
        <v>45588</v>
      </c>
      <c r="E478" t="str">
        <f>VLOOKUP(B478,'PROCV GERENTES BD'!A:B,2,0)</f>
        <v>NATALIA NUBIA</v>
      </c>
      <c r="F478" s="4" t="str">
        <f t="shared" si="39"/>
        <v>2024-10-2</v>
      </c>
      <c r="G478" t="str">
        <f t="shared" si="35"/>
        <v>NATALIA NUBIA</v>
      </c>
      <c r="H478" t="str">
        <f t="shared" si="36"/>
        <v>MAAT COMERCIO DE VESTUARIO LTDA EPP</v>
      </c>
      <c r="I478">
        <f t="shared" si="37"/>
        <v>0</v>
      </c>
      <c r="J478">
        <f t="shared" si="38"/>
        <v>1</v>
      </c>
    </row>
    <row r="479" spans="1:10" x14ac:dyDescent="0.25">
      <c r="A479" t="s">
        <v>348</v>
      </c>
      <c r="B479" t="s">
        <v>92</v>
      </c>
      <c r="C479" t="s">
        <v>56</v>
      </c>
      <c r="D479" s="3">
        <v>45588</v>
      </c>
      <c r="E479" t="str">
        <f>VLOOKUP(B479,'PROCV GERENTES BD'!A:B,2,0)</f>
        <v>NOELI SALETE</v>
      </c>
      <c r="F479" s="4" t="str">
        <f t="shared" si="39"/>
        <v>2024-10-2</v>
      </c>
      <c r="G479" t="str">
        <f t="shared" si="35"/>
        <v>NOELI SALETE</v>
      </c>
      <c r="H479" t="str">
        <f t="shared" si="36"/>
        <v>MEIO OESTE PAPEIS LTDA ME</v>
      </c>
      <c r="I479">
        <f t="shared" si="37"/>
        <v>0</v>
      </c>
      <c r="J479">
        <f t="shared" si="38"/>
        <v>1</v>
      </c>
    </row>
    <row r="480" spans="1:10" x14ac:dyDescent="0.25">
      <c r="A480" t="s">
        <v>408</v>
      </c>
      <c r="B480" t="s">
        <v>157</v>
      </c>
      <c r="C480" t="s">
        <v>56</v>
      </c>
      <c r="D480" s="3">
        <v>45588</v>
      </c>
      <c r="E480" t="str">
        <f>VLOOKUP(B480,'PROCV GERENTES BD'!A:B,2,0)</f>
        <v>NOELI SALETE</v>
      </c>
      <c r="F480" s="4" t="str">
        <f t="shared" si="39"/>
        <v>2024-10-2</v>
      </c>
      <c r="G480" t="str">
        <f t="shared" si="35"/>
        <v>NOELI SALETE</v>
      </c>
      <c r="H480" t="str">
        <f t="shared" si="36"/>
        <v>POOLMAK SISTEMAS ESTRUTURAIS LTDA</v>
      </c>
      <c r="I480">
        <f t="shared" si="37"/>
        <v>0</v>
      </c>
      <c r="J480">
        <f t="shared" si="38"/>
        <v>1</v>
      </c>
    </row>
    <row r="481" spans="1:10" x14ac:dyDescent="0.25">
      <c r="A481" t="s">
        <v>415</v>
      </c>
      <c r="B481" t="s">
        <v>164</v>
      </c>
      <c r="C481" t="s">
        <v>72</v>
      </c>
      <c r="D481" s="3">
        <v>45588</v>
      </c>
      <c r="E481" t="str">
        <f>VLOOKUP(B481,'PROCV GERENTES BD'!A:B,2,0)</f>
        <v>NOELI SALETE</v>
      </c>
      <c r="F481" s="4" t="str">
        <f t="shared" si="39"/>
        <v>2024-10-2</v>
      </c>
      <c r="G481" t="str">
        <f t="shared" si="35"/>
        <v>NOELI SALETE</v>
      </c>
      <c r="H481" t="str">
        <f t="shared" si="36"/>
        <v>SGAMAQ INOVACAO AGROINDUSTRIAL LTDA</v>
      </c>
      <c r="I481">
        <f t="shared" si="37"/>
        <v>1</v>
      </c>
      <c r="J481">
        <f t="shared" si="38"/>
        <v>0</v>
      </c>
    </row>
    <row r="482" spans="1:10" x14ac:dyDescent="0.25">
      <c r="A482" t="s">
        <v>352</v>
      </c>
      <c r="B482" t="s">
        <v>95</v>
      </c>
      <c r="C482" t="s">
        <v>72</v>
      </c>
      <c r="D482" s="3">
        <v>45588</v>
      </c>
      <c r="E482" t="str">
        <f>VLOOKUP(B482,'PROCV GERENTES BD'!A:B,2,0)</f>
        <v>POENATELA</v>
      </c>
      <c r="F482" s="4" t="str">
        <f t="shared" si="39"/>
        <v>2024-10-2</v>
      </c>
      <c r="G482" t="str">
        <f t="shared" si="35"/>
        <v>POENATELA</v>
      </c>
      <c r="H482" t="str">
        <f t="shared" si="36"/>
        <v>CERVEJARIA SOUZA LTDA</v>
      </c>
      <c r="I482">
        <f t="shared" si="37"/>
        <v>1</v>
      </c>
      <c r="J482">
        <f t="shared" si="38"/>
        <v>0</v>
      </c>
    </row>
    <row r="483" spans="1:10" x14ac:dyDescent="0.25">
      <c r="A483" t="s">
        <v>354</v>
      </c>
      <c r="B483" t="s">
        <v>97</v>
      </c>
      <c r="C483" t="s">
        <v>59</v>
      </c>
      <c r="D483" s="3">
        <v>45588</v>
      </c>
      <c r="E483" t="str">
        <f>VLOOKUP(B483,'PROCV GERENTES BD'!A:B,2,0)</f>
        <v>POENATELA</v>
      </c>
      <c r="F483" s="4" t="str">
        <f t="shared" si="39"/>
        <v>2024-10-2</v>
      </c>
      <c r="G483" t="str">
        <f t="shared" si="35"/>
        <v>POENATELA</v>
      </c>
      <c r="H483" t="str">
        <f t="shared" si="36"/>
        <v>UBERTEC SERVICE USINAGEM LTDA EPP</v>
      </c>
      <c r="I483">
        <f t="shared" si="37"/>
        <v>0</v>
      </c>
      <c r="J483">
        <f t="shared" si="38"/>
        <v>0</v>
      </c>
    </row>
    <row r="484" spans="1:10" x14ac:dyDescent="0.25">
      <c r="A484" t="s">
        <v>416</v>
      </c>
      <c r="B484" t="s">
        <v>165</v>
      </c>
      <c r="C484" t="s">
        <v>72</v>
      </c>
      <c r="D484" s="3">
        <v>45588</v>
      </c>
      <c r="E484" t="str">
        <f>VLOOKUP(B484,'PROCV GERENTES BD'!A:B,2,0)</f>
        <v>PRISCILA METZ</v>
      </c>
      <c r="F484" s="4" t="str">
        <f t="shared" si="39"/>
        <v>2024-10-2</v>
      </c>
      <c r="G484" t="str">
        <f t="shared" si="35"/>
        <v>PRISCILA METZ</v>
      </c>
      <c r="H484" t="str">
        <f t="shared" si="36"/>
        <v>37 054 821 LARISSA GONTIJO AZEVEDO ME</v>
      </c>
      <c r="I484">
        <f t="shared" si="37"/>
        <v>1</v>
      </c>
      <c r="J484">
        <f t="shared" si="38"/>
        <v>0</v>
      </c>
    </row>
    <row r="485" spans="1:10" x14ac:dyDescent="0.25">
      <c r="A485" t="s">
        <v>384</v>
      </c>
      <c r="B485" t="s">
        <v>128</v>
      </c>
      <c r="C485" t="s">
        <v>56</v>
      </c>
      <c r="D485" s="3">
        <v>45588</v>
      </c>
      <c r="E485" t="str">
        <f>VLOOKUP(B485,'PROCV GERENTES BD'!A:B,2,0)</f>
        <v>PRISCILA METZ</v>
      </c>
      <c r="F485" s="4" t="str">
        <f t="shared" si="39"/>
        <v>2024-10-2</v>
      </c>
      <c r="G485" t="str">
        <f t="shared" si="35"/>
        <v>PRISCILA METZ</v>
      </c>
      <c r="H485" t="str">
        <f t="shared" si="36"/>
        <v>NOVA DISTRIBUIDORA E ATACADO DE LIMPEZA LTDA</v>
      </c>
      <c r="I485">
        <f t="shared" si="37"/>
        <v>0</v>
      </c>
      <c r="J485">
        <f t="shared" si="38"/>
        <v>1</v>
      </c>
    </row>
    <row r="486" spans="1:10" x14ac:dyDescent="0.25">
      <c r="A486" t="s">
        <v>326</v>
      </c>
      <c r="B486" t="s">
        <v>86</v>
      </c>
      <c r="C486" t="s">
        <v>56</v>
      </c>
      <c r="D486" s="3">
        <v>45589</v>
      </c>
      <c r="E486" t="str">
        <f>VLOOKUP(B486,'PROCV GERENTES BD'!A:B,2,0)</f>
        <v>CELIO PIMENTA</v>
      </c>
      <c r="F486" s="4" t="str">
        <f t="shared" si="39"/>
        <v>2024-10-2</v>
      </c>
      <c r="G486" t="str">
        <f t="shared" si="35"/>
        <v>CELIO PIMENTA</v>
      </c>
      <c r="H486" t="str">
        <f t="shared" si="36"/>
        <v>IMPORTEXTIL COMERCIO DE TECIDOS LTDA</v>
      </c>
      <c r="I486">
        <f t="shared" si="37"/>
        <v>0</v>
      </c>
      <c r="J486">
        <f t="shared" si="38"/>
        <v>1</v>
      </c>
    </row>
    <row r="487" spans="1:10" x14ac:dyDescent="0.25">
      <c r="A487" t="s">
        <v>386</v>
      </c>
      <c r="B487" t="s">
        <v>132</v>
      </c>
      <c r="C487" t="s">
        <v>72</v>
      </c>
      <c r="D487" s="3">
        <v>45589</v>
      </c>
      <c r="E487" t="str">
        <f>VLOOKUP(B487,'PROCV GERENTES BD'!A:B,2,0)</f>
        <v>CELIO PIMENTA</v>
      </c>
      <c r="F487" s="4" t="str">
        <f t="shared" si="39"/>
        <v>2024-10-2</v>
      </c>
      <c r="G487" t="str">
        <f t="shared" si="35"/>
        <v>CELIO PIMENTA</v>
      </c>
      <c r="H487" t="str">
        <f t="shared" si="36"/>
        <v>PHOENIX LOG TRANSPORTES LTDA EPP</v>
      </c>
      <c r="I487">
        <f t="shared" si="37"/>
        <v>1</v>
      </c>
      <c r="J487">
        <f t="shared" si="38"/>
        <v>0</v>
      </c>
    </row>
    <row r="488" spans="1:10" x14ac:dyDescent="0.25">
      <c r="A488" t="s">
        <v>330</v>
      </c>
      <c r="B488" t="s">
        <v>116</v>
      </c>
      <c r="C488" t="s">
        <v>56</v>
      </c>
      <c r="D488" s="3">
        <v>45589</v>
      </c>
      <c r="E488" t="str">
        <f>VLOOKUP(B488,'PROCV GERENTES BD'!A:B,2,0)</f>
        <v>FITZ</v>
      </c>
      <c r="F488" s="4" t="str">
        <f t="shared" si="39"/>
        <v>2024-10-2</v>
      </c>
      <c r="G488" t="str">
        <f t="shared" si="35"/>
        <v>FITZ</v>
      </c>
      <c r="H488" t="str">
        <f t="shared" si="36"/>
        <v>SIAP COMERCIO DE PRODUTOS AGROPECUARIOS LTDA</v>
      </c>
      <c r="I488">
        <f t="shared" si="37"/>
        <v>0</v>
      </c>
      <c r="J488">
        <f t="shared" si="38"/>
        <v>1</v>
      </c>
    </row>
    <row r="489" spans="1:10" x14ac:dyDescent="0.25">
      <c r="A489" t="s">
        <v>358</v>
      </c>
      <c r="B489" t="s">
        <v>101</v>
      </c>
      <c r="C489" t="s">
        <v>59</v>
      </c>
      <c r="D489" s="3">
        <v>45589</v>
      </c>
      <c r="E489" t="str">
        <f>VLOOKUP(B489,'PROCV GERENTES BD'!A:B,2,0)</f>
        <v>GRUPO OTTO</v>
      </c>
      <c r="F489" s="4" t="str">
        <f t="shared" si="39"/>
        <v>2024-10-2</v>
      </c>
      <c r="G489" t="str">
        <f t="shared" si="35"/>
        <v>GRUPO OTTO</v>
      </c>
      <c r="H489" t="str">
        <f t="shared" si="36"/>
        <v>PLURIFORME INDUSTRIA E COMERCIO DE UNIFORMES LTDA</v>
      </c>
      <c r="I489">
        <f t="shared" si="37"/>
        <v>0</v>
      </c>
      <c r="J489">
        <f t="shared" si="38"/>
        <v>0</v>
      </c>
    </row>
    <row r="490" spans="1:10" x14ac:dyDescent="0.25">
      <c r="A490" t="s">
        <v>403</v>
      </c>
      <c r="B490" t="s">
        <v>152</v>
      </c>
      <c r="C490" t="s">
        <v>72</v>
      </c>
      <c r="D490" s="3">
        <v>45589</v>
      </c>
      <c r="E490" t="str">
        <f>VLOOKUP(B490,'PROCV GERENTES BD'!A:B,2,0)</f>
        <v>MARCIO LEONEL</v>
      </c>
      <c r="F490" s="4" t="str">
        <f t="shared" si="39"/>
        <v>2024-10-2</v>
      </c>
      <c r="G490" t="str">
        <f t="shared" si="35"/>
        <v>MARCIO LEONEL</v>
      </c>
      <c r="H490" t="str">
        <f t="shared" si="36"/>
        <v>MEDICAL PRIME IMP EXPORT DISTRIB PRODUTOS MEDICOS</v>
      </c>
      <c r="I490">
        <f t="shared" si="37"/>
        <v>1</v>
      </c>
      <c r="J490">
        <f t="shared" si="38"/>
        <v>0</v>
      </c>
    </row>
    <row r="491" spans="1:10" x14ac:dyDescent="0.25">
      <c r="A491" t="s">
        <v>66</v>
      </c>
      <c r="B491" t="s">
        <v>67</v>
      </c>
      <c r="C491" t="s">
        <v>72</v>
      </c>
      <c r="D491" s="3">
        <v>45589</v>
      </c>
      <c r="E491" t="str">
        <f>VLOOKUP(B491,'PROCV GERENTES BD'!A:B,2,0)</f>
        <v xml:space="preserve">MARCUS VINICIUS </v>
      </c>
      <c r="F491" s="4" t="str">
        <f t="shared" si="39"/>
        <v>2024-10-2</v>
      </c>
      <c r="G491" t="str">
        <f t="shared" si="35"/>
        <v xml:space="preserve">MARCUS VINICIUS </v>
      </c>
      <c r="H491" t="str">
        <f t="shared" si="36"/>
        <v>COM IND DE CEREAIS E TRANSPORTES MACIEL LTDA</v>
      </c>
      <c r="I491">
        <f t="shared" si="37"/>
        <v>1</v>
      </c>
      <c r="J491">
        <f t="shared" si="38"/>
        <v>0</v>
      </c>
    </row>
    <row r="492" spans="1:10" x14ac:dyDescent="0.25">
      <c r="A492" t="s">
        <v>377</v>
      </c>
      <c r="B492" t="s">
        <v>120</v>
      </c>
      <c r="C492" t="s">
        <v>56</v>
      </c>
      <c r="D492" s="3">
        <v>45589</v>
      </c>
      <c r="E492" t="str">
        <f>VLOOKUP(B492,'PROCV GERENTES BD'!A:B,2,0)</f>
        <v xml:space="preserve">MARCUS VINICIUS </v>
      </c>
      <c r="F492" s="4" t="str">
        <f t="shared" si="39"/>
        <v>2024-10-2</v>
      </c>
      <c r="G492" t="str">
        <f t="shared" si="35"/>
        <v xml:space="preserve">MARCUS VINICIUS </v>
      </c>
      <c r="H492" t="str">
        <f t="shared" si="36"/>
        <v>ISOBASE POLIESTIRENO LTDA EPP</v>
      </c>
      <c r="I492">
        <f t="shared" si="37"/>
        <v>0</v>
      </c>
      <c r="J492">
        <f t="shared" si="38"/>
        <v>1</v>
      </c>
    </row>
    <row r="493" spans="1:10" x14ac:dyDescent="0.25">
      <c r="A493" t="s">
        <v>426</v>
      </c>
      <c r="B493" t="s">
        <v>175</v>
      </c>
      <c r="C493" t="s">
        <v>56</v>
      </c>
      <c r="D493" s="3">
        <v>45589</v>
      </c>
      <c r="E493" t="str">
        <f>VLOOKUP(B493,'PROCV GERENTES BD'!A:B,2,0)</f>
        <v>NATALIA NUBIA</v>
      </c>
      <c r="F493" s="4" t="str">
        <f t="shared" si="39"/>
        <v>2024-10-2</v>
      </c>
      <c r="G493" t="str">
        <f t="shared" si="35"/>
        <v>NATALIA NUBIA</v>
      </c>
      <c r="H493" t="str">
        <f t="shared" si="36"/>
        <v>MAAT COMERCIO DE VESTUARIO LTDA EPP</v>
      </c>
      <c r="I493">
        <f t="shared" si="37"/>
        <v>0</v>
      </c>
      <c r="J493">
        <f t="shared" si="38"/>
        <v>1</v>
      </c>
    </row>
    <row r="494" spans="1:10" x14ac:dyDescent="0.25">
      <c r="A494" t="s">
        <v>430</v>
      </c>
      <c r="B494" t="s">
        <v>180</v>
      </c>
      <c r="C494" t="s">
        <v>56</v>
      </c>
      <c r="D494" s="3">
        <v>45589</v>
      </c>
      <c r="E494" t="str">
        <f>VLOOKUP(B494,'PROCV GERENTES BD'!A:B,2,0)</f>
        <v>NOELI SALETE</v>
      </c>
      <c r="F494" s="4" t="str">
        <f t="shared" si="39"/>
        <v>2024-10-2</v>
      </c>
      <c r="G494" t="str">
        <f t="shared" si="35"/>
        <v>NOELI SALETE</v>
      </c>
      <c r="H494" t="str">
        <f t="shared" si="36"/>
        <v>COMGROUP AGROINDUSTRIAL LTDA</v>
      </c>
      <c r="I494">
        <f t="shared" si="37"/>
        <v>0</v>
      </c>
      <c r="J494">
        <f t="shared" si="38"/>
        <v>1</v>
      </c>
    </row>
    <row r="495" spans="1:10" x14ac:dyDescent="0.25">
      <c r="A495" t="s">
        <v>348</v>
      </c>
      <c r="B495" t="s">
        <v>92</v>
      </c>
      <c r="C495" t="s">
        <v>56</v>
      </c>
      <c r="D495" s="3">
        <v>45589</v>
      </c>
      <c r="E495" t="str">
        <f>VLOOKUP(B495,'PROCV GERENTES BD'!A:B,2,0)</f>
        <v>NOELI SALETE</v>
      </c>
      <c r="F495" s="4" t="str">
        <f t="shared" si="39"/>
        <v>2024-10-2</v>
      </c>
      <c r="G495" t="str">
        <f t="shared" si="35"/>
        <v>NOELI SALETE</v>
      </c>
      <c r="H495" t="str">
        <f t="shared" si="36"/>
        <v>MEIO OESTE PAPEIS LTDA ME</v>
      </c>
      <c r="I495">
        <f t="shared" si="37"/>
        <v>0</v>
      </c>
      <c r="J495">
        <f t="shared" si="38"/>
        <v>1</v>
      </c>
    </row>
    <row r="496" spans="1:10" x14ac:dyDescent="0.25">
      <c r="A496" t="s">
        <v>431</v>
      </c>
      <c r="B496" t="s">
        <v>181</v>
      </c>
      <c r="C496" t="s">
        <v>72</v>
      </c>
      <c r="D496" s="3">
        <v>45589</v>
      </c>
      <c r="E496" t="str">
        <f>VLOOKUP(B496,'PROCV GERENTES BD'!A:B,2,0)</f>
        <v>POENATELA</v>
      </c>
      <c r="F496" s="4" t="str">
        <f t="shared" si="39"/>
        <v>2024-10-2</v>
      </c>
      <c r="G496" t="str">
        <f t="shared" si="35"/>
        <v>POENATELA</v>
      </c>
      <c r="H496" t="str">
        <f t="shared" si="36"/>
        <v>EXPRESSO PAV CONSTRUCOES E SERVICOS LTDA ME</v>
      </c>
      <c r="I496">
        <f t="shared" si="37"/>
        <v>1</v>
      </c>
      <c r="J496">
        <f t="shared" si="38"/>
        <v>0</v>
      </c>
    </row>
    <row r="497" spans="1:10" x14ac:dyDescent="0.25">
      <c r="A497" t="s">
        <v>361</v>
      </c>
      <c r="B497" t="s">
        <v>103</v>
      </c>
      <c r="C497" t="s">
        <v>56</v>
      </c>
      <c r="D497" s="3">
        <v>45589</v>
      </c>
      <c r="E497" t="str">
        <f>VLOOKUP(B497,'PROCV GERENTES BD'!A:B,2,0)</f>
        <v>PRISCILA METZ</v>
      </c>
      <c r="F497" s="4" t="str">
        <f t="shared" si="39"/>
        <v>2024-10-2</v>
      </c>
      <c r="G497" t="str">
        <f t="shared" si="35"/>
        <v>PRISCILA METZ</v>
      </c>
      <c r="H497" t="str">
        <f t="shared" si="36"/>
        <v>ESSENZA INDUSTRIA QUIMICA LTDA</v>
      </c>
      <c r="I497">
        <f t="shared" si="37"/>
        <v>0</v>
      </c>
      <c r="J497">
        <f t="shared" si="38"/>
        <v>1</v>
      </c>
    </row>
    <row r="498" spans="1:10" x14ac:dyDescent="0.25">
      <c r="A498" t="s">
        <v>395</v>
      </c>
      <c r="B498" t="s">
        <v>141</v>
      </c>
      <c r="C498" t="s">
        <v>72</v>
      </c>
      <c r="D498" s="3">
        <v>45589</v>
      </c>
      <c r="E498" t="str">
        <f>VLOOKUP(B498,'PROCV GERENTES BD'!A:B,2,0)</f>
        <v>RAFAEL PARISE</v>
      </c>
      <c r="F498" s="4" t="str">
        <f t="shared" si="39"/>
        <v>2024-10-2</v>
      </c>
      <c r="G498" t="str">
        <f t="shared" si="35"/>
        <v>RAFAEL PARISE</v>
      </c>
      <c r="H498" t="str">
        <f t="shared" si="36"/>
        <v>MAIS DISTRIBUIDORA LTDA</v>
      </c>
      <c r="I498">
        <f t="shared" si="37"/>
        <v>1</v>
      </c>
      <c r="J498">
        <f t="shared" si="38"/>
        <v>0</v>
      </c>
    </row>
    <row r="499" spans="1:10" x14ac:dyDescent="0.25">
      <c r="A499" t="s">
        <v>82</v>
      </c>
      <c r="B499" t="s">
        <v>83</v>
      </c>
      <c r="C499" t="s">
        <v>72</v>
      </c>
      <c r="D499" s="3">
        <v>45589</v>
      </c>
      <c r="E499" t="str">
        <f>VLOOKUP(B499,'PROCV GERENTES BD'!A:B,2,0)</f>
        <v>RAFAEL PARISE</v>
      </c>
      <c r="F499" s="4" t="str">
        <f t="shared" si="39"/>
        <v>2024-10-2</v>
      </c>
      <c r="G499" t="str">
        <f t="shared" si="35"/>
        <v>RAFAEL PARISE</v>
      </c>
      <c r="H499" t="str">
        <f t="shared" si="36"/>
        <v>UNITA AUTO PECAS LTDA EPP</v>
      </c>
      <c r="I499">
        <f t="shared" si="37"/>
        <v>1</v>
      </c>
      <c r="J499">
        <f t="shared" si="38"/>
        <v>0</v>
      </c>
    </row>
    <row r="500" spans="1:10" x14ac:dyDescent="0.25">
      <c r="A500" t="s">
        <v>437</v>
      </c>
      <c r="B500" t="s">
        <v>187</v>
      </c>
      <c r="C500" t="s">
        <v>72</v>
      </c>
      <c r="D500" s="3">
        <v>45589</v>
      </c>
      <c r="E500" t="s">
        <v>25</v>
      </c>
      <c r="F500" s="4" t="str">
        <f t="shared" si="39"/>
        <v>2024-10-2</v>
      </c>
      <c r="G500" t="str">
        <f t="shared" si="35"/>
        <v xml:space="preserve">ROGERIO </v>
      </c>
      <c r="H500" t="str">
        <f t="shared" si="36"/>
        <v>ENCADESP LTDA ME</v>
      </c>
      <c r="I500">
        <f t="shared" si="37"/>
        <v>1</v>
      </c>
      <c r="J500">
        <f t="shared" si="38"/>
        <v>0</v>
      </c>
    </row>
    <row r="501" spans="1:10" x14ac:dyDescent="0.25">
      <c r="A501" t="s">
        <v>429</v>
      </c>
      <c r="B501" t="s">
        <v>178</v>
      </c>
      <c r="C501" t="s">
        <v>56</v>
      </c>
      <c r="D501" s="3">
        <v>45589</v>
      </c>
      <c r="E501" t="str">
        <f>VLOOKUP(B501,'PROCV GERENTES BD'!A:B,2,0)</f>
        <v>WHELKYA IRIS</v>
      </c>
      <c r="F501" s="4" t="str">
        <f t="shared" si="39"/>
        <v>2024-10-2</v>
      </c>
      <c r="G501" t="str">
        <f t="shared" si="35"/>
        <v>WHELKYA IRIS</v>
      </c>
      <c r="H501" t="str">
        <f t="shared" si="36"/>
        <v>EDUARDO LUIZ SILVA DA LUZ ME</v>
      </c>
      <c r="I501">
        <f t="shared" si="37"/>
        <v>0</v>
      </c>
      <c r="J501">
        <f t="shared" si="38"/>
        <v>1</v>
      </c>
    </row>
    <row r="502" spans="1:10" x14ac:dyDescent="0.25">
      <c r="A502" t="s">
        <v>380</v>
      </c>
      <c r="B502" t="s">
        <v>123</v>
      </c>
      <c r="C502" t="s">
        <v>72</v>
      </c>
      <c r="D502" s="3">
        <v>45590</v>
      </c>
      <c r="E502" t="str">
        <f>VLOOKUP(B502,'PROCV GERENTES BD'!A:B,2,0)</f>
        <v>ANTONIO CARLOS</v>
      </c>
      <c r="F502" s="4" t="str">
        <f t="shared" si="39"/>
        <v>2024-10-2</v>
      </c>
      <c r="G502" t="str">
        <f t="shared" si="35"/>
        <v>ANTONIO CARLOS</v>
      </c>
      <c r="H502" t="str">
        <f t="shared" si="36"/>
        <v>PREMOLDADOS MATOSINHOS LTDA EPP</v>
      </c>
      <c r="I502">
        <f t="shared" si="37"/>
        <v>1</v>
      </c>
      <c r="J502">
        <f t="shared" si="38"/>
        <v>0</v>
      </c>
    </row>
    <row r="503" spans="1:10" x14ac:dyDescent="0.25">
      <c r="A503" t="s">
        <v>326</v>
      </c>
      <c r="B503" t="s">
        <v>86</v>
      </c>
      <c r="C503" t="s">
        <v>56</v>
      </c>
      <c r="D503" s="3">
        <v>45590</v>
      </c>
      <c r="E503" t="str">
        <f>VLOOKUP(B503,'PROCV GERENTES BD'!A:B,2,0)</f>
        <v>CELIO PIMENTA</v>
      </c>
      <c r="F503" s="4" t="str">
        <f t="shared" si="39"/>
        <v>2024-10-2</v>
      </c>
      <c r="G503" t="str">
        <f t="shared" si="35"/>
        <v>CELIO PIMENTA</v>
      </c>
      <c r="H503" t="str">
        <f t="shared" si="36"/>
        <v>IMPORTEXTIL COMERCIO DE TECIDOS LTDA</v>
      </c>
      <c r="I503">
        <f t="shared" si="37"/>
        <v>0</v>
      </c>
      <c r="J503">
        <f t="shared" si="38"/>
        <v>1</v>
      </c>
    </row>
    <row r="504" spans="1:10" x14ac:dyDescent="0.25">
      <c r="A504" t="s">
        <v>382</v>
      </c>
      <c r="B504" t="s">
        <v>125</v>
      </c>
      <c r="C504" t="s">
        <v>56</v>
      </c>
      <c r="D504" s="3">
        <v>45590</v>
      </c>
      <c r="E504" t="str">
        <f>VLOOKUP(B504,'PROCV GERENTES BD'!A:B,2,0)</f>
        <v>CELIO PIMENTA</v>
      </c>
      <c r="F504" s="4" t="str">
        <f t="shared" si="39"/>
        <v>2024-10-2</v>
      </c>
      <c r="G504" t="str">
        <f t="shared" si="35"/>
        <v>CELIO PIMENTA</v>
      </c>
      <c r="H504" t="str">
        <f t="shared" si="36"/>
        <v>MINAS ALIMENTOS E FRUTAS SECAS LTDA EPP</v>
      </c>
      <c r="I504">
        <f t="shared" si="37"/>
        <v>0</v>
      </c>
      <c r="J504">
        <f t="shared" si="38"/>
        <v>1</v>
      </c>
    </row>
    <row r="505" spans="1:10" x14ac:dyDescent="0.25">
      <c r="A505" t="s">
        <v>366</v>
      </c>
      <c r="B505" t="s">
        <v>111</v>
      </c>
      <c r="C505" t="s">
        <v>56</v>
      </c>
      <c r="D505" s="3">
        <v>45590</v>
      </c>
      <c r="E505" t="str">
        <f>VLOOKUP(B505,'PROCV GERENTES BD'!A:B,2,0)</f>
        <v>DIOGO AZEVEDO</v>
      </c>
      <c r="F505" s="4" t="str">
        <f t="shared" si="39"/>
        <v>2024-10-2</v>
      </c>
      <c r="G505" t="str">
        <f t="shared" si="35"/>
        <v>DIOGO AZEVEDO</v>
      </c>
      <c r="H505" t="str">
        <f t="shared" si="36"/>
        <v>INDUSTRIA E CERVEJARIA ARTESANAL DE MINAS GERAIS L</v>
      </c>
      <c r="I505">
        <f t="shared" si="37"/>
        <v>0</v>
      </c>
      <c r="J505">
        <f t="shared" si="38"/>
        <v>1</v>
      </c>
    </row>
    <row r="506" spans="1:10" x14ac:dyDescent="0.25">
      <c r="A506" t="s">
        <v>341</v>
      </c>
      <c r="B506" t="s">
        <v>88</v>
      </c>
      <c r="C506" t="s">
        <v>56</v>
      </c>
      <c r="D506" s="3">
        <v>45590</v>
      </c>
      <c r="E506" t="str">
        <f>VLOOKUP(B506,'PROCV GERENTES BD'!A:B,2,0)</f>
        <v>LUIS GUSTAVO</v>
      </c>
      <c r="F506" s="4" t="str">
        <f t="shared" si="39"/>
        <v>2024-10-2</v>
      </c>
      <c r="G506" t="str">
        <f t="shared" si="35"/>
        <v>LUIS GUSTAVO</v>
      </c>
      <c r="H506" t="str">
        <f t="shared" si="36"/>
        <v>BETMIX CONCRETO LTDA</v>
      </c>
      <c r="I506">
        <f t="shared" si="37"/>
        <v>0</v>
      </c>
      <c r="J506">
        <f t="shared" si="38"/>
        <v>1</v>
      </c>
    </row>
    <row r="507" spans="1:10" x14ac:dyDescent="0.25">
      <c r="A507" t="s">
        <v>392</v>
      </c>
      <c r="B507" t="s">
        <v>138</v>
      </c>
      <c r="C507" t="s">
        <v>56</v>
      </c>
      <c r="D507" s="3">
        <v>45590</v>
      </c>
      <c r="E507" t="str">
        <f>VLOOKUP(B507,'PROCV GERENTES BD'!A:B,2,0)</f>
        <v xml:space="preserve">MARCUS VINICIUS </v>
      </c>
      <c r="F507" s="4" t="str">
        <f t="shared" si="39"/>
        <v>2024-10-2</v>
      </c>
      <c r="G507" t="str">
        <f t="shared" si="35"/>
        <v xml:space="preserve">MARCUS VINICIUS </v>
      </c>
      <c r="H507" t="str">
        <f t="shared" si="36"/>
        <v>PALMILHADO INDUSTRIA E COMERCIO LTDA</v>
      </c>
      <c r="I507">
        <f t="shared" si="37"/>
        <v>0</v>
      </c>
      <c r="J507">
        <f t="shared" si="38"/>
        <v>1</v>
      </c>
    </row>
    <row r="508" spans="1:10" x14ac:dyDescent="0.25">
      <c r="A508" t="s">
        <v>426</v>
      </c>
      <c r="B508" t="s">
        <v>175</v>
      </c>
      <c r="C508" t="s">
        <v>56</v>
      </c>
      <c r="D508" s="3">
        <v>45590</v>
      </c>
      <c r="E508" t="str">
        <f>VLOOKUP(B508,'PROCV GERENTES BD'!A:B,2,0)</f>
        <v>NATALIA NUBIA</v>
      </c>
      <c r="F508" s="4" t="str">
        <f t="shared" si="39"/>
        <v>2024-10-2</v>
      </c>
      <c r="G508" t="str">
        <f t="shared" si="35"/>
        <v>NATALIA NUBIA</v>
      </c>
      <c r="H508" t="str">
        <f t="shared" si="36"/>
        <v>MAAT COMERCIO DE VESTUARIO LTDA EPP</v>
      </c>
      <c r="I508">
        <f t="shared" si="37"/>
        <v>0</v>
      </c>
      <c r="J508">
        <f t="shared" si="38"/>
        <v>1</v>
      </c>
    </row>
    <row r="509" spans="1:10" x14ac:dyDescent="0.25">
      <c r="A509" t="s">
        <v>347</v>
      </c>
      <c r="B509" t="s">
        <v>93</v>
      </c>
      <c r="C509" t="s">
        <v>72</v>
      </c>
      <c r="D509" s="3">
        <v>45590</v>
      </c>
      <c r="E509" t="str">
        <f>VLOOKUP(B509,'PROCV GERENTES BD'!A:B,2,0)</f>
        <v>NOELI SALETE</v>
      </c>
      <c r="F509" s="4" t="str">
        <f t="shared" si="39"/>
        <v>2024-10-2</v>
      </c>
      <c r="G509" t="str">
        <f t="shared" si="35"/>
        <v>NOELI SALETE</v>
      </c>
      <c r="H509" t="str">
        <f t="shared" si="36"/>
        <v>RODOBOX TRANSPORTES E ARMAZENAGEM DE CARGAS LTDA</v>
      </c>
      <c r="I509">
        <f t="shared" si="37"/>
        <v>1</v>
      </c>
      <c r="J509">
        <f t="shared" si="38"/>
        <v>0</v>
      </c>
    </row>
    <row r="510" spans="1:10" x14ac:dyDescent="0.25">
      <c r="A510" t="s">
        <v>354</v>
      </c>
      <c r="B510" t="s">
        <v>97</v>
      </c>
      <c r="C510" t="s">
        <v>56</v>
      </c>
      <c r="D510" s="3">
        <v>45590</v>
      </c>
      <c r="E510" t="str">
        <f>VLOOKUP(B510,'PROCV GERENTES BD'!A:B,2,0)</f>
        <v>POENATELA</v>
      </c>
      <c r="F510" s="4" t="str">
        <f t="shared" si="39"/>
        <v>2024-10-2</v>
      </c>
      <c r="G510" t="str">
        <f t="shared" si="35"/>
        <v>POENATELA</v>
      </c>
      <c r="H510" t="str">
        <f t="shared" si="36"/>
        <v>UBERTEC SERVICE USINAGEM LTDA EPP</v>
      </c>
      <c r="I510">
        <f t="shared" si="37"/>
        <v>0</v>
      </c>
      <c r="J510">
        <f t="shared" si="38"/>
        <v>1</v>
      </c>
    </row>
    <row r="511" spans="1:10" x14ac:dyDescent="0.25">
      <c r="A511" t="s">
        <v>361</v>
      </c>
      <c r="B511" t="s">
        <v>103</v>
      </c>
      <c r="C511" t="s">
        <v>56</v>
      </c>
      <c r="D511" s="3">
        <v>45590</v>
      </c>
      <c r="E511" t="str">
        <f>VLOOKUP(B511,'PROCV GERENTES BD'!A:B,2,0)</f>
        <v>PRISCILA METZ</v>
      </c>
      <c r="F511" s="4" t="str">
        <f t="shared" si="39"/>
        <v>2024-10-2</v>
      </c>
      <c r="G511" t="str">
        <f t="shared" si="35"/>
        <v>PRISCILA METZ</v>
      </c>
      <c r="H511" t="str">
        <f t="shared" si="36"/>
        <v>ESSENZA INDUSTRIA QUIMICA LTDA</v>
      </c>
      <c r="I511">
        <f t="shared" si="37"/>
        <v>0</v>
      </c>
      <c r="J511">
        <f t="shared" si="38"/>
        <v>1</v>
      </c>
    </row>
    <row r="512" spans="1:10" x14ac:dyDescent="0.25">
      <c r="A512" t="s">
        <v>413</v>
      </c>
      <c r="B512" t="s">
        <v>162</v>
      </c>
      <c r="C512" t="s">
        <v>56</v>
      </c>
      <c r="D512" s="3">
        <v>45590</v>
      </c>
      <c r="E512" t="str">
        <f>VLOOKUP(B512,'PROCV GERENTES BD'!A:B,2,0)</f>
        <v>RODRIGO VIANNA</v>
      </c>
      <c r="F512" s="4" t="str">
        <f t="shared" si="39"/>
        <v>2024-10-2</v>
      </c>
      <c r="G512" t="str">
        <f t="shared" si="35"/>
        <v>RODRIGO VIANNA</v>
      </c>
      <c r="H512" t="str">
        <f t="shared" si="36"/>
        <v>PARTNER SECURITY SERVICOS DE SEGURANCA LTDA</v>
      </c>
      <c r="I512">
        <f t="shared" si="37"/>
        <v>0</v>
      </c>
      <c r="J512">
        <f t="shared" si="38"/>
        <v>1</v>
      </c>
    </row>
    <row r="513" spans="1:10" x14ac:dyDescent="0.25">
      <c r="A513" t="s">
        <v>414</v>
      </c>
      <c r="B513" t="s">
        <v>163</v>
      </c>
      <c r="C513" t="s">
        <v>72</v>
      </c>
      <c r="D513" s="3">
        <v>45591</v>
      </c>
      <c r="E513" t="str">
        <f>VLOOKUP(B513,'PROCV GERENTES BD'!A:B,2,0)</f>
        <v>ADMINISTRAÇÃO</v>
      </c>
      <c r="F513" s="4" t="str">
        <f t="shared" si="39"/>
        <v>2024-10-2</v>
      </c>
      <c r="G513" t="str">
        <f t="shared" si="35"/>
        <v>ADMINISTRAÇÃO</v>
      </c>
      <c r="H513" t="str">
        <f t="shared" si="36"/>
        <v>RIMAG COMERCIO ATACADISTA DE ALIMENTOS IMPORTACAO</v>
      </c>
      <c r="I513">
        <f t="shared" si="37"/>
        <v>1</v>
      </c>
      <c r="J513">
        <f t="shared" si="38"/>
        <v>0</v>
      </c>
    </row>
    <row r="514" spans="1:10" x14ac:dyDescent="0.25">
      <c r="A514" t="s">
        <v>326</v>
      </c>
      <c r="B514" t="s">
        <v>86</v>
      </c>
      <c r="C514" t="s">
        <v>56</v>
      </c>
      <c r="D514" s="3">
        <v>45591</v>
      </c>
      <c r="E514" t="str">
        <f>VLOOKUP(B514,'PROCV GERENTES BD'!A:B,2,0)</f>
        <v>CELIO PIMENTA</v>
      </c>
      <c r="F514" s="4" t="str">
        <f t="shared" si="39"/>
        <v>2024-10-2</v>
      </c>
      <c r="G514" t="str">
        <f t="shared" ref="G514:G577" si="40">E514</f>
        <v>CELIO PIMENTA</v>
      </c>
      <c r="H514" t="str">
        <f t="shared" ref="H514:H577" si="41">B514</f>
        <v>IMPORTEXTIL COMERCIO DE TECIDOS LTDA</v>
      </c>
      <c r="I514">
        <f t="shared" ref="I514:I577" si="42">IF(C514="EXCLUSAO  ANOT.INADIMPLENCIA",1,0)</f>
        <v>0</v>
      </c>
      <c r="J514">
        <f t="shared" ref="J514:J577" si="43">IF(C514="INCLUSAO  ANOT.INADIMPLENCIA",1,0)</f>
        <v>1</v>
      </c>
    </row>
    <row r="515" spans="1:10" x14ac:dyDescent="0.25">
      <c r="A515" t="s">
        <v>318</v>
      </c>
      <c r="B515" t="s">
        <v>87</v>
      </c>
      <c r="C515" t="s">
        <v>56</v>
      </c>
      <c r="D515" s="3">
        <v>45591</v>
      </c>
      <c r="E515" t="str">
        <f>VLOOKUP(B515,'PROCV GERENTES BD'!A:B,2,0)</f>
        <v>CELIO PIMENTA</v>
      </c>
      <c r="F515" s="4" t="str">
        <f t="shared" ref="F515:F578" si="44">YEAR(D515)&amp;"-"&amp;TEXT(MONTH(D515),"00")&amp;"-"&amp;IF(DAY(D515)&lt;=15,"1",IF(DAY(D515)&gt;15,"2",""))</f>
        <v>2024-10-2</v>
      </c>
      <c r="G515" t="str">
        <f t="shared" si="40"/>
        <v>CELIO PIMENTA</v>
      </c>
      <c r="H515" t="str">
        <f t="shared" si="41"/>
        <v>MBIOLOG DIAGNOSTICOS LTDA</v>
      </c>
      <c r="I515">
        <f t="shared" si="42"/>
        <v>0</v>
      </c>
      <c r="J515">
        <f t="shared" si="43"/>
        <v>1</v>
      </c>
    </row>
    <row r="516" spans="1:10" x14ac:dyDescent="0.25">
      <c r="A516" t="s">
        <v>330</v>
      </c>
      <c r="B516" t="s">
        <v>116</v>
      </c>
      <c r="C516" t="s">
        <v>72</v>
      </c>
      <c r="D516" s="3">
        <v>45591</v>
      </c>
      <c r="E516" t="str">
        <f>VLOOKUP(B516,'PROCV GERENTES BD'!A:B,2,0)</f>
        <v>FITZ</v>
      </c>
      <c r="F516" s="4" t="str">
        <f t="shared" si="44"/>
        <v>2024-10-2</v>
      </c>
      <c r="G516" t="str">
        <f t="shared" si="40"/>
        <v>FITZ</v>
      </c>
      <c r="H516" t="str">
        <f t="shared" si="41"/>
        <v>SIAP COMERCIO DE PRODUTOS AGROPECUARIOS LTDA</v>
      </c>
      <c r="I516">
        <f t="shared" si="42"/>
        <v>1</v>
      </c>
      <c r="J516">
        <f t="shared" si="43"/>
        <v>0</v>
      </c>
    </row>
    <row r="517" spans="1:10" x14ac:dyDescent="0.25">
      <c r="A517" t="s">
        <v>426</v>
      </c>
      <c r="B517" t="s">
        <v>175</v>
      </c>
      <c r="C517" t="s">
        <v>56</v>
      </c>
      <c r="D517" s="3">
        <v>45591</v>
      </c>
      <c r="E517" t="str">
        <f>VLOOKUP(B517,'PROCV GERENTES BD'!A:B,2,0)</f>
        <v>NATALIA NUBIA</v>
      </c>
      <c r="F517" s="4" t="str">
        <f t="shared" si="44"/>
        <v>2024-10-2</v>
      </c>
      <c r="G517" t="str">
        <f t="shared" si="40"/>
        <v>NATALIA NUBIA</v>
      </c>
      <c r="H517" t="str">
        <f t="shared" si="41"/>
        <v>MAAT COMERCIO DE VESTUARIO LTDA EPP</v>
      </c>
      <c r="I517">
        <f t="shared" si="42"/>
        <v>0</v>
      </c>
      <c r="J517">
        <f t="shared" si="43"/>
        <v>1</v>
      </c>
    </row>
    <row r="518" spans="1:10" x14ac:dyDescent="0.25">
      <c r="A518" t="s">
        <v>348</v>
      </c>
      <c r="B518" t="s">
        <v>92</v>
      </c>
      <c r="C518" t="s">
        <v>56</v>
      </c>
      <c r="D518" s="3">
        <v>45591</v>
      </c>
      <c r="E518" t="str">
        <f>VLOOKUP(B518,'PROCV GERENTES BD'!A:B,2,0)</f>
        <v>NOELI SALETE</v>
      </c>
      <c r="F518" s="4" t="str">
        <f t="shared" si="44"/>
        <v>2024-10-2</v>
      </c>
      <c r="G518" t="str">
        <f t="shared" si="40"/>
        <v>NOELI SALETE</v>
      </c>
      <c r="H518" t="str">
        <f t="shared" si="41"/>
        <v>MEIO OESTE PAPEIS LTDA ME</v>
      </c>
      <c r="I518">
        <f t="shared" si="42"/>
        <v>0</v>
      </c>
      <c r="J518">
        <f t="shared" si="43"/>
        <v>1</v>
      </c>
    </row>
    <row r="519" spans="1:10" x14ac:dyDescent="0.25">
      <c r="A519" t="s">
        <v>415</v>
      </c>
      <c r="B519" t="s">
        <v>164</v>
      </c>
      <c r="C519" t="s">
        <v>72</v>
      </c>
      <c r="D519" s="3">
        <v>45591</v>
      </c>
      <c r="E519" t="str">
        <f>VLOOKUP(B519,'PROCV GERENTES BD'!A:B,2,0)</f>
        <v>NOELI SALETE</v>
      </c>
      <c r="F519" s="4" t="str">
        <f t="shared" si="44"/>
        <v>2024-10-2</v>
      </c>
      <c r="G519" t="str">
        <f t="shared" si="40"/>
        <v>NOELI SALETE</v>
      </c>
      <c r="H519" t="str">
        <f t="shared" si="41"/>
        <v>SGAMAQ INOVACAO AGROINDUSTRIAL LTDA</v>
      </c>
      <c r="I519">
        <f t="shared" si="42"/>
        <v>1</v>
      </c>
      <c r="J519">
        <f t="shared" si="43"/>
        <v>0</v>
      </c>
    </row>
    <row r="520" spans="1:10" x14ac:dyDescent="0.25">
      <c r="A520" t="s">
        <v>354</v>
      </c>
      <c r="B520" t="s">
        <v>97</v>
      </c>
      <c r="C520" t="s">
        <v>56</v>
      </c>
      <c r="D520" s="3">
        <v>45591</v>
      </c>
      <c r="E520" t="str">
        <f>VLOOKUP(B520,'PROCV GERENTES BD'!A:B,2,0)</f>
        <v>POENATELA</v>
      </c>
      <c r="F520" s="4" t="str">
        <f t="shared" si="44"/>
        <v>2024-10-2</v>
      </c>
      <c r="G520" t="str">
        <f t="shared" si="40"/>
        <v>POENATELA</v>
      </c>
      <c r="H520" t="str">
        <f t="shared" si="41"/>
        <v>UBERTEC SERVICE USINAGEM LTDA EPP</v>
      </c>
      <c r="I520">
        <f t="shared" si="42"/>
        <v>0</v>
      </c>
      <c r="J520">
        <f t="shared" si="43"/>
        <v>1</v>
      </c>
    </row>
    <row r="521" spans="1:10" x14ac:dyDescent="0.25">
      <c r="A521" t="s">
        <v>321</v>
      </c>
      <c r="B521" t="s">
        <v>104</v>
      </c>
      <c r="C521" t="s">
        <v>56</v>
      </c>
      <c r="D521" s="3">
        <v>45591</v>
      </c>
      <c r="E521" t="str">
        <f>VLOOKUP(B521,'PROCV GERENTES BD'!A:B,2,0)</f>
        <v>THAYNA/COMERCIAL</v>
      </c>
      <c r="F521" s="4" t="str">
        <f t="shared" si="44"/>
        <v>2024-10-2</v>
      </c>
      <c r="G521" t="str">
        <f t="shared" si="40"/>
        <v>THAYNA/COMERCIAL</v>
      </c>
      <c r="H521" t="str">
        <f t="shared" si="41"/>
        <v>MUTCD CENTRO DISTRIBUICAO IND FABRICANTE COSMETICO</v>
      </c>
      <c r="I521">
        <f t="shared" si="42"/>
        <v>0</v>
      </c>
      <c r="J521">
        <f t="shared" si="43"/>
        <v>1</v>
      </c>
    </row>
    <row r="522" spans="1:10" x14ac:dyDescent="0.25">
      <c r="A522" t="s">
        <v>339</v>
      </c>
      <c r="B522" t="s">
        <v>151</v>
      </c>
      <c r="C522" t="s">
        <v>56</v>
      </c>
      <c r="D522" s="3">
        <v>45594</v>
      </c>
      <c r="E522" t="str">
        <f>VLOOKUP(B522,'PROCV GERENTES BD'!A:B,2,0)</f>
        <v>ADMINISTRAÇÃO</v>
      </c>
      <c r="F522" s="4" t="str">
        <f t="shared" si="44"/>
        <v>2024-10-2</v>
      </c>
      <c r="G522" t="str">
        <f t="shared" si="40"/>
        <v>ADMINISTRAÇÃO</v>
      </c>
      <c r="H522" t="str">
        <f t="shared" si="41"/>
        <v>BOM PASTOR PAPEIS LTDA EM RECUPERACAO JUDICIAL</v>
      </c>
      <c r="I522">
        <f t="shared" si="42"/>
        <v>0</v>
      </c>
      <c r="J522">
        <f t="shared" si="43"/>
        <v>1</v>
      </c>
    </row>
    <row r="523" spans="1:10" x14ac:dyDescent="0.25">
      <c r="A523" t="s">
        <v>435</v>
      </c>
      <c r="B523" t="s">
        <v>185</v>
      </c>
      <c r="C523" t="s">
        <v>72</v>
      </c>
      <c r="D523" s="3">
        <v>45594</v>
      </c>
      <c r="E523" t="str">
        <f>VLOOKUP(B523,'PROCV GERENTES BD'!A:B,2,0)</f>
        <v>ADMINISTRAÇÃO</v>
      </c>
      <c r="F523" s="4" t="str">
        <f t="shared" si="44"/>
        <v>2024-10-2</v>
      </c>
      <c r="G523" t="str">
        <f t="shared" si="40"/>
        <v>ADMINISTRAÇÃO</v>
      </c>
      <c r="H523" t="str">
        <f t="shared" si="41"/>
        <v>LIZZENA COSMETICOS LTDA EPP</v>
      </c>
      <c r="I523">
        <f t="shared" si="42"/>
        <v>1</v>
      </c>
      <c r="J523">
        <f t="shared" si="43"/>
        <v>0</v>
      </c>
    </row>
    <row r="524" spans="1:10" x14ac:dyDescent="0.25">
      <c r="A524" t="s">
        <v>390</v>
      </c>
      <c r="B524" t="s">
        <v>136</v>
      </c>
      <c r="C524" t="s">
        <v>56</v>
      </c>
      <c r="D524" s="3">
        <v>45594</v>
      </c>
      <c r="E524" t="str">
        <f>VLOOKUP(B524,'PROCV GERENTES BD'!A:B,2,0)</f>
        <v>ADMINISTRAÇÃO</v>
      </c>
      <c r="F524" s="4" t="str">
        <f t="shared" si="44"/>
        <v>2024-10-2</v>
      </c>
      <c r="G524" t="str">
        <f t="shared" si="40"/>
        <v>ADMINISTRAÇÃO</v>
      </c>
      <c r="H524" t="str">
        <f t="shared" si="41"/>
        <v>XEQUE MATE BEBIDAS LTDA ME</v>
      </c>
      <c r="I524">
        <f t="shared" si="42"/>
        <v>0</v>
      </c>
      <c r="J524">
        <f t="shared" si="43"/>
        <v>1</v>
      </c>
    </row>
    <row r="525" spans="1:10" x14ac:dyDescent="0.25">
      <c r="A525" t="s">
        <v>414</v>
      </c>
      <c r="B525" t="s">
        <v>163</v>
      </c>
      <c r="C525" t="s">
        <v>56</v>
      </c>
      <c r="D525" s="3">
        <v>45594</v>
      </c>
      <c r="E525" t="str">
        <f>VLOOKUP(B525,'PROCV GERENTES BD'!A:B,2,0)</f>
        <v>ADMINISTRAÇÃO</v>
      </c>
      <c r="F525" s="4" t="str">
        <f t="shared" si="44"/>
        <v>2024-10-2</v>
      </c>
      <c r="G525" t="str">
        <f t="shared" si="40"/>
        <v>ADMINISTRAÇÃO</v>
      </c>
      <c r="H525" t="str">
        <f t="shared" si="41"/>
        <v>RIMAG COMERCIO ATACADISTA DE ALIMENTOS IMPORTACAO</v>
      </c>
      <c r="I525">
        <f t="shared" si="42"/>
        <v>0</v>
      </c>
      <c r="J525">
        <f t="shared" si="43"/>
        <v>1</v>
      </c>
    </row>
    <row r="526" spans="1:10" x14ac:dyDescent="0.25">
      <c r="A526" t="s">
        <v>380</v>
      </c>
      <c r="B526" t="s">
        <v>123</v>
      </c>
      <c r="C526" t="s">
        <v>59</v>
      </c>
      <c r="D526" s="3">
        <v>45594</v>
      </c>
      <c r="E526" t="str">
        <f>VLOOKUP(B526,'PROCV GERENTES BD'!A:B,2,0)</f>
        <v>ANTONIO CARLOS</v>
      </c>
      <c r="F526" s="4" t="str">
        <f t="shared" si="44"/>
        <v>2024-10-2</v>
      </c>
      <c r="G526" t="str">
        <f t="shared" si="40"/>
        <v>ANTONIO CARLOS</v>
      </c>
      <c r="H526" t="str">
        <f t="shared" si="41"/>
        <v>PREMOLDADOS MATOSINHOS LTDA EPP</v>
      </c>
      <c r="I526">
        <f t="shared" si="42"/>
        <v>0</v>
      </c>
      <c r="J526">
        <f t="shared" si="43"/>
        <v>0</v>
      </c>
    </row>
    <row r="527" spans="1:10" x14ac:dyDescent="0.25">
      <c r="A527" t="s">
        <v>311</v>
      </c>
      <c r="B527" t="s">
        <v>130</v>
      </c>
      <c r="C527" t="s">
        <v>72</v>
      </c>
      <c r="D527" s="3">
        <v>45594</v>
      </c>
      <c r="E527" t="str">
        <f>VLOOKUP(B527,'PROCV GERENTES BD'!A:B,2,0)</f>
        <v>ANTONIO CARLOS</v>
      </c>
      <c r="F527" s="4" t="str">
        <f t="shared" si="44"/>
        <v>2024-10-2</v>
      </c>
      <c r="G527" t="str">
        <f t="shared" si="40"/>
        <v>ANTONIO CARLOS</v>
      </c>
      <c r="H527" t="str">
        <f t="shared" si="41"/>
        <v>VIC LOGISTICA LTDA EM RECUPERACAO JUDICIAL</v>
      </c>
      <c r="I527">
        <f t="shared" si="42"/>
        <v>1</v>
      </c>
      <c r="J527">
        <f t="shared" si="43"/>
        <v>0</v>
      </c>
    </row>
    <row r="528" spans="1:10" x14ac:dyDescent="0.25">
      <c r="A528" t="s">
        <v>381</v>
      </c>
      <c r="B528" t="s">
        <v>124</v>
      </c>
      <c r="C528" t="s">
        <v>56</v>
      </c>
      <c r="D528" s="3">
        <v>45594</v>
      </c>
      <c r="E528" t="str">
        <f>VLOOKUP(B528,'PROCV GERENTES BD'!A:B,2,0)</f>
        <v>ANTONIO CARLOS</v>
      </c>
      <c r="F528" s="4" t="str">
        <f t="shared" si="44"/>
        <v>2024-10-2</v>
      </c>
      <c r="G528" t="str">
        <f t="shared" si="40"/>
        <v>ANTONIO CARLOS</v>
      </c>
      <c r="H528" t="str">
        <f t="shared" si="41"/>
        <v>VIVAN TRANSPORTES LTDA</v>
      </c>
      <c r="I528">
        <f t="shared" si="42"/>
        <v>0</v>
      </c>
      <c r="J528">
        <f t="shared" si="43"/>
        <v>1</v>
      </c>
    </row>
    <row r="529" spans="1:10" x14ac:dyDescent="0.25">
      <c r="A529" t="s">
        <v>326</v>
      </c>
      <c r="B529" t="s">
        <v>86</v>
      </c>
      <c r="C529" t="s">
        <v>56</v>
      </c>
      <c r="D529" s="3">
        <v>45594</v>
      </c>
      <c r="E529" t="str">
        <f>VLOOKUP(B529,'PROCV GERENTES BD'!A:B,2,0)</f>
        <v>CELIO PIMENTA</v>
      </c>
      <c r="F529" s="4" t="str">
        <f t="shared" si="44"/>
        <v>2024-10-2</v>
      </c>
      <c r="G529" t="str">
        <f t="shared" si="40"/>
        <v>CELIO PIMENTA</v>
      </c>
      <c r="H529" t="str">
        <f t="shared" si="41"/>
        <v>IMPORTEXTIL COMERCIO DE TECIDOS LTDA</v>
      </c>
      <c r="I529">
        <f t="shared" si="42"/>
        <v>0</v>
      </c>
      <c r="J529">
        <f t="shared" si="43"/>
        <v>1</v>
      </c>
    </row>
    <row r="530" spans="1:10" x14ac:dyDescent="0.25">
      <c r="A530" t="s">
        <v>318</v>
      </c>
      <c r="B530" t="s">
        <v>87</v>
      </c>
      <c r="C530" t="s">
        <v>56</v>
      </c>
      <c r="D530" s="3">
        <v>45594</v>
      </c>
      <c r="E530" t="str">
        <f>VLOOKUP(B530,'PROCV GERENTES BD'!A:B,2,0)</f>
        <v>CELIO PIMENTA</v>
      </c>
      <c r="F530" s="4" t="str">
        <f t="shared" si="44"/>
        <v>2024-10-2</v>
      </c>
      <c r="G530" t="str">
        <f t="shared" si="40"/>
        <v>CELIO PIMENTA</v>
      </c>
      <c r="H530" t="str">
        <f t="shared" si="41"/>
        <v>MBIOLOG DIAGNOSTICOS LTDA</v>
      </c>
      <c r="I530">
        <f t="shared" si="42"/>
        <v>0</v>
      </c>
      <c r="J530">
        <f t="shared" si="43"/>
        <v>1</v>
      </c>
    </row>
    <row r="531" spans="1:10" x14ac:dyDescent="0.25">
      <c r="A531" t="s">
        <v>358</v>
      </c>
      <c r="B531" t="s">
        <v>101</v>
      </c>
      <c r="C531" t="s">
        <v>56</v>
      </c>
      <c r="D531" s="3">
        <v>45594</v>
      </c>
      <c r="E531" t="str">
        <f>VLOOKUP(B531,'PROCV GERENTES BD'!A:B,2,0)</f>
        <v>GRUPO OTTO</v>
      </c>
      <c r="F531" s="4" t="str">
        <f t="shared" si="44"/>
        <v>2024-10-2</v>
      </c>
      <c r="G531" t="str">
        <f t="shared" si="40"/>
        <v>GRUPO OTTO</v>
      </c>
      <c r="H531" t="str">
        <f t="shared" si="41"/>
        <v>PLURIFORME INDUSTRIA E COMERCIO DE UNIFORMES LTDA</v>
      </c>
      <c r="I531">
        <f t="shared" si="42"/>
        <v>0</v>
      </c>
      <c r="J531">
        <f t="shared" si="43"/>
        <v>1</v>
      </c>
    </row>
    <row r="532" spans="1:10" x14ac:dyDescent="0.25">
      <c r="A532" t="s">
        <v>403</v>
      </c>
      <c r="B532" t="s">
        <v>152</v>
      </c>
      <c r="C532" t="s">
        <v>72</v>
      </c>
      <c r="D532" s="3">
        <v>45594</v>
      </c>
      <c r="E532" t="str">
        <f>VLOOKUP(B532,'PROCV GERENTES BD'!A:B,2,0)</f>
        <v>MARCIO LEONEL</v>
      </c>
      <c r="F532" s="4" t="str">
        <f t="shared" si="44"/>
        <v>2024-10-2</v>
      </c>
      <c r="G532" t="str">
        <f t="shared" si="40"/>
        <v>MARCIO LEONEL</v>
      </c>
      <c r="H532" t="str">
        <f t="shared" si="41"/>
        <v>MEDICAL PRIME IMP EXPORT DISTRIB PRODUTOS MEDICOS</v>
      </c>
      <c r="I532">
        <f t="shared" si="42"/>
        <v>1</v>
      </c>
      <c r="J532">
        <f t="shared" si="43"/>
        <v>0</v>
      </c>
    </row>
    <row r="533" spans="1:10" x14ac:dyDescent="0.25">
      <c r="A533" t="s">
        <v>436</v>
      </c>
      <c r="B533" t="s">
        <v>186</v>
      </c>
      <c r="C533" t="s">
        <v>56</v>
      </c>
      <c r="D533" s="3">
        <v>45594</v>
      </c>
      <c r="E533" t="str">
        <f>VLOOKUP(B533,'PROCV GERENTES BD'!A:B,2,0)</f>
        <v xml:space="preserve">MARCUS VINICIUS </v>
      </c>
      <c r="F533" s="4" t="str">
        <f t="shared" si="44"/>
        <v>2024-10-2</v>
      </c>
      <c r="G533" t="str">
        <f t="shared" si="40"/>
        <v xml:space="preserve">MARCUS VINICIUS </v>
      </c>
      <c r="H533" t="str">
        <f t="shared" si="41"/>
        <v>LABOR ELETRIC INDUSTRIA E COMERCIO UNIPESSOAL LTDA</v>
      </c>
      <c r="I533">
        <f t="shared" si="42"/>
        <v>0</v>
      </c>
      <c r="J533">
        <f t="shared" si="43"/>
        <v>1</v>
      </c>
    </row>
    <row r="534" spans="1:10" x14ac:dyDescent="0.25">
      <c r="A534" t="s">
        <v>426</v>
      </c>
      <c r="B534" t="s">
        <v>175</v>
      </c>
      <c r="C534" t="s">
        <v>56</v>
      </c>
      <c r="D534" s="3">
        <v>45594</v>
      </c>
      <c r="E534" t="str">
        <f>VLOOKUP(B534,'PROCV GERENTES BD'!A:B,2,0)</f>
        <v>NATALIA NUBIA</v>
      </c>
      <c r="F534" s="4" t="str">
        <f t="shared" si="44"/>
        <v>2024-10-2</v>
      </c>
      <c r="G534" t="str">
        <f t="shared" si="40"/>
        <v>NATALIA NUBIA</v>
      </c>
      <c r="H534" t="str">
        <f t="shared" si="41"/>
        <v>MAAT COMERCIO DE VESTUARIO LTDA EPP</v>
      </c>
      <c r="I534">
        <f t="shared" si="42"/>
        <v>0</v>
      </c>
      <c r="J534">
        <f t="shared" si="43"/>
        <v>1</v>
      </c>
    </row>
    <row r="535" spans="1:10" x14ac:dyDescent="0.25">
      <c r="A535" t="s">
        <v>427</v>
      </c>
      <c r="B535" t="s">
        <v>176</v>
      </c>
      <c r="C535" t="s">
        <v>56</v>
      </c>
      <c r="D535" s="3">
        <v>45594</v>
      </c>
      <c r="E535" t="str">
        <f>VLOOKUP(B535,'PROCV GERENTES BD'!A:B,2,0)</f>
        <v>NOELI SALETE</v>
      </c>
      <c r="F535" s="4" t="str">
        <f t="shared" si="44"/>
        <v>2024-10-2</v>
      </c>
      <c r="G535" t="str">
        <f t="shared" si="40"/>
        <v>NOELI SALETE</v>
      </c>
      <c r="H535" t="str">
        <f t="shared" si="41"/>
        <v>GLOBAL ACO SERVICOS E PRODUTOS SIDERURGICOS LTDA E</v>
      </c>
      <c r="I535">
        <f t="shared" si="42"/>
        <v>0</v>
      </c>
      <c r="J535">
        <f t="shared" si="43"/>
        <v>1</v>
      </c>
    </row>
    <row r="536" spans="1:10" x14ac:dyDescent="0.25">
      <c r="A536" t="s">
        <v>347</v>
      </c>
      <c r="B536" t="s">
        <v>93</v>
      </c>
      <c r="C536" t="s">
        <v>59</v>
      </c>
      <c r="D536" s="3">
        <v>45594</v>
      </c>
      <c r="E536" t="str">
        <f>VLOOKUP(B536,'PROCV GERENTES BD'!A:B,2,0)</f>
        <v>NOELI SALETE</v>
      </c>
      <c r="F536" s="4" t="str">
        <f t="shared" si="44"/>
        <v>2024-10-2</v>
      </c>
      <c r="G536" t="str">
        <f t="shared" si="40"/>
        <v>NOELI SALETE</v>
      </c>
      <c r="H536" t="str">
        <f t="shared" si="41"/>
        <v>RODOBOX TRANSPORTES E ARMAZENAGEM DE CARGAS LTDA</v>
      </c>
      <c r="I536">
        <f t="shared" si="42"/>
        <v>0</v>
      </c>
      <c r="J536">
        <f t="shared" si="43"/>
        <v>0</v>
      </c>
    </row>
    <row r="537" spans="1:10" x14ac:dyDescent="0.25">
      <c r="A537" t="s">
        <v>425</v>
      </c>
      <c r="B537" t="s">
        <v>174</v>
      </c>
      <c r="C537" t="s">
        <v>56</v>
      </c>
      <c r="D537" s="3">
        <v>45594</v>
      </c>
      <c r="E537" t="str">
        <f>VLOOKUP(B537,'PROCV GERENTES BD'!A:B,2,0)</f>
        <v>POENATELA</v>
      </c>
      <c r="F537" s="4" t="str">
        <f t="shared" si="44"/>
        <v>2024-10-2</v>
      </c>
      <c r="G537" t="str">
        <f t="shared" si="40"/>
        <v>POENATELA</v>
      </c>
      <c r="H537" t="str">
        <f t="shared" si="41"/>
        <v>DETRONIC ENERGIA E SERVICOS LTDA</v>
      </c>
      <c r="I537">
        <f t="shared" si="42"/>
        <v>0</v>
      </c>
      <c r="J537">
        <f t="shared" si="43"/>
        <v>1</v>
      </c>
    </row>
    <row r="538" spans="1:10" x14ac:dyDescent="0.25">
      <c r="A538" t="s">
        <v>354</v>
      </c>
      <c r="B538" t="s">
        <v>97</v>
      </c>
      <c r="C538" t="s">
        <v>59</v>
      </c>
      <c r="D538" s="3">
        <v>45594</v>
      </c>
      <c r="E538" t="str">
        <f>VLOOKUP(B538,'PROCV GERENTES BD'!A:B,2,0)</f>
        <v>POENATELA</v>
      </c>
      <c r="F538" s="4" t="str">
        <f t="shared" si="44"/>
        <v>2024-10-2</v>
      </c>
      <c r="G538" t="str">
        <f t="shared" si="40"/>
        <v>POENATELA</v>
      </c>
      <c r="H538" t="str">
        <f t="shared" si="41"/>
        <v>UBERTEC SERVICE USINAGEM LTDA EPP</v>
      </c>
      <c r="I538">
        <f t="shared" si="42"/>
        <v>0</v>
      </c>
      <c r="J538">
        <f t="shared" si="43"/>
        <v>0</v>
      </c>
    </row>
    <row r="539" spans="1:10" x14ac:dyDescent="0.25">
      <c r="A539" t="s">
        <v>384</v>
      </c>
      <c r="B539" t="s">
        <v>128</v>
      </c>
      <c r="C539" t="s">
        <v>56</v>
      </c>
      <c r="D539" s="3">
        <v>45594</v>
      </c>
      <c r="E539" t="str">
        <f>VLOOKUP(B539,'PROCV GERENTES BD'!A:B,2,0)</f>
        <v>PRISCILA METZ</v>
      </c>
      <c r="F539" s="4" t="str">
        <f t="shared" si="44"/>
        <v>2024-10-2</v>
      </c>
      <c r="G539" t="str">
        <f t="shared" si="40"/>
        <v>PRISCILA METZ</v>
      </c>
      <c r="H539" t="str">
        <f t="shared" si="41"/>
        <v>NOVA DISTRIBUIDORA E ATACADO DE LIMPEZA LTDA</v>
      </c>
      <c r="I539">
        <f t="shared" si="42"/>
        <v>0</v>
      </c>
      <c r="J539">
        <f t="shared" si="43"/>
        <v>1</v>
      </c>
    </row>
    <row r="540" spans="1:10" x14ac:dyDescent="0.25">
      <c r="A540" t="s">
        <v>390</v>
      </c>
      <c r="B540" t="s">
        <v>136</v>
      </c>
      <c r="C540" t="s">
        <v>56</v>
      </c>
      <c r="D540" s="3">
        <v>45595</v>
      </c>
      <c r="E540" t="str">
        <f>VLOOKUP(B540,'PROCV GERENTES BD'!A:B,2,0)</f>
        <v>ADMINISTRAÇÃO</v>
      </c>
      <c r="F540" s="4" t="str">
        <f t="shared" si="44"/>
        <v>2024-10-2</v>
      </c>
      <c r="G540" t="str">
        <f t="shared" si="40"/>
        <v>ADMINISTRAÇÃO</v>
      </c>
      <c r="H540" t="str">
        <f t="shared" si="41"/>
        <v>XEQUE MATE BEBIDAS LTDA ME</v>
      </c>
      <c r="I540">
        <f t="shared" si="42"/>
        <v>0</v>
      </c>
      <c r="J540">
        <f t="shared" si="43"/>
        <v>1</v>
      </c>
    </row>
    <row r="541" spans="1:10" x14ac:dyDescent="0.25">
      <c r="A541" t="s">
        <v>326</v>
      </c>
      <c r="B541" t="s">
        <v>86</v>
      </c>
      <c r="C541" t="s">
        <v>56</v>
      </c>
      <c r="D541" s="3">
        <v>45595</v>
      </c>
      <c r="E541" t="str">
        <f>VLOOKUP(B541,'PROCV GERENTES BD'!A:B,2,0)</f>
        <v>CELIO PIMENTA</v>
      </c>
      <c r="F541" s="4" t="str">
        <f t="shared" si="44"/>
        <v>2024-10-2</v>
      </c>
      <c r="G541" t="str">
        <f t="shared" si="40"/>
        <v>CELIO PIMENTA</v>
      </c>
      <c r="H541" t="str">
        <f t="shared" si="41"/>
        <v>IMPORTEXTIL COMERCIO DE TECIDOS LTDA</v>
      </c>
      <c r="I541">
        <f t="shared" si="42"/>
        <v>0</v>
      </c>
      <c r="J541">
        <f t="shared" si="43"/>
        <v>1</v>
      </c>
    </row>
    <row r="542" spans="1:10" x14ac:dyDescent="0.25">
      <c r="A542" t="s">
        <v>438</v>
      </c>
      <c r="B542" t="s">
        <v>188</v>
      </c>
      <c r="C542" t="s">
        <v>77</v>
      </c>
      <c r="D542" s="3">
        <v>45595</v>
      </c>
      <c r="E542" t="str">
        <f>VLOOKUP(B542,'PROCV GERENTES BD'!A:B,2,0)</f>
        <v>FITZ</v>
      </c>
      <c r="F542" s="4" t="str">
        <f t="shared" si="44"/>
        <v>2024-10-2</v>
      </c>
      <c r="G542" t="str">
        <f t="shared" si="40"/>
        <v>FITZ</v>
      </c>
      <c r="H542" t="str">
        <f t="shared" si="41"/>
        <v>SIQUEIRA E GAIPO INDUSTRIA E MATERIAIS ESPORTIVOS</v>
      </c>
      <c r="I542">
        <f t="shared" si="42"/>
        <v>0</v>
      </c>
      <c r="J542">
        <f t="shared" si="43"/>
        <v>0</v>
      </c>
    </row>
    <row r="543" spans="1:10" x14ac:dyDescent="0.25">
      <c r="A543" t="s">
        <v>330</v>
      </c>
      <c r="B543" t="s">
        <v>116</v>
      </c>
      <c r="C543" t="s">
        <v>72</v>
      </c>
      <c r="D543" s="3">
        <v>45595</v>
      </c>
      <c r="E543" t="str">
        <f>VLOOKUP(B543,'PROCV GERENTES BD'!A:B,2,0)</f>
        <v>FITZ</v>
      </c>
      <c r="F543" s="4" t="str">
        <f t="shared" si="44"/>
        <v>2024-10-2</v>
      </c>
      <c r="G543" t="str">
        <f t="shared" si="40"/>
        <v>FITZ</v>
      </c>
      <c r="H543" t="str">
        <f t="shared" si="41"/>
        <v>SIAP COMERCIO DE PRODUTOS AGROPECUARIOS LTDA</v>
      </c>
      <c r="I543">
        <f t="shared" si="42"/>
        <v>1</v>
      </c>
      <c r="J543">
        <f t="shared" si="43"/>
        <v>0</v>
      </c>
    </row>
    <row r="544" spans="1:10" x14ac:dyDescent="0.25">
      <c r="A544" t="s">
        <v>358</v>
      </c>
      <c r="B544" t="s">
        <v>101</v>
      </c>
      <c r="C544" t="s">
        <v>56</v>
      </c>
      <c r="D544" s="3">
        <v>45595</v>
      </c>
      <c r="E544" t="str">
        <f>VLOOKUP(B544,'PROCV GERENTES BD'!A:B,2,0)</f>
        <v>GRUPO OTTO</v>
      </c>
      <c r="F544" s="4" t="str">
        <f t="shared" si="44"/>
        <v>2024-10-2</v>
      </c>
      <c r="G544" t="str">
        <f t="shared" si="40"/>
        <v>GRUPO OTTO</v>
      </c>
      <c r="H544" t="str">
        <f t="shared" si="41"/>
        <v>PLURIFORME INDUSTRIA E COMERCIO DE UNIFORMES LTDA</v>
      </c>
      <c r="I544">
        <f t="shared" si="42"/>
        <v>0</v>
      </c>
      <c r="J544">
        <f t="shared" si="43"/>
        <v>1</v>
      </c>
    </row>
    <row r="545" spans="1:10" x14ac:dyDescent="0.25">
      <c r="A545" t="s">
        <v>436</v>
      </c>
      <c r="B545" t="s">
        <v>186</v>
      </c>
      <c r="C545" t="s">
        <v>72</v>
      </c>
      <c r="D545" s="3">
        <v>45595</v>
      </c>
      <c r="E545" t="str">
        <f>VLOOKUP(B545,'PROCV GERENTES BD'!A:B,2,0)</f>
        <v xml:space="preserve">MARCUS VINICIUS </v>
      </c>
      <c r="F545" s="4" t="str">
        <f t="shared" si="44"/>
        <v>2024-10-2</v>
      </c>
      <c r="G545" t="str">
        <f t="shared" si="40"/>
        <v xml:space="preserve">MARCUS VINICIUS </v>
      </c>
      <c r="H545" t="str">
        <f t="shared" si="41"/>
        <v>LABOR ELETRIC INDUSTRIA E COMERCIO UNIPESSOAL LTDA</v>
      </c>
      <c r="I545">
        <f t="shared" si="42"/>
        <v>1</v>
      </c>
      <c r="J545">
        <f t="shared" si="43"/>
        <v>0</v>
      </c>
    </row>
    <row r="546" spans="1:10" x14ac:dyDescent="0.25">
      <c r="A546" t="s">
        <v>392</v>
      </c>
      <c r="B546" t="s">
        <v>138</v>
      </c>
      <c r="C546" t="s">
        <v>77</v>
      </c>
      <c r="D546" s="3">
        <v>45595</v>
      </c>
      <c r="E546" t="str">
        <f>VLOOKUP(B546,'PROCV GERENTES BD'!A:B,2,0)</f>
        <v xml:space="preserve">MARCUS VINICIUS </v>
      </c>
      <c r="F546" s="4" t="str">
        <f t="shared" si="44"/>
        <v>2024-10-2</v>
      </c>
      <c r="G546" t="str">
        <f t="shared" si="40"/>
        <v xml:space="preserve">MARCUS VINICIUS </v>
      </c>
      <c r="H546" t="str">
        <f t="shared" si="41"/>
        <v>PALMILHADO INDUSTRIA E COMERCIO LTDA</v>
      </c>
      <c r="I546">
        <f t="shared" si="42"/>
        <v>0</v>
      </c>
      <c r="J546">
        <f t="shared" si="43"/>
        <v>0</v>
      </c>
    </row>
    <row r="547" spans="1:10" x14ac:dyDescent="0.25">
      <c r="A547" t="s">
        <v>392</v>
      </c>
      <c r="B547" t="s">
        <v>138</v>
      </c>
      <c r="C547" t="s">
        <v>56</v>
      </c>
      <c r="D547" s="3">
        <v>45595</v>
      </c>
      <c r="E547" t="str">
        <f>VLOOKUP(B547,'PROCV GERENTES BD'!A:B,2,0)</f>
        <v xml:space="preserve">MARCUS VINICIUS </v>
      </c>
      <c r="F547" s="4" t="str">
        <f t="shared" si="44"/>
        <v>2024-10-2</v>
      </c>
      <c r="G547" t="str">
        <f t="shared" si="40"/>
        <v xml:space="preserve">MARCUS VINICIUS </v>
      </c>
      <c r="H547" t="str">
        <f t="shared" si="41"/>
        <v>PALMILHADO INDUSTRIA E COMERCIO LTDA</v>
      </c>
      <c r="I547">
        <f t="shared" si="42"/>
        <v>0</v>
      </c>
      <c r="J547">
        <f t="shared" si="43"/>
        <v>1</v>
      </c>
    </row>
    <row r="548" spans="1:10" x14ac:dyDescent="0.25">
      <c r="A548" t="s">
        <v>427</v>
      </c>
      <c r="B548" t="s">
        <v>176</v>
      </c>
      <c r="C548" t="s">
        <v>56</v>
      </c>
      <c r="D548" s="3">
        <v>45595</v>
      </c>
      <c r="E548" t="str">
        <f>VLOOKUP(B548,'PROCV GERENTES BD'!A:B,2,0)</f>
        <v>NOELI SALETE</v>
      </c>
      <c r="F548" s="4" t="str">
        <f t="shared" si="44"/>
        <v>2024-10-2</v>
      </c>
      <c r="G548" t="str">
        <f t="shared" si="40"/>
        <v>NOELI SALETE</v>
      </c>
      <c r="H548" t="str">
        <f t="shared" si="41"/>
        <v>GLOBAL ACO SERVICOS E PRODUTOS SIDERURGICOS LTDA E</v>
      </c>
      <c r="I548">
        <f t="shared" si="42"/>
        <v>0</v>
      </c>
      <c r="J548">
        <f t="shared" si="43"/>
        <v>1</v>
      </c>
    </row>
    <row r="549" spans="1:10" x14ac:dyDescent="0.25">
      <c r="A549" t="s">
        <v>347</v>
      </c>
      <c r="B549" t="s">
        <v>93</v>
      </c>
      <c r="C549" t="s">
        <v>56</v>
      </c>
      <c r="D549" s="3">
        <v>45595</v>
      </c>
      <c r="E549" t="str">
        <f>VLOOKUP(B549,'PROCV GERENTES BD'!A:B,2,0)</f>
        <v>NOELI SALETE</v>
      </c>
      <c r="F549" s="4" t="str">
        <f t="shared" si="44"/>
        <v>2024-10-2</v>
      </c>
      <c r="G549" t="str">
        <f t="shared" si="40"/>
        <v>NOELI SALETE</v>
      </c>
      <c r="H549" t="str">
        <f t="shared" si="41"/>
        <v>RODOBOX TRANSPORTES E ARMAZENAGEM DE CARGAS LTDA</v>
      </c>
      <c r="I549">
        <f t="shared" si="42"/>
        <v>0</v>
      </c>
      <c r="J549">
        <f t="shared" si="43"/>
        <v>1</v>
      </c>
    </row>
    <row r="550" spans="1:10" x14ac:dyDescent="0.25">
      <c r="A550" t="s">
        <v>415</v>
      </c>
      <c r="B550" t="s">
        <v>164</v>
      </c>
      <c r="C550" t="s">
        <v>72</v>
      </c>
      <c r="D550" s="3">
        <v>45595</v>
      </c>
      <c r="E550" t="str">
        <f>VLOOKUP(B550,'PROCV GERENTES BD'!A:B,2,0)</f>
        <v>NOELI SALETE</v>
      </c>
      <c r="F550" s="4" t="str">
        <f t="shared" si="44"/>
        <v>2024-10-2</v>
      </c>
      <c r="G550" t="str">
        <f t="shared" si="40"/>
        <v>NOELI SALETE</v>
      </c>
      <c r="H550" t="str">
        <f t="shared" si="41"/>
        <v>SGAMAQ INOVACAO AGROINDUSTRIAL LTDA</v>
      </c>
      <c r="I550">
        <f t="shared" si="42"/>
        <v>1</v>
      </c>
      <c r="J550">
        <f t="shared" si="43"/>
        <v>0</v>
      </c>
    </row>
    <row r="551" spans="1:10" x14ac:dyDescent="0.25">
      <c r="A551" t="s">
        <v>394</v>
      </c>
      <c r="B551" t="s">
        <v>140</v>
      </c>
      <c r="C551" t="s">
        <v>56</v>
      </c>
      <c r="D551" s="3">
        <v>45595</v>
      </c>
      <c r="E551" t="str">
        <f>VLOOKUP(B551,'PROCV GERENTES BD'!A:B,2,0)</f>
        <v>POENATELA</v>
      </c>
      <c r="F551" s="4" t="str">
        <f t="shared" si="44"/>
        <v>2024-10-2</v>
      </c>
      <c r="G551" t="str">
        <f t="shared" si="40"/>
        <v>POENATELA</v>
      </c>
      <c r="H551" t="str">
        <f t="shared" si="41"/>
        <v>HT SERVICOS DE TRANSPORTE E LOCACAO LTDA</v>
      </c>
      <c r="I551">
        <f t="shared" si="42"/>
        <v>0</v>
      </c>
      <c r="J551">
        <f t="shared" si="43"/>
        <v>1</v>
      </c>
    </row>
    <row r="552" spans="1:10" x14ac:dyDescent="0.25">
      <c r="A552" t="s">
        <v>354</v>
      </c>
      <c r="B552" t="s">
        <v>97</v>
      </c>
      <c r="C552" t="s">
        <v>72</v>
      </c>
      <c r="D552" s="3">
        <v>45595</v>
      </c>
      <c r="E552" t="str">
        <f>VLOOKUP(B552,'PROCV GERENTES BD'!A:B,2,0)</f>
        <v>POENATELA</v>
      </c>
      <c r="F552" s="4" t="str">
        <f t="shared" si="44"/>
        <v>2024-10-2</v>
      </c>
      <c r="G552" t="str">
        <f t="shared" si="40"/>
        <v>POENATELA</v>
      </c>
      <c r="H552" t="str">
        <f t="shared" si="41"/>
        <v>UBERTEC SERVICE USINAGEM LTDA EPP</v>
      </c>
      <c r="I552">
        <f t="shared" si="42"/>
        <v>1</v>
      </c>
      <c r="J552">
        <f t="shared" si="43"/>
        <v>0</v>
      </c>
    </row>
    <row r="553" spans="1:10" x14ac:dyDescent="0.25">
      <c r="A553" t="s">
        <v>411</v>
      </c>
      <c r="B553" t="s">
        <v>160</v>
      </c>
      <c r="C553" t="s">
        <v>77</v>
      </c>
      <c r="D553" s="3">
        <v>45595</v>
      </c>
      <c r="E553" t="str">
        <f>VLOOKUP(B553,'PROCV GERENTES BD'!A:B,2,0)</f>
        <v>PRISCILA METZ</v>
      </c>
      <c r="F553" s="4" t="str">
        <f t="shared" si="44"/>
        <v>2024-10-2</v>
      </c>
      <c r="G553" t="str">
        <f t="shared" si="40"/>
        <v>PRISCILA METZ</v>
      </c>
      <c r="H553" t="str">
        <f t="shared" si="41"/>
        <v>REI DO MILHO ATACADISTA E VAREJISTA LTDA ME</v>
      </c>
      <c r="I553">
        <f t="shared" si="42"/>
        <v>0</v>
      </c>
      <c r="J553">
        <f t="shared" si="43"/>
        <v>0</v>
      </c>
    </row>
    <row r="554" spans="1:10" x14ac:dyDescent="0.25">
      <c r="A554" t="s">
        <v>82</v>
      </c>
      <c r="B554" t="s">
        <v>83</v>
      </c>
      <c r="C554" t="s">
        <v>77</v>
      </c>
      <c r="D554" s="3">
        <v>45595</v>
      </c>
      <c r="E554" t="str">
        <f>VLOOKUP(B554,'PROCV GERENTES BD'!A:B,2,0)</f>
        <v>RAFAEL PARISE</v>
      </c>
      <c r="F554" s="4" t="str">
        <f t="shared" si="44"/>
        <v>2024-10-2</v>
      </c>
      <c r="G554" t="str">
        <f t="shared" si="40"/>
        <v>RAFAEL PARISE</v>
      </c>
      <c r="H554" t="str">
        <f t="shared" si="41"/>
        <v>UNITA AUTO PECAS LTDA EPP</v>
      </c>
      <c r="I554">
        <f t="shared" si="42"/>
        <v>0</v>
      </c>
      <c r="J554">
        <f t="shared" si="43"/>
        <v>0</v>
      </c>
    </row>
    <row r="555" spans="1:10" x14ac:dyDescent="0.25">
      <c r="A555" t="s">
        <v>332</v>
      </c>
      <c r="B555" t="s">
        <v>145</v>
      </c>
      <c r="C555" t="s">
        <v>72</v>
      </c>
      <c r="D555" s="3">
        <v>45595</v>
      </c>
      <c r="E555" t="str">
        <f>VLOOKUP(B555,'PROCV GERENTES BD'!A:B,2,0)</f>
        <v>SEM GERENTE</v>
      </c>
      <c r="F555" s="4" t="str">
        <f t="shared" si="44"/>
        <v>2024-10-2</v>
      </c>
      <c r="G555" t="str">
        <f t="shared" si="40"/>
        <v>SEM GERENTE</v>
      </c>
      <c r="H555" t="str">
        <f t="shared" si="41"/>
        <v>ALLIAGE S A INDUSTRIAS MEDICO ODONTOLOGICA</v>
      </c>
      <c r="I555">
        <f t="shared" si="42"/>
        <v>1</v>
      </c>
      <c r="J555">
        <f t="shared" si="43"/>
        <v>0</v>
      </c>
    </row>
    <row r="556" spans="1:10" x14ac:dyDescent="0.25">
      <c r="A556" t="s">
        <v>321</v>
      </c>
      <c r="B556" t="s">
        <v>104</v>
      </c>
      <c r="C556" t="s">
        <v>335</v>
      </c>
      <c r="D556" s="3">
        <v>45595</v>
      </c>
      <c r="E556" t="str">
        <f>VLOOKUP(B556,'PROCV GERENTES BD'!A:B,2,0)</f>
        <v>THAYNA/COMERCIAL</v>
      </c>
      <c r="F556" s="4" t="str">
        <f t="shared" si="44"/>
        <v>2024-10-2</v>
      </c>
      <c r="G556" t="str">
        <f t="shared" si="40"/>
        <v>THAYNA/COMERCIAL</v>
      </c>
      <c r="H556" t="str">
        <f t="shared" si="41"/>
        <v>MUTCD CENTRO DISTRIBUICAO IND FABRICANTE COSMETICO</v>
      </c>
      <c r="I556">
        <f t="shared" si="42"/>
        <v>0</v>
      </c>
      <c r="J556">
        <f t="shared" si="43"/>
        <v>0</v>
      </c>
    </row>
    <row r="557" spans="1:10" x14ac:dyDescent="0.25">
      <c r="A557" t="s">
        <v>321</v>
      </c>
      <c r="B557" t="s">
        <v>104</v>
      </c>
      <c r="C557" t="s">
        <v>337</v>
      </c>
      <c r="D557" s="3">
        <v>45595</v>
      </c>
      <c r="E557" t="str">
        <f>VLOOKUP(B557,'PROCV GERENTES BD'!A:B,2,0)</f>
        <v>THAYNA/COMERCIAL</v>
      </c>
      <c r="F557" s="4" t="str">
        <f t="shared" si="44"/>
        <v>2024-10-2</v>
      </c>
      <c r="G557" t="str">
        <f t="shared" si="40"/>
        <v>THAYNA/COMERCIAL</v>
      </c>
      <c r="H557" t="str">
        <f t="shared" si="41"/>
        <v>MUTCD CENTRO DISTRIBUICAO IND FABRICANTE COSMETICO</v>
      </c>
      <c r="I557">
        <f t="shared" si="42"/>
        <v>0</v>
      </c>
      <c r="J557">
        <f t="shared" si="43"/>
        <v>0</v>
      </c>
    </row>
    <row r="558" spans="1:10" x14ac:dyDescent="0.25">
      <c r="A558" t="s">
        <v>60</v>
      </c>
      <c r="B558" t="s">
        <v>61</v>
      </c>
      <c r="C558" t="s">
        <v>56</v>
      </c>
      <c r="D558" s="3">
        <v>45596</v>
      </c>
      <c r="E558" t="str">
        <f>VLOOKUP(B558,'PROCV GERENTES BD'!A:B,2,0)</f>
        <v>CELIO PIMENTA</v>
      </c>
      <c r="F558" s="4" t="str">
        <f t="shared" si="44"/>
        <v>2024-10-2</v>
      </c>
      <c r="G558" t="str">
        <f t="shared" si="40"/>
        <v>CELIO PIMENTA</v>
      </c>
      <c r="H558" t="str">
        <f t="shared" si="41"/>
        <v>WJ CALDEIRARIA INDUSTRIA E COMERCIO LTDA ME</v>
      </c>
      <c r="I558">
        <f t="shared" si="42"/>
        <v>0</v>
      </c>
      <c r="J558">
        <f t="shared" si="43"/>
        <v>1</v>
      </c>
    </row>
    <row r="559" spans="1:10" x14ac:dyDescent="0.25">
      <c r="A559" t="s">
        <v>436</v>
      </c>
      <c r="B559" t="s">
        <v>186</v>
      </c>
      <c r="C559" t="s">
        <v>72</v>
      </c>
      <c r="D559" s="3">
        <v>45596</v>
      </c>
      <c r="E559" t="str">
        <f>VLOOKUP(B559,'PROCV GERENTES BD'!A:B,2,0)</f>
        <v xml:space="preserve">MARCUS VINICIUS </v>
      </c>
      <c r="F559" s="4" t="str">
        <f t="shared" si="44"/>
        <v>2024-10-2</v>
      </c>
      <c r="G559" t="str">
        <f t="shared" si="40"/>
        <v xml:space="preserve">MARCUS VINICIUS </v>
      </c>
      <c r="H559" t="str">
        <f t="shared" si="41"/>
        <v>LABOR ELETRIC INDUSTRIA E COMERCIO UNIPESSOAL LTDA</v>
      </c>
      <c r="I559">
        <f t="shared" si="42"/>
        <v>1</v>
      </c>
      <c r="J559">
        <f t="shared" si="43"/>
        <v>0</v>
      </c>
    </row>
    <row r="560" spans="1:10" x14ac:dyDescent="0.25">
      <c r="A560" t="s">
        <v>392</v>
      </c>
      <c r="B560" t="s">
        <v>138</v>
      </c>
      <c r="C560" t="s">
        <v>56</v>
      </c>
      <c r="D560" s="3">
        <v>45596</v>
      </c>
      <c r="E560" t="str">
        <f>VLOOKUP(B560,'PROCV GERENTES BD'!A:B,2,0)</f>
        <v xml:space="preserve">MARCUS VINICIUS </v>
      </c>
      <c r="F560" s="4" t="str">
        <f t="shared" si="44"/>
        <v>2024-10-2</v>
      </c>
      <c r="G560" t="str">
        <f t="shared" si="40"/>
        <v xml:space="preserve">MARCUS VINICIUS </v>
      </c>
      <c r="H560" t="str">
        <f t="shared" si="41"/>
        <v>PALMILHADO INDUSTRIA E COMERCIO LTDA</v>
      </c>
      <c r="I560">
        <f t="shared" si="42"/>
        <v>0</v>
      </c>
      <c r="J560">
        <f t="shared" si="43"/>
        <v>1</v>
      </c>
    </row>
    <row r="561" spans="1:10" x14ac:dyDescent="0.25">
      <c r="A561" t="s">
        <v>383</v>
      </c>
      <c r="B561" t="s">
        <v>127</v>
      </c>
      <c r="C561" t="s">
        <v>72</v>
      </c>
      <c r="D561" s="3">
        <v>45596</v>
      </c>
      <c r="E561" t="str">
        <f>VLOOKUP(B561,'PROCV GERENTES BD'!A:B,2,0)</f>
        <v>NATALIA NUBIA</v>
      </c>
      <c r="F561" s="4" t="str">
        <f t="shared" si="44"/>
        <v>2024-10-2</v>
      </c>
      <c r="G561" t="str">
        <f t="shared" si="40"/>
        <v>NATALIA NUBIA</v>
      </c>
      <c r="H561" t="str">
        <f t="shared" si="41"/>
        <v>FARINELLI NUTRIMENTOS LTDA</v>
      </c>
      <c r="I561">
        <f t="shared" si="42"/>
        <v>1</v>
      </c>
      <c r="J561">
        <f t="shared" si="43"/>
        <v>0</v>
      </c>
    </row>
    <row r="562" spans="1:10" x14ac:dyDescent="0.25">
      <c r="A562" t="s">
        <v>426</v>
      </c>
      <c r="B562" t="s">
        <v>175</v>
      </c>
      <c r="C562" t="s">
        <v>56</v>
      </c>
      <c r="D562" s="3">
        <v>45596</v>
      </c>
      <c r="E562" t="str">
        <f>VLOOKUP(B562,'PROCV GERENTES BD'!A:B,2,0)</f>
        <v>NATALIA NUBIA</v>
      </c>
      <c r="F562" s="4" t="str">
        <f t="shared" si="44"/>
        <v>2024-10-2</v>
      </c>
      <c r="G562" t="str">
        <f t="shared" si="40"/>
        <v>NATALIA NUBIA</v>
      </c>
      <c r="H562" t="str">
        <f t="shared" si="41"/>
        <v>MAAT COMERCIO DE VESTUARIO LTDA EPP</v>
      </c>
      <c r="I562">
        <f t="shared" si="42"/>
        <v>0</v>
      </c>
      <c r="J562">
        <f t="shared" si="43"/>
        <v>1</v>
      </c>
    </row>
    <row r="563" spans="1:10" x14ac:dyDescent="0.25">
      <c r="A563" t="s">
        <v>430</v>
      </c>
      <c r="B563" t="s">
        <v>180</v>
      </c>
      <c r="C563" t="s">
        <v>56</v>
      </c>
      <c r="D563" s="3">
        <v>45596</v>
      </c>
      <c r="E563" t="str">
        <f>VLOOKUP(B563,'PROCV GERENTES BD'!A:B,2,0)</f>
        <v>NOELI SALETE</v>
      </c>
      <c r="F563" s="4" t="str">
        <f t="shared" si="44"/>
        <v>2024-10-2</v>
      </c>
      <c r="G563" t="str">
        <f t="shared" si="40"/>
        <v>NOELI SALETE</v>
      </c>
      <c r="H563" t="str">
        <f t="shared" si="41"/>
        <v>COMGROUP AGROINDUSTRIAL LTDA</v>
      </c>
      <c r="I563">
        <f t="shared" si="42"/>
        <v>0</v>
      </c>
      <c r="J563">
        <f t="shared" si="43"/>
        <v>1</v>
      </c>
    </row>
    <row r="564" spans="1:10" x14ac:dyDescent="0.25">
      <c r="A564" t="s">
        <v>415</v>
      </c>
      <c r="B564" t="s">
        <v>164</v>
      </c>
      <c r="C564" t="s">
        <v>56</v>
      </c>
      <c r="D564" s="3">
        <v>45596</v>
      </c>
      <c r="E564" t="str">
        <f>VLOOKUP(B564,'PROCV GERENTES BD'!A:B,2,0)</f>
        <v>NOELI SALETE</v>
      </c>
      <c r="F564" s="4" t="str">
        <f t="shared" si="44"/>
        <v>2024-10-2</v>
      </c>
      <c r="G564" t="str">
        <f t="shared" si="40"/>
        <v>NOELI SALETE</v>
      </c>
      <c r="H564" t="str">
        <f t="shared" si="41"/>
        <v>SGAMAQ INOVACAO AGROINDUSTRIAL LTDA</v>
      </c>
      <c r="I564">
        <f t="shared" si="42"/>
        <v>0</v>
      </c>
      <c r="J564">
        <f t="shared" si="43"/>
        <v>1</v>
      </c>
    </row>
    <row r="565" spans="1:10" x14ac:dyDescent="0.25">
      <c r="A565" t="s">
        <v>378</v>
      </c>
      <c r="B565" t="s">
        <v>121</v>
      </c>
      <c r="C565" t="s">
        <v>72</v>
      </c>
      <c r="D565" s="3">
        <v>45596</v>
      </c>
      <c r="E565" t="str">
        <f>VLOOKUP(B565,'PROCV GERENTES BD'!A:B,2,0)</f>
        <v>POENATELA</v>
      </c>
      <c r="F565" s="4" t="str">
        <f t="shared" si="44"/>
        <v>2024-10-2</v>
      </c>
      <c r="G565" t="str">
        <f t="shared" si="40"/>
        <v>POENATELA</v>
      </c>
      <c r="H565" t="str">
        <f t="shared" si="41"/>
        <v>COOPERATIVA TRANSP AUTON CARGAS PASSAG SERVICOS LO</v>
      </c>
      <c r="I565">
        <f t="shared" si="42"/>
        <v>1</v>
      </c>
      <c r="J565">
        <f t="shared" si="43"/>
        <v>0</v>
      </c>
    </row>
    <row r="566" spans="1:10" x14ac:dyDescent="0.25">
      <c r="A566" t="s">
        <v>394</v>
      </c>
      <c r="B566" t="s">
        <v>140</v>
      </c>
      <c r="C566" t="s">
        <v>335</v>
      </c>
      <c r="D566" s="3">
        <v>45596</v>
      </c>
      <c r="E566" t="str">
        <f>VLOOKUP(B566,'PROCV GERENTES BD'!A:B,2,0)</f>
        <v>POENATELA</v>
      </c>
      <c r="F566" s="4" t="str">
        <f t="shared" si="44"/>
        <v>2024-10-2</v>
      </c>
      <c r="G566" t="str">
        <f t="shared" si="40"/>
        <v>POENATELA</v>
      </c>
      <c r="H566" t="str">
        <f t="shared" si="41"/>
        <v>HT SERVICOS DE TRANSPORTE E LOCACAO LTDA</v>
      </c>
      <c r="I566">
        <f t="shared" si="42"/>
        <v>0</v>
      </c>
      <c r="J566">
        <f t="shared" si="43"/>
        <v>0</v>
      </c>
    </row>
    <row r="567" spans="1:10" x14ac:dyDescent="0.25">
      <c r="A567" t="s">
        <v>394</v>
      </c>
      <c r="B567" t="s">
        <v>140</v>
      </c>
      <c r="C567" t="s">
        <v>337</v>
      </c>
      <c r="D567" s="3">
        <v>45596</v>
      </c>
      <c r="E567" t="str">
        <f>VLOOKUP(B567,'PROCV GERENTES BD'!A:B,2,0)</f>
        <v>POENATELA</v>
      </c>
      <c r="F567" s="4" t="str">
        <f t="shared" si="44"/>
        <v>2024-10-2</v>
      </c>
      <c r="G567" t="str">
        <f t="shared" si="40"/>
        <v>POENATELA</v>
      </c>
      <c r="H567" t="str">
        <f t="shared" si="41"/>
        <v>HT SERVICOS DE TRANSPORTE E LOCACAO LTDA</v>
      </c>
      <c r="I567">
        <f t="shared" si="42"/>
        <v>0</v>
      </c>
      <c r="J567">
        <f t="shared" si="43"/>
        <v>0</v>
      </c>
    </row>
    <row r="568" spans="1:10" x14ac:dyDescent="0.25">
      <c r="A568" t="s">
        <v>354</v>
      </c>
      <c r="B568" t="s">
        <v>97</v>
      </c>
      <c r="C568" t="s">
        <v>56</v>
      </c>
      <c r="D568" s="3">
        <v>45596</v>
      </c>
      <c r="E568" t="str">
        <f>VLOOKUP(B568,'PROCV GERENTES BD'!A:B,2,0)</f>
        <v>POENATELA</v>
      </c>
      <c r="F568" s="4" t="str">
        <f t="shared" si="44"/>
        <v>2024-10-2</v>
      </c>
      <c r="G568" t="str">
        <f t="shared" si="40"/>
        <v>POENATELA</v>
      </c>
      <c r="H568" t="str">
        <f t="shared" si="41"/>
        <v>UBERTEC SERVICE USINAGEM LTDA EPP</v>
      </c>
      <c r="I568">
        <f t="shared" si="42"/>
        <v>0</v>
      </c>
      <c r="J568">
        <f t="shared" si="43"/>
        <v>1</v>
      </c>
    </row>
    <row r="569" spans="1:10" x14ac:dyDescent="0.25">
      <c r="A569" t="s">
        <v>361</v>
      </c>
      <c r="B569" t="s">
        <v>103</v>
      </c>
      <c r="C569" t="s">
        <v>56</v>
      </c>
      <c r="D569" s="3">
        <v>45596</v>
      </c>
      <c r="E569" t="str">
        <f>VLOOKUP(B569,'PROCV GERENTES BD'!A:B,2,0)</f>
        <v>PRISCILA METZ</v>
      </c>
      <c r="F569" s="4" t="str">
        <f t="shared" si="44"/>
        <v>2024-10-2</v>
      </c>
      <c r="G569" t="str">
        <f t="shared" si="40"/>
        <v>PRISCILA METZ</v>
      </c>
      <c r="H569" t="str">
        <f t="shared" si="41"/>
        <v>ESSENZA INDUSTRIA QUIMICA LTDA</v>
      </c>
      <c r="I569">
        <f t="shared" si="42"/>
        <v>0</v>
      </c>
      <c r="J569">
        <f t="shared" si="43"/>
        <v>1</v>
      </c>
    </row>
    <row r="570" spans="1:10" x14ac:dyDescent="0.25">
      <c r="A570" t="s">
        <v>432</v>
      </c>
      <c r="B570" t="s">
        <v>182</v>
      </c>
      <c r="C570" t="s">
        <v>335</v>
      </c>
      <c r="D570" s="3">
        <v>45596</v>
      </c>
      <c r="E570" t="str">
        <f>VLOOKUP(B570,'PROCV GERENTES BD'!A:B,2,0)</f>
        <v>RAFAEL PARISE</v>
      </c>
      <c r="F570" s="4" t="str">
        <f t="shared" si="44"/>
        <v>2024-10-2</v>
      </c>
      <c r="G570" t="str">
        <f t="shared" si="40"/>
        <v>RAFAEL PARISE</v>
      </c>
      <c r="H570" t="str">
        <f t="shared" si="41"/>
        <v>AGROINDUSTRIA FRUTAS JARDINS LTDA</v>
      </c>
      <c r="I570">
        <f t="shared" si="42"/>
        <v>0</v>
      </c>
      <c r="J570">
        <f t="shared" si="43"/>
        <v>0</v>
      </c>
    </row>
    <row r="571" spans="1:10" x14ac:dyDescent="0.25">
      <c r="A571" t="s">
        <v>339</v>
      </c>
      <c r="B571" t="s">
        <v>151</v>
      </c>
      <c r="C571" t="s">
        <v>72</v>
      </c>
      <c r="D571" s="3">
        <v>45597</v>
      </c>
      <c r="E571" t="str">
        <f>VLOOKUP(B571,'PROCV GERENTES BD'!A:B,2,0)</f>
        <v>ADMINISTRAÇÃO</v>
      </c>
      <c r="F571" s="4" t="str">
        <f t="shared" si="44"/>
        <v>2024-11-1</v>
      </c>
      <c r="G571" t="str">
        <f t="shared" si="40"/>
        <v>ADMINISTRAÇÃO</v>
      </c>
      <c r="H571" t="str">
        <f t="shared" si="41"/>
        <v>BOM PASTOR PAPEIS LTDA EM RECUPERACAO JUDICIAL</v>
      </c>
      <c r="I571">
        <f t="shared" si="42"/>
        <v>1</v>
      </c>
      <c r="J571">
        <f t="shared" si="43"/>
        <v>0</v>
      </c>
    </row>
    <row r="572" spans="1:10" x14ac:dyDescent="0.25">
      <c r="A572" t="s">
        <v>388</v>
      </c>
      <c r="B572" t="s">
        <v>134</v>
      </c>
      <c r="C572" t="s">
        <v>72</v>
      </c>
      <c r="D572" s="3">
        <v>45597</v>
      </c>
      <c r="E572" t="str">
        <f>VLOOKUP(B572,'PROCV GERENTES BD'!A:B,2,0)</f>
        <v>ADMINISTRAÇÃO</v>
      </c>
      <c r="F572" s="4" t="str">
        <f t="shared" si="44"/>
        <v>2024-11-1</v>
      </c>
      <c r="G572" t="str">
        <f t="shared" si="40"/>
        <v>ADMINISTRAÇÃO</v>
      </c>
      <c r="H572" t="str">
        <f t="shared" si="41"/>
        <v>MG CONSULT DIST LTDA EPP</v>
      </c>
      <c r="I572">
        <f t="shared" si="42"/>
        <v>1</v>
      </c>
      <c r="J572">
        <f t="shared" si="43"/>
        <v>0</v>
      </c>
    </row>
    <row r="573" spans="1:10" x14ac:dyDescent="0.25">
      <c r="A573" t="s">
        <v>318</v>
      </c>
      <c r="B573" t="s">
        <v>87</v>
      </c>
      <c r="C573" t="s">
        <v>72</v>
      </c>
      <c r="D573" s="3">
        <v>45597</v>
      </c>
      <c r="E573" t="str">
        <f>VLOOKUP(B573,'PROCV GERENTES BD'!A:B,2,0)</f>
        <v>CELIO PIMENTA</v>
      </c>
      <c r="F573" s="4" t="str">
        <f t="shared" si="44"/>
        <v>2024-11-1</v>
      </c>
      <c r="G573" t="str">
        <f t="shared" si="40"/>
        <v>CELIO PIMENTA</v>
      </c>
      <c r="H573" t="str">
        <f t="shared" si="41"/>
        <v>MBIOLOG DIAGNOSTICOS LTDA</v>
      </c>
      <c r="I573">
        <f t="shared" si="42"/>
        <v>1</v>
      </c>
      <c r="J573">
        <f t="shared" si="43"/>
        <v>0</v>
      </c>
    </row>
    <row r="574" spans="1:10" x14ac:dyDescent="0.25">
      <c r="A574" t="s">
        <v>60</v>
      </c>
      <c r="B574" t="s">
        <v>61</v>
      </c>
      <c r="C574" t="s">
        <v>56</v>
      </c>
      <c r="D574" s="3">
        <v>45597</v>
      </c>
      <c r="E574" t="str">
        <f>VLOOKUP(B574,'PROCV GERENTES BD'!A:B,2,0)</f>
        <v>CELIO PIMENTA</v>
      </c>
      <c r="F574" s="4" t="str">
        <f t="shared" si="44"/>
        <v>2024-11-1</v>
      </c>
      <c r="G574" t="str">
        <f t="shared" si="40"/>
        <v>CELIO PIMENTA</v>
      </c>
      <c r="H574" t="str">
        <f t="shared" si="41"/>
        <v>WJ CALDEIRARIA INDUSTRIA E COMERCIO LTDA ME</v>
      </c>
      <c r="I574">
        <f t="shared" si="42"/>
        <v>0</v>
      </c>
      <c r="J574">
        <f t="shared" si="43"/>
        <v>1</v>
      </c>
    </row>
    <row r="575" spans="1:10" x14ac:dyDescent="0.25">
      <c r="A575" t="s">
        <v>367</v>
      </c>
      <c r="B575" t="s">
        <v>112</v>
      </c>
      <c r="C575" t="s">
        <v>72</v>
      </c>
      <c r="D575" s="3">
        <v>45597</v>
      </c>
      <c r="E575" t="str">
        <f>VLOOKUP(B575,'PROCV GERENTES BD'!A:B,2,0)</f>
        <v>FITZ</v>
      </c>
      <c r="F575" s="4" t="str">
        <f t="shared" si="44"/>
        <v>2024-11-1</v>
      </c>
      <c r="G575" t="str">
        <f t="shared" si="40"/>
        <v>FITZ</v>
      </c>
      <c r="H575" t="str">
        <f t="shared" si="41"/>
        <v>ALEXANDRE ROSA VICENTE E SERVICOS LTDA ME</v>
      </c>
      <c r="I575">
        <f t="shared" si="42"/>
        <v>1</v>
      </c>
      <c r="J575">
        <f t="shared" si="43"/>
        <v>0</v>
      </c>
    </row>
    <row r="576" spans="1:10" x14ac:dyDescent="0.25">
      <c r="A576" t="s">
        <v>426</v>
      </c>
      <c r="B576" t="s">
        <v>175</v>
      </c>
      <c r="C576" t="s">
        <v>56</v>
      </c>
      <c r="D576" s="3">
        <v>45597</v>
      </c>
      <c r="E576" t="str">
        <f>VLOOKUP(B576,'PROCV GERENTES BD'!A:B,2,0)</f>
        <v>NATALIA NUBIA</v>
      </c>
      <c r="F576" s="4" t="str">
        <f t="shared" si="44"/>
        <v>2024-11-1</v>
      </c>
      <c r="G576" t="str">
        <f t="shared" si="40"/>
        <v>NATALIA NUBIA</v>
      </c>
      <c r="H576" t="str">
        <f t="shared" si="41"/>
        <v>MAAT COMERCIO DE VESTUARIO LTDA EPP</v>
      </c>
      <c r="I576">
        <f t="shared" si="42"/>
        <v>0</v>
      </c>
      <c r="J576">
        <f t="shared" si="43"/>
        <v>1</v>
      </c>
    </row>
    <row r="577" spans="1:10" x14ac:dyDescent="0.25">
      <c r="A577" t="s">
        <v>347</v>
      </c>
      <c r="B577" t="s">
        <v>93</v>
      </c>
      <c r="C577" t="s">
        <v>56</v>
      </c>
      <c r="D577" s="3">
        <v>45597</v>
      </c>
      <c r="E577" t="str">
        <f>VLOOKUP(B577,'PROCV GERENTES BD'!A:B,2,0)</f>
        <v>NOELI SALETE</v>
      </c>
      <c r="F577" s="4" t="str">
        <f t="shared" si="44"/>
        <v>2024-11-1</v>
      </c>
      <c r="G577" t="str">
        <f t="shared" si="40"/>
        <v>NOELI SALETE</v>
      </c>
      <c r="H577" t="str">
        <f t="shared" si="41"/>
        <v>RODOBOX TRANSPORTES E ARMAZENAGEM DE CARGAS LTDA</v>
      </c>
      <c r="I577">
        <f t="shared" si="42"/>
        <v>0</v>
      </c>
      <c r="J577">
        <f t="shared" si="43"/>
        <v>1</v>
      </c>
    </row>
    <row r="578" spans="1:10" x14ac:dyDescent="0.25">
      <c r="A578" t="s">
        <v>348</v>
      </c>
      <c r="B578" t="s">
        <v>92</v>
      </c>
      <c r="C578" t="s">
        <v>72</v>
      </c>
      <c r="D578" s="3">
        <v>45597</v>
      </c>
      <c r="E578" t="str">
        <f>VLOOKUP(B578,'PROCV GERENTES BD'!A:B,2,0)</f>
        <v>NOELI SALETE</v>
      </c>
      <c r="F578" s="4" t="str">
        <f t="shared" si="44"/>
        <v>2024-11-1</v>
      </c>
      <c r="G578" t="str">
        <f t="shared" ref="G578:G641" si="45">E578</f>
        <v>NOELI SALETE</v>
      </c>
      <c r="H578" t="str">
        <f t="shared" ref="H578:H641" si="46">B578</f>
        <v>MEIO OESTE PAPEIS LTDA ME</v>
      </c>
      <c r="I578">
        <f t="shared" ref="I578:I641" si="47">IF(C578="EXCLUSAO  ANOT.INADIMPLENCIA",1,0)</f>
        <v>1</v>
      </c>
      <c r="J578">
        <f t="shared" ref="J578:J641" si="48">IF(C578="INCLUSAO  ANOT.INADIMPLENCIA",1,0)</f>
        <v>0</v>
      </c>
    </row>
    <row r="579" spans="1:10" x14ac:dyDescent="0.25">
      <c r="A579" t="s">
        <v>408</v>
      </c>
      <c r="B579" t="s">
        <v>157</v>
      </c>
      <c r="C579" t="s">
        <v>56</v>
      </c>
      <c r="D579" s="3">
        <v>45597</v>
      </c>
      <c r="E579" t="str">
        <f>VLOOKUP(B579,'PROCV GERENTES BD'!A:B,2,0)</f>
        <v>NOELI SALETE</v>
      </c>
      <c r="F579" s="4" t="str">
        <f t="shared" ref="F579:F642" si="49">YEAR(D579)&amp;"-"&amp;TEXT(MONTH(D579),"00")&amp;"-"&amp;IF(DAY(D579)&lt;=15,"1",IF(DAY(D579)&gt;15,"2",""))</f>
        <v>2024-11-1</v>
      </c>
      <c r="G579" t="str">
        <f t="shared" si="45"/>
        <v>NOELI SALETE</v>
      </c>
      <c r="H579" t="str">
        <f t="shared" si="46"/>
        <v>POOLMAK SISTEMAS ESTRUTURAIS LTDA</v>
      </c>
      <c r="I579">
        <f t="shared" si="47"/>
        <v>0</v>
      </c>
      <c r="J579">
        <f t="shared" si="48"/>
        <v>1</v>
      </c>
    </row>
    <row r="580" spans="1:10" x14ac:dyDescent="0.25">
      <c r="A580" t="s">
        <v>415</v>
      </c>
      <c r="B580" t="s">
        <v>164</v>
      </c>
      <c r="C580" t="s">
        <v>56</v>
      </c>
      <c r="D580" s="3">
        <v>45597</v>
      </c>
      <c r="E580" t="str">
        <f>VLOOKUP(B580,'PROCV GERENTES BD'!A:B,2,0)</f>
        <v>NOELI SALETE</v>
      </c>
      <c r="F580" s="4" t="str">
        <f t="shared" si="49"/>
        <v>2024-11-1</v>
      </c>
      <c r="G580" t="str">
        <f t="shared" si="45"/>
        <v>NOELI SALETE</v>
      </c>
      <c r="H580" t="str">
        <f t="shared" si="46"/>
        <v>SGAMAQ INOVACAO AGROINDUSTRIAL LTDA</v>
      </c>
      <c r="I580">
        <f t="shared" si="47"/>
        <v>0</v>
      </c>
      <c r="J580">
        <f t="shared" si="48"/>
        <v>1</v>
      </c>
    </row>
    <row r="581" spans="1:10" x14ac:dyDescent="0.25">
      <c r="A581" t="s">
        <v>354</v>
      </c>
      <c r="B581" t="s">
        <v>97</v>
      </c>
      <c r="C581" t="s">
        <v>56</v>
      </c>
      <c r="D581" s="3">
        <v>45597</v>
      </c>
      <c r="E581" t="str">
        <f>VLOOKUP(B581,'PROCV GERENTES BD'!A:B,2,0)</f>
        <v>POENATELA</v>
      </c>
      <c r="F581" s="4" t="str">
        <f t="shared" si="49"/>
        <v>2024-11-1</v>
      </c>
      <c r="G581" t="str">
        <f t="shared" si="45"/>
        <v>POENATELA</v>
      </c>
      <c r="H581" t="str">
        <f t="shared" si="46"/>
        <v>UBERTEC SERVICE USINAGEM LTDA EPP</v>
      </c>
      <c r="I581">
        <f t="shared" si="47"/>
        <v>0</v>
      </c>
      <c r="J581">
        <f t="shared" si="48"/>
        <v>1</v>
      </c>
    </row>
    <row r="582" spans="1:10" x14ac:dyDescent="0.25">
      <c r="A582" t="s">
        <v>361</v>
      </c>
      <c r="B582" t="s">
        <v>103</v>
      </c>
      <c r="C582" t="s">
        <v>72</v>
      </c>
      <c r="D582" s="3">
        <v>45597</v>
      </c>
      <c r="E582" t="str">
        <f>VLOOKUP(B582,'PROCV GERENTES BD'!A:B,2,0)</f>
        <v>PRISCILA METZ</v>
      </c>
      <c r="F582" s="4" t="str">
        <f t="shared" si="49"/>
        <v>2024-11-1</v>
      </c>
      <c r="G582" t="str">
        <f t="shared" si="45"/>
        <v>PRISCILA METZ</v>
      </c>
      <c r="H582" t="str">
        <f t="shared" si="46"/>
        <v>ESSENZA INDUSTRIA QUIMICA LTDA</v>
      </c>
      <c r="I582">
        <f t="shared" si="47"/>
        <v>1</v>
      </c>
      <c r="J582">
        <f t="shared" si="48"/>
        <v>0</v>
      </c>
    </row>
    <row r="583" spans="1:10" x14ac:dyDescent="0.25">
      <c r="A583" t="s">
        <v>333</v>
      </c>
      <c r="B583" t="s">
        <v>129</v>
      </c>
      <c r="C583" t="s">
        <v>72</v>
      </c>
      <c r="D583" s="3">
        <v>45597</v>
      </c>
      <c r="E583" t="s">
        <v>25</v>
      </c>
      <c r="F583" s="4" t="str">
        <f t="shared" si="49"/>
        <v>2024-11-1</v>
      </c>
      <c r="G583" t="str">
        <f t="shared" si="45"/>
        <v xml:space="preserve">ROGERIO </v>
      </c>
      <c r="H583" t="str">
        <f t="shared" si="46"/>
        <v>BIBE PRODUTOS INFANTIS LTDA</v>
      </c>
      <c r="I583">
        <f t="shared" si="47"/>
        <v>1</v>
      </c>
      <c r="J583">
        <f t="shared" si="48"/>
        <v>0</v>
      </c>
    </row>
    <row r="584" spans="1:10" x14ac:dyDescent="0.25">
      <c r="A584" t="s">
        <v>439</v>
      </c>
      <c r="B584" t="s">
        <v>189</v>
      </c>
      <c r="C584" t="s">
        <v>56</v>
      </c>
      <c r="D584" s="3">
        <v>45597</v>
      </c>
      <c r="E584" t="s">
        <v>25</v>
      </c>
      <c r="F584" s="4" t="str">
        <f t="shared" si="49"/>
        <v>2024-11-1</v>
      </c>
      <c r="G584" t="str">
        <f t="shared" si="45"/>
        <v xml:space="preserve">ROGERIO </v>
      </c>
      <c r="H584" t="str">
        <f t="shared" si="46"/>
        <v>GRF JEANS WEAR LTDA ME</v>
      </c>
      <c r="I584">
        <f t="shared" si="47"/>
        <v>0</v>
      </c>
      <c r="J584">
        <f t="shared" si="48"/>
        <v>1</v>
      </c>
    </row>
    <row r="585" spans="1:10" x14ac:dyDescent="0.25">
      <c r="A585" t="s">
        <v>440</v>
      </c>
      <c r="B585" t="s">
        <v>190</v>
      </c>
      <c r="C585" t="s">
        <v>335</v>
      </c>
      <c r="D585" s="3">
        <v>45597</v>
      </c>
      <c r="E585" t="str">
        <f>VLOOKUP(B585,'PROCV GERENTES BD'!A:B,2,0)</f>
        <v>SEM GERENTE</v>
      </c>
      <c r="F585" s="4" t="str">
        <f t="shared" si="49"/>
        <v>2024-11-1</v>
      </c>
      <c r="G585" t="str">
        <f t="shared" si="45"/>
        <v>SEM GERENTE</v>
      </c>
      <c r="H585" t="str">
        <f t="shared" si="46"/>
        <v>REAL ESTRUTURAS E CONSTRUCOES LTDA</v>
      </c>
      <c r="I585">
        <f t="shared" si="47"/>
        <v>0</v>
      </c>
      <c r="J585">
        <f t="shared" si="48"/>
        <v>0</v>
      </c>
    </row>
    <row r="586" spans="1:10" x14ac:dyDescent="0.25">
      <c r="A586" t="s">
        <v>440</v>
      </c>
      <c r="B586" t="s">
        <v>190</v>
      </c>
      <c r="C586" t="s">
        <v>337</v>
      </c>
      <c r="D586" s="3">
        <v>45597</v>
      </c>
      <c r="E586" t="str">
        <f>VLOOKUP(B586,'PROCV GERENTES BD'!A:B,2,0)</f>
        <v>SEM GERENTE</v>
      </c>
      <c r="F586" s="4" t="str">
        <f t="shared" si="49"/>
        <v>2024-11-1</v>
      </c>
      <c r="G586" t="str">
        <f t="shared" si="45"/>
        <v>SEM GERENTE</v>
      </c>
      <c r="H586" t="str">
        <f t="shared" si="46"/>
        <v>REAL ESTRUTURAS E CONSTRUCOES LTDA</v>
      </c>
      <c r="I586">
        <f t="shared" si="47"/>
        <v>0</v>
      </c>
      <c r="J586">
        <f t="shared" si="48"/>
        <v>0</v>
      </c>
    </row>
    <row r="587" spans="1:10" x14ac:dyDescent="0.25">
      <c r="A587" t="s">
        <v>326</v>
      </c>
      <c r="B587" t="s">
        <v>86</v>
      </c>
      <c r="C587" t="s">
        <v>56</v>
      </c>
      <c r="D587" s="3">
        <v>45598</v>
      </c>
      <c r="E587" t="str">
        <f>VLOOKUP(B587,'PROCV GERENTES BD'!A:B,2,0)</f>
        <v>CELIO PIMENTA</v>
      </c>
      <c r="F587" s="4" t="str">
        <f t="shared" si="49"/>
        <v>2024-11-1</v>
      </c>
      <c r="G587" t="str">
        <f t="shared" si="45"/>
        <v>CELIO PIMENTA</v>
      </c>
      <c r="H587" t="str">
        <f t="shared" si="46"/>
        <v>IMPORTEXTIL COMERCIO DE TECIDOS LTDA</v>
      </c>
      <c r="I587">
        <f t="shared" si="47"/>
        <v>0</v>
      </c>
      <c r="J587">
        <f t="shared" si="48"/>
        <v>1</v>
      </c>
    </row>
    <row r="588" spans="1:10" x14ac:dyDescent="0.25">
      <c r="A588" t="s">
        <v>366</v>
      </c>
      <c r="B588" t="s">
        <v>111</v>
      </c>
      <c r="C588" t="s">
        <v>72</v>
      </c>
      <c r="D588" s="3">
        <v>45598</v>
      </c>
      <c r="E588" t="str">
        <f>VLOOKUP(B588,'PROCV GERENTES BD'!A:B,2,0)</f>
        <v>DIOGO AZEVEDO</v>
      </c>
      <c r="F588" s="4" t="str">
        <f t="shared" si="49"/>
        <v>2024-11-1</v>
      </c>
      <c r="G588" t="str">
        <f t="shared" si="45"/>
        <v>DIOGO AZEVEDO</v>
      </c>
      <c r="H588" t="str">
        <f t="shared" si="46"/>
        <v>INDUSTRIA E CERVEJARIA ARTESANAL DE MINAS GERAIS L</v>
      </c>
      <c r="I588">
        <f t="shared" si="47"/>
        <v>1</v>
      </c>
      <c r="J588">
        <f t="shared" si="48"/>
        <v>0</v>
      </c>
    </row>
    <row r="589" spans="1:10" x14ac:dyDescent="0.25">
      <c r="A589" t="s">
        <v>393</v>
      </c>
      <c r="B589" t="s">
        <v>139</v>
      </c>
      <c r="C589" t="s">
        <v>56</v>
      </c>
      <c r="D589" s="3">
        <v>45598</v>
      </c>
      <c r="E589" t="str">
        <f>VLOOKUP(B589,'PROCV GERENTES BD'!A:B,2,0)</f>
        <v xml:space="preserve">MARCUS VINICIUS </v>
      </c>
      <c r="F589" s="4" t="str">
        <f t="shared" si="49"/>
        <v>2024-11-1</v>
      </c>
      <c r="G589" t="str">
        <f t="shared" si="45"/>
        <v xml:space="preserve">MARCUS VINICIUS </v>
      </c>
      <c r="H589" t="str">
        <f t="shared" si="46"/>
        <v>RODOANEL REFORMADORA DE IMPLEMENTOS RODOVIARIOS LT</v>
      </c>
      <c r="I589">
        <f t="shared" si="47"/>
        <v>0</v>
      </c>
      <c r="J589">
        <f t="shared" si="48"/>
        <v>1</v>
      </c>
    </row>
    <row r="590" spans="1:10" x14ac:dyDescent="0.25">
      <c r="A590" t="s">
        <v>430</v>
      </c>
      <c r="B590" t="s">
        <v>180</v>
      </c>
      <c r="C590" t="s">
        <v>56</v>
      </c>
      <c r="D590" s="3">
        <v>45598</v>
      </c>
      <c r="E590" t="str">
        <f>VLOOKUP(B590,'PROCV GERENTES BD'!A:B,2,0)</f>
        <v>NOELI SALETE</v>
      </c>
      <c r="F590" s="4" t="str">
        <f t="shared" si="49"/>
        <v>2024-11-1</v>
      </c>
      <c r="G590" t="str">
        <f t="shared" si="45"/>
        <v>NOELI SALETE</v>
      </c>
      <c r="H590" t="str">
        <f t="shared" si="46"/>
        <v>COMGROUP AGROINDUSTRIAL LTDA</v>
      </c>
      <c r="I590">
        <f t="shared" si="47"/>
        <v>0</v>
      </c>
      <c r="J590">
        <f t="shared" si="48"/>
        <v>1</v>
      </c>
    </row>
    <row r="591" spans="1:10" x14ac:dyDescent="0.25">
      <c r="A591" t="s">
        <v>427</v>
      </c>
      <c r="B591" t="s">
        <v>176</v>
      </c>
      <c r="C591" t="s">
        <v>56</v>
      </c>
      <c r="D591" s="3">
        <v>45598</v>
      </c>
      <c r="E591" t="str">
        <f>VLOOKUP(B591,'PROCV GERENTES BD'!A:B,2,0)</f>
        <v>NOELI SALETE</v>
      </c>
      <c r="F591" s="4" t="str">
        <f t="shared" si="49"/>
        <v>2024-11-1</v>
      </c>
      <c r="G591" t="str">
        <f t="shared" si="45"/>
        <v>NOELI SALETE</v>
      </c>
      <c r="H591" t="str">
        <f t="shared" si="46"/>
        <v>GLOBAL ACO SERVICOS E PRODUTOS SIDERURGICOS LTDA E</v>
      </c>
      <c r="I591">
        <f t="shared" si="47"/>
        <v>0</v>
      </c>
      <c r="J591">
        <f t="shared" si="48"/>
        <v>1</v>
      </c>
    </row>
    <row r="592" spans="1:10" x14ac:dyDescent="0.25">
      <c r="A592" t="s">
        <v>347</v>
      </c>
      <c r="B592" t="s">
        <v>93</v>
      </c>
      <c r="C592" t="s">
        <v>59</v>
      </c>
      <c r="D592" s="3">
        <v>45598</v>
      </c>
      <c r="E592" t="str">
        <f>VLOOKUP(B592,'PROCV GERENTES BD'!A:B,2,0)</f>
        <v>NOELI SALETE</v>
      </c>
      <c r="F592" s="4" t="str">
        <f t="shared" si="49"/>
        <v>2024-11-1</v>
      </c>
      <c r="G592" t="str">
        <f t="shared" si="45"/>
        <v>NOELI SALETE</v>
      </c>
      <c r="H592" t="str">
        <f t="shared" si="46"/>
        <v>RODOBOX TRANSPORTES E ARMAZENAGEM DE CARGAS LTDA</v>
      </c>
      <c r="I592">
        <f t="shared" si="47"/>
        <v>0</v>
      </c>
      <c r="J592">
        <f t="shared" si="48"/>
        <v>0</v>
      </c>
    </row>
    <row r="593" spans="1:10" x14ac:dyDescent="0.25">
      <c r="A593" t="s">
        <v>354</v>
      </c>
      <c r="B593" t="s">
        <v>97</v>
      </c>
      <c r="C593" t="s">
        <v>59</v>
      </c>
      <c r="D593" s="3">
        <v>45598</v>
      </c>
      <c r="E593" t="str">
        <f>VLOOKUP(B593,'PROCV GERENTES BD'!A:B,2,0)</f>
        <v>POENATELA</v>
      </c>
      <c r="F593" s="4" t="str">
        <f t="shared" si="49"/>
        <v>2024-11-1</v>
      </c>
      <c r="G593" t="str">
        <f t="shared" si="45"/>
        <v>POENATELA</v>
      </c>
      <c r="H593" t="str">
        <f t="shared" si="46"/>
        <v>UBERTEC SERVICE USINAGEM LTDA EPP</v>
      </c>
      <c r="I593">
        <f t="shared" si="47"/>
        <v>0</v>
      </c>
      <c r="J593">
        <f t="shared" si="48"/>
        <v>0</v>
      </c>
    </row>
    <row r="594" spans="1:10" x14ac:dyDescent="0.25">
      <c r="A594" t="s">
        <v>384</v>
      </c>
      <c r="B594" t="s">
        <v>128</v>
      </c>
      <c r="C594" t="s">
        <v>56</v>
      </c>
      <c r="D594" s="3">
        <v>45598</v>
      </c>
      <c r="E594" t="str">
        <f>VLOOKUP(B594,'PROCV GERENTES BD'!A:B,2,0)</f>
        <v>PRISCILA METZ</v>
      </c>
      <c r="F594" s="4" t="str">
        <f t="shared" si="49"/>
        <v>2024-11-1</v>
      </c>
      <c r="G594" t="str">
        <f t="shared" si="45"/>
        <v>PRISCILA METZ</v>
      </c>
      <c r="H594" t="str">
        <f t="shared" si="46"/>
        <v>NOVA DISTRIBUIDORA E ATACADO DE LIMPEZA LTDA</v>
      </c>
      <c r="I594">
        <f t="shared" si="47"/>
        <v>0</v>
      </c>
      <c r="J594">
        <f t="shared" si="48"/>
        <v>1</v>
      </c>
    </row>
    <row r="595" spans="1:10" x14ac:dyDescent="0.25">
      <c r="A595" t="s">
        <v>356</v>
      </c>
      <c r="B595" t="s">
        <v>99</v>
      </c>
      <c r="C595" t="s">
        <v>59</v>
      </c>
      <c r="D595" s="3">
        <v>45598</v>
      </c>
      <c r="E595" t="str">
        <f>VLOOKUP(B595,'PROCV GERENTES BD'!A:B,2,0)</f>
        <v>WHELKYA IRIS</v>
      </c>
      <c r="F595" s="4" t="str">
        <f t="shared" si="49"/>
        <v>2024-11-1</v>
      </c>
      <c r="G595" t="str">
        <f t="shared" si="45"/>
        <v>WHELKYA IRIS</v>
      </c>
      <c r="H595" t="str">
        <f t="shared" si="46"/>
        <v>DIVINA INDUSTRIA DE COURO LTDA</v>
      </c>
      <c r="I595">
        <f t="shared" si="47"/>
        <v>0</v>
      </c>
      <c r="J595">
        <f t="shared" si="48"/>
        <v>0</v>
      </c>
    </row>
    <row r="596" spans="1:10" x14ac:dyDescent="0.25">
      <c r="A596" t="s">
        <v>380</v>
      </c>
      <c r="B596" t="s">
        <v>123</v>
      </c>
      <c r="C596" t="s">
        <v>56</v>
      </c>
      <c r="D596" s="3">
        <v>45601</v>
      </c>
      <c r="E596" t="str">
        <f>VLOOKUP(B596,'PROCV GERENTES BD'!A:B,2,0)</f>
        <v>ANTONIO CARLOS</v>
      </c>
      <c r="F596" s="4" t="str">
        <f t="shared" si="49"/>
        <v>2024-11-1</v>
      </c>
      <c r="G596" t="str">
        <f t="shared" si="45"/>
        <v>ANTONIO CARLOS</v>
      </c>
      <c r="H596" t="str">
        <f t="shared" si="46"/>
        <v>PREMOLDADOS MATOSINHOS LTDA EPP</v>
      </c>
      <c r="I596">
        <f t="shared" si="47"/>
        <v>0</v>
      </c>
      <c r="J596">
        <f t="shared" si="48"/>
        <v>1</v>
      </c>
    </row>
    <row r="597" spans="1:10" x14ac:dyDescent="0.25">
      <c r="A597" t="s">
        <v>311</v>
      </c>
      <c r="B597" t="s">
        <v>130</v>
      </c>
      <c r="C597" t="s">
        <v>72</v>
      </c>
      <c r="D597" s="3">
        <v>45601</v>
      </c>
      <c r="E597" t="str">
        <f>VLOOKUP(B597,'PROCV GERENTES BD'!A:B,2,0)</f>
        <v>ANTONIO CARLOS</v>
      </c>
      <c r="F597" s="4" t="str">
        <f t="shared" si="49"/>
        <v>2024-11-1</v>
      </c>
      <c r="G597" t="str">
        <f t="shared" si="45"/>
        <v>ANTONIO CARLOS</v>
      </c>
      <c r="H597" t="str">
        <f t="shared" si="46"/>
        <v>VIC LOGISTICA LTDA EM RECUPERACAO JUDICIAL</v>
      </c>
      <c r="I597">
        <f t="shared" si="47"/>
        <v>1</v>
      </c>
      <c r="J597">
        <f t="shared" si="48"/>
        <v>0</v>
      </c>
    </row>
    <row r="598" spans="1:10" x14ac:dyDescent="0.25">
      <c r="A598" t="s">
        <v>326</v>
      </c>
      <c r="B598" t="s">
        <v>86</v>
      </c>
      <c r="C598" t="s">
        <v>56</v>
      </c>
      <c r="D598" s="3">
        <v>45601</v>
      </c>
      <c r="E598" t="str">
        <f>VLOOKUP(B598,'PROCV GERENTES BD'!A:B,2,0)</f>
        <v>CELIO PIMENTA</v>
      </c>
      <c r="F598" s="4" t="str">
        <f t="shared" si="49"/>
        <v>2024-11-1</v>
      </c>
      <c r="G598" t="str">
        <f t="shared" si="45"/>
        <v>CELIO PIMENTA</v>
      </c>
      <c r="H598" t="str">
        <f t="shared" si="46"/>
        <v>IMPORTEXTIL COMERCIO DE TECIDOS LTDA</v>
      </c>
      <c r="I598">
        <f t="shared" si="47"/>
        <v>0</v>
      </c>
      <c r="J598">
        <f t="shared" si="48"/>
        <v>1</v>
      </c>
    </row>
    <row r="599" spans="1:10" x14ac:dyDescent="0.25">
      <c r="A599" t="s">
        <v>436</v>
      </c>
      <c r="B599" t="s">
        <v>186</v>
      </c>
      <c r="C599" t="s">
        <v>56</v>
      </c>
      <c r="D599" s="3">
        <v>45601</v>
      </c>
      <c r="E599" t="str">
        <f>VLOOKUP(B599,'PROCV GERENTES BD'!A:B,2,0)</f>
        <v xml:space="preserve">MARCUS VINICIUS </v>
      </c>
      <c r="F599" s="4" t="str">
        <f t="shared" si="49"/>
        <v>2024-11-1</v>
      </c>
      <c r="G599" t="str">
        <f t="shared" si="45"/>
        <v xml:space="preserve">MARCUS VINICIUS </v>
      </c>
      <c r="H599" t="str">
        <f t="shared" si="46"/>
        <v>LABOR ELETRIC INDUSTRIA E COMERCIO UNIPESSOAL LTDA</v>
      </c>
      <c r="I599">
        <f t="shared" si="47"/>
        <v>0</v>
      </c>
      <c r="J599">
        <f t="shared" si="48"/>
        <v>1</v>
      </c>
    </row>
    <row r="600" spans="1:10" x14ac:dyDescent="0.25">
      <c r="A600" t="s">
        <v>427</v>
      </c>
      <c r="B600" t="s">
        <v>176</v>
      </c>
      <c r="C600" t="s">
        <v>56</v>
      </c>
      <c r="D600" s="3">
        <v>45601</v>
      </c>
      <c r="E600" t="str">
        <f>VLOOKUP(B600,'PROCV GERENTES BD'!A:B,2,0)</f>
        <v>NOELI SALETE</v>
      </c>
      <c r="F600" s="4" t="str">
        <f t="shared" si="49"/>
        <v>2024-11-1</v>
      </c>
      <c r="G600" t="str">
        <f t="shared" si="45"/>
        <v>NOELI SALETE</v>
      </c>
      <c r="H600" t="str">
        <f t="shared" si="46"/>
        <v>GLOBAL ACO SERVICOS E PRODUTOS SIDERURGICOS LTDA E</v>
      </c>
      <c r="I600">
        <f t="shared" si="47"/>
        <v>0</v>
      </c>
      <c r="J600">
        <f t="shared" si="48"/>
        <v>1</v>
      </c>
    </row>
    <row r="601" spans="1:10" x14ac:dyDescent="0.25">
      <c r="A601" t="s">
        <v>347</v>
      </c>
      <c r="B601" t="s">
        <v>93</v>
      </c>
      <c r="C601" t="s">
        <v>56</v>
      </c>
      <c r="D601" s="3">
        <v>45601</v>
      </c>
      <c r="E601" t="str">
        <f>VLOOKUP(B601,'PROCV GERENTES BD'!A:B,2,0)</f>
        <v>NOELI SALETE</v>
      </c>
      <c r="F601" s="4" t="str">
        <f t="shared" si="49"/>
        <v>2024-11-1</v>
      </c>
      <c r="G601" t="str">
        <f t="shared" si="45"/>
        <v>NOELI SALETE</v>
      </c>
      <c r="H601" t="str">
        <f t="shared" si="46"/>
        <v>RODOBOX TRANSPORTES E ARMAZENAGEM DE CARGAS LTDA</v>
      </c>
      <c r="I601">
        <f t="shared" si="47"/>
        <v>0</v>
      </c>
      <c r="J601">
        <f t="shared" si="48"/>
        <v>1</v>
      </c>
    </row>
    <row r="602" spans="1:10" x14ac:dyDescent="0.25">
      <c r="A602" t="s">
        <v>415</v>
      </c>
      <c r="B602" t="s">
        <v>164</v>
      </c>
      <c r="C602" t="s">
        <v>72</v>
      </c>
      <c r="D602" s="3">
        <v>45601</v>
      </c>
      <c r="E602" t="str">
        <f>VLOOKUP(B602,'PROCV GERENTES BD'!A:B,2,0)</f>
        <v>NOELI SALETE</v>
      </c>
      <c r="F602" s="4" t="str">
        <f t="shared" si="49"/>
        <v>2024-11-1</v>
      </c>
      <c r="G602" t="str">
        <f t="shared" si="45"/>
        <v>NOELI SALETE</v>
      </c>
      <c r="H602" t="str">
        <f t="shared" si="46"/>
        <v>SGAMAQ INOVACAO AGROINDUSTRIAL LTDA</v>
      </c>
      <c r="I602">
        <f t="shared" si="47"/>
        <v>1</v>
      </c>
      <c r="J602">
        <f t="shared" si="48"/>
        <v>0</v>
      </c>
    </row>
    <row r="603" spans="1:10" x14ac:dyDescent="0.25">
      <c r="A603" t="s">
        <v>354</v>
      </c>
      <c r="B603" t="s">
        <v>97</v>
      </c>
      <c r="C603" t="s">
        <v>56</v>
      </c>
      <c r="D603" s="3">
        <v>45601</v>
      </c>
      <c r="E603" t="str">
        <f>VLOOKUP(B603,'PROCV GERENTES BD'!A:B,2,0)</f>
        <v>POENATELA</v>
      </c>
      <c r="F603" s="4" t="str">
        <f t="shared" si="49"/>
        <v>2024-11-1</v>
      </c>
      <c r="G603" t="str">
        <f t="shared" si="45"/>
        <v>POENATELA</v>
      </c>
      <c r="H603" t="str">
        <f t="shared" si="46"/>
        <v>UBERTEC SERVICE USINAGEM LTDA EPP</v>
      </c>
      <c r="I603">
        <f t="shared" si="47"/>
        <v>0</v>
      </c>
      <c r="J603">
        <f t="shared" si="48"/>
        <v>1</v>
      </c>
    </row>
    <row r="604" spans="1:10" x14ac:dyDescent="0.25">
      <c r="A604" t="s">
        <v>361</v>
      </c>
      <c r="B604" t="s">
        <v>103</v>
      </c>
      <c r="C604" t="s">
        <v>56</v>
      </c>
      <c r="D604" s="3">
        <v>45601</v>
      </c>
      <c r="E604" t="str">
        <f>VLOOKUP(B604,'PROCV GERENTES BD'!A:B,2,0)</f>
        <v>PRISCILA METZ</v>
      </c>
      <c r="F604" s="4" t="str">
        <f t="shared" si="49"/>
        <v>2024-11-1</v>
      </c>
      <c r="G604" t="str">
        <f t="shared" si="45"/>
        <v>PRISCILA METZ</v>
      </c>
      <c r="H604" t="str">
        <f t="shared" si="46"/>
        <v>ESSENZA INDUSTRIA QUIMICA LTDA</v>
      </c>
      <c r="I604">
        <f t="shared" si="47"/>
        <v>0</v>
      </c>
      <c r="J604">
        <f t="shared" si="48"/>
        <v>1</v>
      </c>
    </row>
    <row r="605" spans="1:10" x14ac:dyDescent="0.25">
      <c r="A605" t="s">
        <v>441</v>
      </c>
      <c r="B605" t="s">
        <v>191</v>
      </c>
      <c r="C605" t="s">
        <v>56</v>
      </c>
      <c r="D605" s="3">
        <v>45601</v>
      </c>
      <c r="E605" t="str">
        <f>VLOOKUP(B605,'PROCV GERENTES BD'!A:B,2,0)</f>
        <v>PRISCILA METZ</v>
      </c>
      <c r="F605" s="4" t="str">
        <f t="shared" si="49"/>
        <v>2024-11-1</v>
      </c>
      <c r="G605" t="str">
        <f t="shared" si="45"/>
        <v>PRISCILA METZ</v>
      </c>
      <c r="H605" t="str">
        <f t="shared" si="46"/>
        <v>FRANZAO COLCHOES LTDA EPP</v>
      </c>
      <c r="I605">
        <f t="shared" si="47"/>
        <v>0</v>
      </c>
      <c r="J605">
        <f t="shared" si="48"/>
        <v>1</v>
      </c>
    </row>
    <row r="606" spans="1:10" x14ac:dyDescent="0.25">
      <c r="A606" t="s">
        <v>384</v>
      </c>
      <c r="B606" t="s">
        <v>128</v>
      </c>
      <c r="C606" t="s">
        <v>56</v>
      </c>
      <c r="D606" s="3">
        <v>45601</v>
      </c>
      <c r="E606" t="str">
        <f>VLOOKUP(B606,'PROCV GERENTES BD'!A:B,2,0)</f>
        <v>PRISCILA METZ</v>
      </c>
      <c r="F606" s="4" t="str">
        <f t="shared" si="49"/>
        <v>2024-11-1</v>
      </c>
      <c r="G606" t="str">
        <f t="shared" si="45"/>
        <v>PRISCILA METZ</v>
      </c>
      <c r="H606" t="str">
        <f t="shared" si="46"/>
        <v>NOVA DISTRIBUIDORA E ATACADO DE LIMPEZA LTDA</v>
      </c>
      <c r="I606">
        <f t="shared" si="47"/>
        <v>0</v>
      </c>
      <c r="J606">
        <f t="shared" si="48"/>
        <v>1</v>
      </c>
    </row>
    <row r="607" spans="1:10" x14ac:dyDescent="0.25">
      <c r="A607" t="s">
        <v>442</v>
      </c>
      <c r="B607" t="s">
        <v>192</v>
      </c>
      <c r="C607" t="s">
        <v>56</v>
      </c>
      <c r="D607" s="3">
        <v>45601</v>
      </c>
      <c r="E607" t="str">
        <f>VLOOKUP(B607,'PROCV GERENTES BD'!A:B,2,0)</f>
        <v>RAFAEL PARISE</v>
      </c>
      <c r="F607" s="4" t="str">
        <f t="shared" si="49"/>
        <v>2024-11-1</v>
      </c>
      <c r="G607" t="str">
        <f t="shared" si="45"/>
        <v>RAFAEL PARISE</v>
      </c>
      <c r="H607" t="str">
        <f t="shared" si="46"/>
        <v>MARCAS COMERCIO LTDA ME</v>
      </c>
      <c r="I607">
        <f t="shared" si="47"/>
        <v>0</v>
      </c>
      <c r="J607">
        <f t="shared" si="48"/>
        <v>1</v>
      </c>
    </row>
    <row r="608" spans="1:10" x14ac:dyDescent="0.25">
      <c r="A608" t="s">
        <v>417</v>
      </c>
      <c r="B608" t="s">
        <v>166</v>
      </c>
      <c r="C608" t="s">
        <v>72</v>
      </c>
      <c r="D608" s="3">
        <v>45601</v>
      </c>
      <c r="E608" t="str">
        <f>VLOOKUP(B608,'PROCV GERENTES BD'!A:B,2,0)</f>
        <v>RAFAEL PARISE</v>
      </c>
      <c r="F608" s="4" t="str">
        <f t="shared" si="49"/>
        <v>2024-11-1</v>
      </c>
      <c r="G608" t="str">
        <f t="shared" si="45"/>
        <v>RAFAEL PARISE</v>
      </c>
      <c r="H608" t="str">
        <f t="shared" si="46"/>
        <v>OXIGAS RESIDUOS ESPECIAIS LTDA EPP</v>
      </c>
      <c r="I608">
        <f t="shared" si="47"/>
        <v>1</v>
      </c>
      <c r="J608">
        <f t="shared" si="48"/>
        <v>0</v>
      </c>
    </row>
    <row r="609" spans="1:10" x14ac:dyDescent="0.25">
      <c r="A609" t="s">
        <v>82</v>
      </c>
      <c r="B609" t="s">
        <v>83</v>
      </c>
      <c r="C609" t="s">
        <v>56</v>
      </c>
      <c r="D609" s="3">
        <v>45601</v>
      </c>
      <c r="E609" t="str">
        <f>VLOOKUP(B609,'PROCV GERENTES BD'!A:B,2,0)</f>
        <v>RAFAEL PARISE</v>
      </c>
      <c r="F609" s="4" t="str">
        <f t="shared" si="49"/>
        <v>2024-11-1</v>
      </c>
      <c r="G609" t="str">
        <f t="shared" si="45"/>
        <v>RAFAEL PARISE</v>
      </c>
      <c r="H609" t="str">
        <f t="shared" si="46"/>
        <v>UNITA AUTO PECAS LTDA EPP</v>
      </c>
      <c r="I609">
        <f t="shared" si="47"/>
        <v>0</v>
      </c>
      <c r="J609">
        <f t="shared" si="48"/>
        <v>1</v>
      </c>
    </row>
    <row r="610" spans="1:10" x14ac:dyDescent="0.25">
      <c r="A610" t="s">
        <v>326</v>
      </c>
      <c r="B610" t="s">
        <v>86</v>
      </c>
      <c r="C610" t="s">
        <v>59</v>
      </c>
      <c r="D610" s="3">
        <v>45602</v>
      </c>
      <c r="E610" t="str">
        <f>VLOOKUP(B610,'PROCV GERENTES BD'!A:B,2,0)</f>
        <v>CELIO PIMENTA</v>
      </c>
      <c r="F610" s="4" t="str">
        <f t="shared" si="49"/>
        <v>2024-11-1</v>
      </c>
      <c r="G610" t="str">
        <f t="shared" si="45"/>
        <v>CELIO PIMENTA</v>
      </c>
      <c r="H610" t="str">
        <f t="shared" si="46"/>
        <v>IMPORTEXTIL COMERCIO DE TECIDOS LTDA</v>
      </c>
      <c r="I610">
        <f t="shared" si="47"/>
        <v>0</v>
      </c>
      <c r="J610">
        <f t="shared" si="48"/>
        <v>0</v>
      </c>
    </row>
    <row r="611" spans="1:10" x14ac:dyDescent="0.25">
      <c r="A611" t="s">
        <v>330</v>
      </c>
      <c r="B611" t="s">
        <v>116</v>
      </c>
      <c r="C611" t="s">
        <v>56</v>
      </c>
      <c r="D611" s="3">
        <v>45602</v>
      </c>
      <c r="E611" t="str">
        <f>VLOOKUP(B611,'PROCV GERENTES BD'!A:B,2,0)</f>
        <v>FITZ</v>
      </c>
      <c r="F611" s="4" t="str">
        <f t="shared" si="49"/>
        <v>2024-11-1</v>
      </c>
      <c r="G611" t="str">
        <f t="shared" si="45"/>
        <v>FITZ</v>
      </c>
      <c r="H611" t="str">
        <f t="shared" si="46"/>
        <v>SIAP COMERCIO DE PRODUTOS AGROPECUARIOS LTDA</v>
      </c>
      <c r="I611">
        <f t="shared" si="47"/>
        <v>0</v>
      </c>
      <c r="J611">
        <f t="shared" si="48"/>
        <v>1</v>
      </c>
    </row>
    <row r="612" spans="1:10" x14ac:dyDescent="0.25">
      <c r="A612" t="s">
        <v>436</v>
      </c>
      <c r="B612" t="s">
        <v>186</v>
      </c>
      <c r="C612" t="s">
        <v>59</v>
      </c>
      <c r="D612" s="3">
        <v>45602</v>
      </c>
      <c r="E612" t="str">
        <f>VLOOKUP(B612,'PROCV GERENTES BD'!A:B,2,0)</f>
        <v xml:space="preserve">MARCUS VINICIUS </v>
      </c>
      <c r="F612" s="4" t="str">
        <f t="shared" si="49"/>
        <v>2024-11-1</v>
      </c>
      <c r="G612" t="str">
        <f t="shared" si="45"/>
        <v xml:space="preserve">MARCUS VINICIUS </v>
      </c>
      <c r="H612" t="str">
        <f t="shared" si="46"/>
        <v>LABOR ELETRIC INDUSTRIA E COMERCIO UNIPESSOAL LTDA</v>
      </c>
      <c r="I612">
        <f t="shared" si="47"/>
        <v>0</v>
      </c>
      <c r="J612">
        <f t="shared" si="48"/>
        <v>0</v>
      </c>
    </row>
    <row r="613" spans="1:10" x14ac:dyDescent="0.25">
      <c r="A613" t="s">
        <v>347</v>
      </c>
      <c r="B613" t="s">
        <v>93</v>
      </c>
      <c r="C613" t="s">
        <v>56</v>
      </c>
      <c r="D613" s="3">
        <v>45602</v>
      </c>
      <c r="E613" t="str">
        <f>VLOOKUP(B613,'PROCV GERENTES BD'!A:B,2,0)</f>
        <v>NOELI SALETE</v>
      </c>
      <c r="F613" s="4" t="str">
        <f t="shared" si="49"/>
        <v>2024-11-1</v>
      </c>
      <c r="G613" t="str">
        <f t="shared" si="45"/>
        <v>NOELI SALETE</v>
      </c>
      <c r="H613" t="str">
        <f t="shared" si="46"/>
        <v>RODOBOX TRANSPORTES E ARMAZENAGEM DE CARGAS LTDA</v>
      </c>
      <c r="I613">
        <f t="shared" si="47"/>
        <v>0</v>
      </c>
      <c r="J613">
        <f t="shared" si="48"/>
        <v>1</v>
      </c>
    </row>
    <row r="614" spans="1:10" x14ac:dyDescent="0.25">
      <c r="A614" t="s">
        <v>415</v>
      </c>
      <c r="B614" t="s">
        <v>164</v>
      </c>
      <c r="C614" t="s">
        <v>72</v>
      </c>
      <c r="D614" s="3">
        <v>45602</v>
      </c>
      <c r="E614" t="str">
        <f>VLOOKUP(B614,'PROCV GERENTES BD'!A:B,2,0)</f>
        <v>NOELI SALETE</v>
      </c>
      <c r="F614" s="4" t="str">
        <f t="shared" si="49"/>
        <v>2024-11-1</v>
      </c>
      <c r="G614" t="str">
        <f t="shared" si="45"/>
        <v>NOELI SALETE</v>
      </c>
      <c r="H614" t="str">
        <f t="shared" si="46"/>
        <v>SGAMAQ INOVACAO AGROINDUSTRIAL LTDA</v>
      </c>
      <c r="I614">
        <f t="shared" si="47"/>
        <v>1</v>
      </c>
      <c r="J614">
        <f t="shared" si="48"/>
        <v>0</v>
      </c>
    </row>
    <row r="615" spans="1:10" x14ac:dyDescent="0.25">
      <c r="A615" t="s">
        <v>354</v>
      </c>
      <c r="B615" t="s">
        <v>97</v>
      </c>
      <c r="C615" t="s">
        <v>56</v>
      </c>
      <c r="D615" s="3">
        <v>45602</v>
      </c>
      <c r="E615" t="str">
        <f>VLOOKUP(B615,'PROCV GERENTES BD'!A:B,2,0)</f>
        <v>POENATELA</v>
      </c>
      <c r="F615" s="4" t="str">
        <f t="shared" si="49"/>
        <v>2024-11-1</v>
      </c>
      <c r="G615" t="str">
        <f t="shared" si="45"/>
        <v>POENATELA</v>
      </c>
      <c r="H615" t="str">
        <f t="shared" si="46"/>
        <v>UBERTEC SERVICE USINAGEM LTDA EPP</v>
      </c>
      <c r="I615">
        <f t="shared" si="47"/>
        <v>0</v>
      </c>
      <c r="J615">
        <f t="shared" si="48"/>
        <v>1</v>
      </c>
    </row>
    <row r="616" spans="1:10" x14ac:dyDescent="0.25">
      <c r="A616" t="s">
        <v>384</v>
      </c>
      <c r="B616" t="s">
        <v>128</v>
      </c>
      <c r="C616" t="s">
        <v>56</v>
      </c>
      <c r="D616" s="3">
        <v>45602</v>
      </c>
      <c r="E616" t="str">
        <f>VLOOKUP(B616,'PROCV GERENTES BD'!A:B,2,0)</f>
        <v>PRISCILA METZ</v>
      </c>
      <c r="F616" s="4" t="str">
        <f t="shared" si="49"/>
        <v>2024-11-1</v>
      </c>
      <c r="G616" t="str">
        <f t="shared" si="45"/>
        <v>PRISCILA METZ</v>
      </c>
      <c r="H616" t="str">
        <f t="shared" si="46"/>
        <v>NOVA DISTRIBUIDORA E ATACADO DE LIMPEZA LTDA</v>
      </c>
      <c r="I616">
        <f t="shared" si="47"/>
        <v>0</v>
      </c>
      <c r="J616">
        <f t="shared" si="48"/>
        <v>1</v>
      </c>
    </row>
    <row r="617" spans="1:10" x14ac:dyDescent="0.25">
      <c r="A617" t="s">
        <v>380</v>
      </c>
      <c r="B617" t="s">
        <v>123</v>
      </c>
      <c r="C617" t="s">
        <v>72</v>
      </c>
      <c r="D617" s="3">
        <v>45603</v>
      </c>
      <c r="E617" t="str">
        <f>VLOOKUP(B617,'PROCV GERENTES BD'!A:B,2,0)</f>
        <v>ANTONIO CARLOS</v>
      </c>
      <c r="F617" s="4" t="str">
        <f t="shared" si="49"/>
        <v>2024-11-1</v>
      </c>
      <c r="G617" t="str">
        <f t="shared" si="45"/>
        <v>ANTONIO CARLOS</v>
      </c>
      <c r="H617" t="str">
        <f t="shared" si="46"/>
        <v>PREMOLDADOS MATOSINHOS LTDA EPP</v>
      </c>
      <c r="I617">
        <f t="shared" si="47"/>
        <v>1</v>
      </c>
      <c r="J617">
        <f t="shared" si="48"/>
        <v>0</v>
      </c>
    </row>
    <row r="618" spans="1:10" x14ac:dyDescent="0.25">
      <c r="A618" t="s">
        <v>326</v>
      </c>
      <c r="B618" t="s">
        <v>86</v>
      </c>
      <c r="C618" t="s">
        <v>56</v>
      </c>
      <c r="D618" s="3">
        <v>45603</v>
      </c>
      <c r="E618" t="str">
        <f>VLOOKUP(B618,'PROCV GERENTES BD'!A:B,2,0)</f>
        <v>CELIO PIMENTA</v>
      </c>
      <c r="F618" s="4" t="str">
        <f t="shared" si="49"/>
        <v>2024-11-1</v>
      </c>
      <c r="G618" t="str">
        <f t="shared" si="45"/>
        <v>CELIO PIMENTA</v>
      </c>
      <c r="H618" t="str">
        <f t="shared" si="46"/>
        <v>IMPORTEXTIL COMERCIO DE TECIDOS LTDA</v>
      </c>
      <c r="I618">
        <f t="shared" si="47"/>
        <v>0</v>
      </c>
      <c r="J618">
        <f t="shared" si="48"/>
        <v>1</v>
      </c>
    </row>
    <row r="619" spans="1:10" x14ac:dyDescent="0.25">
      <c r="A619" t="s">
        <v>60</v>
      </c>
      <c r="B619" t="s">
        <v>61</v>
      </c>
      <c r="C619" t="s">
        <v>72</v>
      </c>
      <c r="D619" s="3">
        <v>45603</v>
      </c>
      <c r="E619" t="str">
        <f>VLOOKUP(B619,'PROCV GERENTES BD'!A:B,2,0)</f>
        <v>CELIO PIMENTA</v>
      </c>
      <c r="F619" s="4" t="str">
        <f t="shared" si="49"/>
        <v>2024-11-1</v>
      </c>
      <c r="G619" t="str">
        <f t="shared" si="45"/>
        <v>CELIO PIMENTA</v>
      </c>
      <c r="H619" t="str">
        <f t="shared" si="46"/>
        <v>WJ CALDEIRARIA INDUSTRIA E COMERCIO LTDA ME</v>
      </c>
      <c r="I619">
        <f t="shared" si="47"/>
        <v>1</v>
      </c>
      <c r="J619">
        <f t="shared" si="48"/>
        <v>0</v>
      </c>
    </row>
    <row r="620" spans="1:10" x14ac:dyDescent="0.25">
      <c r="A620" t="s">
        <v>436</v>
      </c>
      <c r="B620" t="s">
        <v>186</v>
      </c>
      <c r="C620" t="s">
        <v>56</v>
      </c>
      <c r="D620" s="3">
        <v>45603</v>
      </c>
      <c r="E620" t="str">
        <f>VLOOKUP(B620,'PROCV GERENTES BD'!A:B,2,0)</f>
        <v xml:space="preserve">MARCUS VINICIUS </v>
      </c>
      <c r="F620" s="4" t="str">
        <f t="shared" si="49"/>
        <v>2024-11-1</v>
      </c>
      <c r="G620" t="str">
        <f t="shared" si="45"/>
        <v xml:space="preserve">MARCUS VINICIUS </v>
      </c>
      <c r="H620" t="str">
        <f t="shared" si="46"/>
        <v>LABOR ELETRIC INDUSTRIA E COMERCIO UNIPESSOAL LTDA</v>
      </c>
      <c r="I620">
        <f t="shared" si="47"/>
        <v>0</v>
      </c>
      <c r="J620">
        <f t="shared" si="48"/>
        <v>1</v>
      </c>
    </row>
    <row r="621" spans="1:10" x14ac:dyDescent="0.25">
      <c r="A621" t="s">
        <v>354</v>
      </c>
      <c r="B621" t="s">
        <v>97</v>
      </c>
      <c r="C621" t="s">
        <v>59</v>
      </c>
      <c r="D621" s="3">
        <v>45603</v>
      </c>
      <c r="E621" t="str">
        <f>VLOOKUP(B621,'PROCV GERENTES BD'!A:B,2,0)</f>
        <v>POENATELA</v>
      </c>
      <c r="F621" s="4" t="str">
        <f t="shared" si="49"/>
        <v>2024-11-1</v>
      </c>
      <c r="G621" t="str">
        <f t="shared" si="45"/>
        <v>POENATELA</v>
      </c>
      <c r="H621" t="str">
        <f t="shared" si="46"/>
        <v>UBERTEC SERVICE USINAGEM LTDA EPP</v>
      </c>
      <c r="I621">
        <f t="shared" si="47"/>
        <v>0</v>
      </c>
      <c r="J621">
        <f t="shared" si="48"/>
        <v>0</v>
      </c>
    </row>
    <row r="622" spans="1:10" x14ac:dyDescent="0.25">
      <c r="A622" t="s">
        <v>361</v>
      </c>
      <c r="B622" t="s">
        <v>103</v>
      </c>
      <c r="C622" t="s">
        <v>56</v>
      </c>
      <c r="D622" s="3">
        <v>45603</v>
      </c>
      <c r="E622" t="str">
        <f>VLOOKUP(B622,'PROCV GERENTES BD'!A:B,2,0)</f>
        <v>PRISCILA METZ</v>
      </c>
      <c r="F622" s="4" t="str">
        <f t="shared" si="49"/>
        <v>2024-11-1</v>
      </c>
      <c r="G622" t="str">
        <f t="shared" si="45"/>
        <v>PRISCILA METZ</v>
      </c>
      <c r="H622" t="str">
        <f t="shared" si="46"/>
        <v>ESSENZA INDUSTRIA QUIMICA LTDA</v>
      </c>
      <c r="I622">
        <f t="shared" si="47"/>
        <v>0</v>
      </c>
      <c r="J622">
        <f t="shared" si="48"/>
        <v>1</v>
      </c>
    </row>
    <row r="623" spans="1:10" x14ac:dyDescent="0.25">
      <c r="A623" t="s">
        <v>443</v>
      </c>
      <c r="B623" t="s">
        <v>193</v>
      </c>
      <c r="C623" t="s">
        <v>335</v>
      </c>
      <c r="D623" s="3">
        <v>45604</v>
      </c>
      <c r="E623" t="str">
        <f>VLOOKUP(B623,'PROCV GERENTES BD'!A:B,2,0)</f>
        <v>ADMINISTRAÇÃO</v>
      </c>
      <c r="F623" s="4" t="str">
        <f t="shared" si="49"/>
        <v>2024-11-1</v>
      </c>
      <c r="G623" t="str">
        <f t="shared" si="45"/>
        <v>ADMINISTRAÇÃO</v>
      </c>
      <c r="H623" t="str">
        <f t="shared" si="46"/>
        <v>CALDEM CONSTRUCOES MECANICAS LTDA EPP</v>
      </c>
      <c r="I623">
        <f t="shared" si="47"/>
        <v>0</v>
      </c>
      <c r="J623">
        <f t="shared" si="48"/>
        <v>0</v>
      </c>
    </row>
    <row r="624" spans="1:10" x14ac:dyDescent="0.25">
      <c r="A624" t="s">
        <v>443</v>
      </c>
      <c r="B624" t="s">
        <v>193</v>
      </c>
      <c r="C624" t="s">
        <v>337</v>
      </c>
      <c r="D624" s="3">
        <v>45604</v>
      </c>
      <c r="E624" t="str">
        <f>VLOOKUP(B624,'PROCV GERENTES BD'!A:B,2,0)</f>
        <v>ADMINISTRAÇÃO</v>
      </c>
      <c r="F624" s="4" t="str">
        <f t="shared" si="49"/>
        <v>2024-11-1</v>
      </c>
      <c r="G624" t="str">
        <f t="shared" si="45"/>
        <v>ADMINISTRAÇÃO</v>
      </c>
      <c r="H624" t="str">
        <f t="shared" si="46"/>
        <v>CALDEM CONSTRUCOES MECANICAS LTDA EPP</v>
      </c>
      <c r="I624">
        <f t="shared" si="47"/>
        <v>0</v>
      </c>
      <c r="J624">
        <f t="shared" si="48"/>
        <v>0</v>
      </c>
    </row>
    <row r="625" spans="1:10" x14ac:dyDescent="0.25">
      <c r="A625" t="s">
        <v>380</v>
      </c>
      <c r="B625" t="s">
        <v>123</v>
      </c>
      <c r="C625" t="s">
        <v>72</v>
      </c>
      <c r="D625" s="3">
        <v>45604</v>
      </c>
      <c r="E625" t="str">
        <f>VLOOKUP(B625,'PROCV GERENTES BD'!A:B,2,0)</f>
        <v>ANTONIO CARLOS</v>
      </c>
      <c r="F625" s="4" t="str">
        <f t="shared" si="49"/>
        <v>2024-11-1</v>
      </c>
      <c r="G625" t="str">
        <f t="shared" si="45"/>
        <v>ANTONIO CARLOS</v>
      </c>
      <c r="H625" t="str">
        <f t="shared" si="46"/>
        <v>PREMOLDADOS MATOSINHOS LTDA EPP</v>
      </c>
      <c r="I625">
        <f t="shared" si="47"/>
        <v>1</v>
      </c>
      <c r="J625">
        <f t="shared" si="48"/>
        <v>0</v>
      </c>
    </row>
    <row r="626" spans="1:10" x14ac:dyDescent="0.25">
      <c r="A626" t="s">
        <v>311</v>
      </c>
      <c r="B626" t="s">
        <v>130</v>
      </c>
      <c r="C626" t="s">
        <v>72</v>
      </c>
      <c r="D626" s="3">
        <v>45604</v>
      </c>
      <c r="E626" t="str">
        <f>VLOOKUP(B626,'PROCV GERENTES BD'!A:B,2,0)</f>
        <v>ANTONIO CARLOS</v>
      </c>
      <c r="F626" s="4" t="str">
        <f t="shared" si="49"/>
        <v>2024-11-1</v>
      </c>
      <c r="G626" t="str">
        <f t="shared" si="45"/>
        <v>ANTONIO CARLOS</v>
      </c>
      <c r="H626" t="str">
        <f t="shared" si="46"/>
        <v>VIC LOGISTICA LTDA EM RECUPERACAO JUDICIAL</v>
      </c>
      <c r="I626">
        <f t="shared" si="47"/>
        <v>1</v>
      </c>
      <c r="J626">
        <f t="shared" si="48"/>
        <v>0</v>
      </c>
    </row>
    <row r="627" spans="1:10" x14ac:dyDescent="0.25">
      <c r="A627" t="s">
        <v>326</v>
      </c>
      <c r="B627" t="s">
        <v>86</v>
      </c>
      <c r="C627" t="s">
        <v>56</v>
      </c>
      <c r="D627" s="3">
        <v>45604</v>
      </c>
      <c r="E627" t="str">
        <f>VLOOKUP(B627,'PROCV GERENTES BD'!A:B,2,0)</f>
        <v>CELIO PIMENTA</v>
      </c>
      <c r="F627" s="4" t="str">
        <f t="shared" si="49"/>
        <v>2024-11-1</v>
      </c>
      <c r="G627" t="str">
        <f t="shared" si="45"/>
        <v>CELIO PIMENTA</v>
      </c>
      <c r="H627" t="str">
        <f t="shared" si="46"/>
        <v>IMPORTEXTIL COMERCIO DE TECIDOS LTDA</v>
      </c>
      <c r="I627">
        <f t="shared" si="47"/>
        <v>0</v>
      </c>
      <c r="J627">
        <f t="shared" si="48"/>
        <v>1</v>
      </c>
    </row>
    <row r="628" spans="1:10" x14ac:dyDescent="0.25">
      <c r="A628" t="s">
        <v>60</v>
      </c>
      <c r="B628" t="s">
        <v>61</v>
      </c>
      <c r="C628" t="s">
        <v>72</v>
      </c>
      <c r="D628" s="3">
        <v>45604</v>
      </c>
      <c r="E628" t="str">
        <f>VLOOKUP(B628,'PROCV GERENTES BD'!A:B,2,0)</f>
        <v>CELIO PIMENTA</v>
      </c>
      <c r="F628" s="4" t="str">
        <f t="shared" si="49"/>
        <v>2024-11-1</v>
      </c>
      <c r="G628" t="str">
        <f t="shared" si="45"/>
        <v>CELIO PIMENTA</v>
      </c>
      <c r="H628" t="str">
        <f t="shared" si="46"/>
        <v>WJ CALDEIRARIA INDUSTRIA E COMERCIO LTDA ME</v>
      </c>
      <c r="I628">
        <f t="shared" si="47"/>
        <v>1</v>
      </c>
      <c r="J628">
        <f t="shared" si="48"/>
        <v>0</v>
      </c>
    </row>
    <row r="629" spans="1:10" x14ac:dyDescent="0.25">
      <c r="A629" t="s">
        <v>366</v>
      </c>
      <c r="B629" t="s">
        <v>111</v>
      </c>
      <c r="C629" t="s">
        <v>72</v>
      </c>
      <c r="D629" s="3">
        <v>45604</v>
      </c>
      <c r="E629" t="str">
        <f>VLOOKUP(B629,'PROCV GERENTES BD'!A:B,2,0)</f>
        <v>DIOGO AZEVEDO</v>
      </c>
      <c r="F629" s="4" t="str">
        <f t="shared" si="49"/>
        <v>2024-11-1</v>
      </c>
      <c r="G629" t="str">
        <f t="shared" si="45"/>
        <v>DIOGO AZEVEDO</v>
      </c>
      <c r="H629" t="str">
        <f t="shared" si="46"/>
        <v>INDUSTRIA E CERVEJARIA ARTESANAL DE MINAS GERAIS L</v>
      </c>
      <c r="I629">
        <f t="shared" si="47"/>
        <v>1</v>
      </c>
      <c r="J629">
        <f t="shared" si="48"/>
        <v>0</v>
      </c>
    </row>
    <row r="630" spans="1:10" x14ac:dyDescent="0.25">
      <c r="A630" t="s">
        <v>436</v>
      </c>
      <c r="B630" t="s">
        <v>186</v>
      </c>
      <c r="C630" t="s">
        <v>56</v>
      </c>
      <c r="D630" s="3">
        <v>45604</v>
      </c>
      <c r="E630" t="str">
        <f>VLOOKUP(B630,'PROCV GERENTES BD'!A:B,2,0)</f>
        <v xml:space="preserve">MARCUS VINICIUS </v>
      </c>
      <c r="F630" s="4" t="str">
        <f t="shared" si="49"/>
        <v>2024-11-1</v>
      </c>
      <c r="G630" t="str">
        <f t="shared" si="45"/>
        <v xml:space="preserve">MARCUS VINICIUS </v>
      </c>
      <c r="H630" t="str">
        <f t="shared" si="46"/>
        <v>LABOR ELETRIC INDUSTRIA E COMERCIO UNIPESSOAL LTDA</v>
      </c>
      <c r="I630">
        <f t="shared" si="47"/>
        <v>0</v>
      </c>
      <c r="J630">
        <f t="shared" si="48"/>
        <v>1</v>
      </c>
    </row>
    <row r="631" spans="1:10" x14ac:dyDescent="0.25">
      <c r="A631" t="s">
        <v>347</v>
      </c>
      <c r="B631" t="s">
        <v>93</v>
      </c>
      <c r="C631" t="s">
        <v>56</v>
      </c>
      <c r="D631" s="3">
        <v>45604</v>
      </c>
      <c r="E631" t="str">
        <f>VLOOKUP(B631,'PROCV GERENTES BD'!A:B,2,0)</f>
        <v>NOELI SALETE</v>
      </c>
      <c r="F631" s="4" t="str">
        <f t="shared" si="49"/>
        <v>2024-11-1</v>
      </c>
      <c r="G631" t="str">
        <f t="shared" si="45"/>
        <v>NOELI SALETE</v>
      </c>
      <c r="H631" t="str">
        <f t="shared" si="46"/>
        <v>RODOBOX TRANSPORTES E ARMAZENAGEM DE CARGAS LTDA</v>
      </c>
      <c r="I631">
        <f t="shared" si="47"/>
        <v>0</v>
      </c>
      <c r="J631">
        <f t="shared" si="48"/>
        <v>1</v>
      </c>
    </row>
    <row r="632" spans="1:10" x14ac:dyDescent="0.25">
      <c r="A632" t="s">
        <v>425</v>
      </c>
      <c r="B632" t="s">
        <v>174</v>
      </c>
      <c r="C632" t="s">
        <v>72</v>
      </c>
      <c r="D632" s="3">
        <v>45604</v>
      </c>
      <c r="E632" t="str">
        <f>VLOOKUP(B632,'PROCV GERENTES BD'!A:B,2,0)</f>
        <v>POENATELA</v>
      </c>
      <c r="F632" s="4" t="str">
        <f t="shared" si="49"/>
        <v>2024-11-1</v>
      </c>
      <c r="G632" t="str">
        <f t="shared" si="45"/>
        <v>POENATELA</v>
      </c>
      <c r="H632" t="str">
        <f t="shared" si="46"/>
        <v>DETRONIC ENERGIA E SERVICOS LTDA</v>
      </c>
      <c r="I632">
        <f t="shared" si="47"/>
        <v>1</v>
      </c>
      <c r="J632">
        <f t="shared" si="48"/>
        <v>0</v>
      </c>
    </row>
    <row r="633" spans="1:10" x14ac:dyDescent="0.25">
      <c r="A633" t="s">
        <v>354</v>
      </c>
      <c r="B633" t="s">
        <v>97</v>
      </c>
      <c r="C633" t="s">
        <v>56</v>
      </c>
      <c r="D633" s="3">
        <v>45604</v>
      </c>
      <c r="E633" t="str">
        <f>VLOOKUP(B633,'PROCV GERENTES BD'!A:B,2,0)</f>
        <v>POENATELA</v>
      </c>
      <c r="F633" s="4" t="str">
        <f t="shared" si="49"/>
        <v>2024-11-1</v>
      </c>
      <c r="G633" t="str">
        <f t="shared" si="45"/>
        <v>POENATELA</v>
      </c>
      <c r="H633" t="str">
        <f t="shared" si="46"/>
        <v>UBERTEC SERVICE USINAGEM LTDA EPP</v>
      </c>
      <c r="I633">
        <f t="shared" si="47"/>
        <v>0</v>
      </c>
      <c r="J633">
        <f t="shared" si="48"/>
        <v>1</v>
      </c>
    </row>
    <row r="634" spans="1:10" x14ac:dyDescent="0.25">
      <c r="A634" t="s">
        <v>441</v>
      </c>
      <c r="B634" t="s">
        <v>191</v>
      </c>
      <c r="C634" t="s">
        <v>72</v>
      </c>
      <c r="D634" s="3">
        <v>45604</v>
      </c>
      <c r="E634" t="str">
        <f>VLOOKUP(B634,'PROCV GERENTES BD'!A:B,2,0)</f>
        <v>PRISCILA METZ</v>
      </c>
      <c r="F634" s="4" t="str">
        <f t="shared" si="49"/>
        <v>2024-11-1</v>
      </c>
      <c r="G634" t="str">
        <f t="shared" si="45"/>
        <v>PRISCILA METZ</v>
      </c>
      <c r="H634" t="str">
        <f t="shared" si="46"/>
        <v>FRANZAO COLCHOES LTDA EPP</v>
      </c>
      <c r="I634">
        <f t="shared" si="47"/>
        <v>1</v>
      </c>
      <c r="J634">
        <f t="shared" si="48"/>
        <v>0</v>
      </c>
    </row>
    <row r="635" spans="1:10" x14ac:dyDescent="0.25">
      <c r="A635" t="s">
        <v>321</v>
      </c>
      <c r="B635" t="s">
        <v>104</v>
      </c>
      <c r="C635" t="s">
        <v>56</v>
      </c>
      <c r="D635" s="3">
        <v>45604</v>
      </c>
      <c r="E635" t="str">
        <f>VLOOKUP(B635,'PROCV GERENTES BD'!A:B,2,0)</f>
        <v>THAYNA/COMERCIAL</v>
      </c>
      <c r="F635" s="4" t="str">
        <f t="shared" si="49"/>
        <v>2024-11-1</v>
      </c>
      <c r="G635" t="str">
        <f t="shared" si="45"/>
        <v>THAYNA/COMERCIAL</v>
      </c>
      <c r="H635" t="str">
        <f t="shared" si="46"/>
        <v>MUTCD CENTRO DISTRIBUICAO IND FABRICANTE COSMETICO</v>
      </c>
      <c r="I635">
        <f t="shared" si="47"/>
        <v>0</v>
      </c>
      <c r="J635">
        <f t="shared" si="48"/>
        <v>1</v>
      </c>
    </row>
    <row r="636" spans="1:10" x14ac:dyDescent="0.25">
      <c r="A636" t="s">
        <v>326</v>
      </c>
      <c r="B636" t="s">
        <v>86</v>
      </c>
      <c r="C636" t="s">
        <v>56</v>
      </c>
      <c r="D636" s="3">
        <v>45605</v>
      </c>
      <c r="E636" t="str">
        <f>VLOOKUP(B636,'PROCV GERENTES BD'!A:B,2,0)</f>
        <v>CELIO PIMENTA</v>
      </c>
      <c r="F636" s="4" t="str">
        <f t="shared" si="49"/>
        <v>2024-11-1</v>
      </c>
      <c r="G636" t="str">
        <f t="shared" si="45"/>
        <v>CELIO PIMENTA</v>
      </c>
      <c r="H636" t="str">
        <f t="shared" si="46"/>
        <v>IMPORTEXTIL COMERCIO DE TECIDOS LTDA</v>
      </c>
      <c r="I636">
        <f t="shared" si="47"/>
        <v>0</v>
      </c>
      <c r="J636">
        <f t="shared" si="48"/>
        <v>1</v>
      </c>
    </row>
    <row r="637" spans="1:10" x14ac:dyDescent="0.25">
      <c r="A637" t="s">
        <v>60</v>
      </c>
      <c r="B637" t="s">
        <v>61</v>
      </c>
      <c r="C637" t="s">
        <v>72</v>
      </c>
      <c r="D637" s="3">
        <v>45605</v>
      </c>
      <c r="E637" t="str">
        <f>VLOOKUP(B637,'PROCV GERENTES BD'!A:B,2,0)</f>
        <v>CELIO PIMENTA</v>
      </c>
      <c r="F637" s="4" t="str">
        <f t="shared" si="49"/>
        <v>2024-11-1</v>
      </c>
      <c r="G637" t="str">
        <f t="shared" si="45"/>
        <v>CELIO PIMENTA</v>
      </c>
      <c r="H637" t="str">
        <f t="shared" si="46"/>
        <v>WJ CALDEIRARIA INDUSTRIA E COMERCIO LTDA ME</v>
      </c>
      <c r="I637">
        <f t="shared" si="47"/>
        <v>1</v>
      </c>
      <c r="J637">
        <f t="shared" si="48"/>
        <v>0</v>
      </c>
    </row>
    <row r="638" spans="1:10" x14ac:dyDescent="0.25">
      <c r="A638" t="s">
        <v>330</v>
      </c>
      <c r="B638" t="s">
        <v>116</v>
      </c>
      <c r="C638" t="s">
        <v>56</v>
      </c>
      <c r="D638" s="3">
        <v>45605</v>
      </c>
      <c r="E638" t="str">
        <f>VLOOKUP(B638,'PROCV GERENTES BD'!A:B,2,0)</f>
        <v>FITZ</v>
      </c>
      <c r="F638" s="4" t="str">
        <f t="shared" si="49"/>
        <v>2024-11-1</v>
      </c>
      <c r="G638" t="str">
        <f t="shared" si="45"/>
        <v>FITZ</v>
      </c>
      <c r="H638" t="str">
        <f t="shared" si="46"/>
        <v>SIAP COMERCIO DE PRODUTOS AGROPECUARIOS LTDA</v>
      </c>
      <c r="I638">
        <f t="shared" si="47"/>
        <v>0</v>
      </c>
      <c r="J638">
        <f t="shared" si="48"/>
        <v>1</v>
      </c>
    </row>
    <row r="639" spans="1:10" x14ac:dyDescent="0.25">
      <c r="A639" t="s">
        <v>436</v>
      </c>
      <c r="B639" t="s">
        <v>186</v>
      </c>
      <c r="C639" t="s">
        <v>56</v>
      </c>
      <c r="D639" s="3">
        <v>45605</v>
      </c>
      <c r="E639" t="str">
        <f>VLOOKUP(B639,'PROCV GERENTES BD'!A:B,2,0)</f>
        <v xml:space="preserve">MARCUS VINICIUS </v>
      </c>
      <c r="F639" s="4" t="str">
        <f t="shared" si="49"/>
        <v>2024-11-1</v>
      </c>
      <c r="G639" t="str">
        <f t="shared" si="45"/>
        <v xml:space="preserve">MARCUS VINICIUS </v>
      </c>
      <c r="H639" t="str">
        <f t="shared" si="46"/>
        <v>LABOR ELETRIC INDUSTRIA E COMERCIO UNIPESSOAL LTDA</v>
      </c>
      <c r="I639">
        <f t="shared" si="47"/>
        <v>0</v>
      </c>
      <c r="J639">
        <f t="shared" si="48"/>
        <v>1</v>
      </c>
    </row>
    <row r="640" spans="1:10" x14ac:dyDescent="0.25">
      <c r="A640" t="s">
        <v>427</v>
      </c>
      <c r="B640" t="s">
        <v>176</v>
      </c>
      <c r="C640" t="s">
        <v>56</v>
      </c>
      <c r="D640" s="3">
        <v>45605</v>
      </c>
      <c r="E640" t="str">
        <f>VLOOKUP(B640,'PROCV GERENTES BD'!A:B,2,0)</f>
        <v>NOELI SALETE</v>
      </c>
      <c r="F640" s="4" t="str">
        <f t="shared" si="49"/>
        <v>2024-11-1</v>
      </c>
      <c r="G640" t="str">
        <f t="shared" si="45"/>
        <v>NOELI SALETE</v>
      </c>
      <c r="H640" t="str">
        <f t="shared" si="46"/>
        <v>GLOBAL ACO SERVICOS E PRODUTOS SIDERURGICOS LTDA E</v>
      </c>
      <c r="I640">
        <f t="shared" si="47"/>
        <v>0</v>
      </c>
      <c r="J640">
        <f t="shared" si="48"/>
        <v>1</v>
      </c>
    </row>
    <row r="641" spans="1:10" x14ac:dyDescent="0.25">
      <c r="A641" t="s">
        <v>347</v>
      </c>
      <c r="B641" t="s">
        <v>93</v>
      </c>
      <c r="C641" t="s">
        <v>56</v>
      </c>
      <c r="D641" s="3">
        <v>45605</v>
      </c>
      <c r="E641" t="str">
        <f>VLOOKUP(B641,'PROCV GERENTES BD'!A:B,2,0)</f>
        <v>NOELI SALETE</v>
      </c>
      <c r="F641" s="4" t="str">
        <f t="shared" si="49"/>
        <v>2024-11-1</v>
      </c>
      <c r="G641" t="str">
        <f t="shared" si="45"/>
        <v>NOELI SALETE</v>
      </c>
      <c r="H641" t="str">
        <f t="shared" si="46"/>
        <v>RODOBOX TRANSPORTES E ARMAZENAGEM DE CARGAS LTDA</v>
      </c>
      <c r="I641">
        <f t="shared" si="47"/>
        <v>0</v>
      </c>
      <c r="J641">
        <f t="shared" si="48"/>
        <v>1</v>
      </c>
    </row>
    <row r="642" spans="1:10" x14ac:dyDescent="0.25">
      <c r="A642" t="s">
        <v>415</v>
      </c>
      <c r="B642" t="s">
        <v>164</v>
      </c>
      <c r="C642" t="s">
        <v>72</v>
      </c>
      <c r="D642" s="3">
        <v>45605</v>
      </c>
      <c r="E642" t="str">
        <f>VLOOKUP(B642,'PROCV GERENTES BD'!A:B,2,0)</f>
        <v>NOELI SALETE</v>
      </c>
      <c r="F642" s="4" t="str">
        <f t="shared" si="49"/>
        <v>2024-11-1</v>
      </c>
      <c r="G642" t="str">
        <f t="shared" ref="G642:G705" si="50">E642</f>
        <v>NOELI SALETE</v>
      </c>
      <c r="H642" t="str">
        <f t="shared" ref="H642:H705" si="51">B642</f>
        <v>SGAMAQ INOVACAO AGROINDUSTRIAL LTDA</v>
      </c>
      <c r="I642">
        <f t="shared" ref="I642:I705" si="52">IF(C642="EXCLUSAO  ANOT.INADIMPLENCIA",1,0)</f>
        <v>1</v>
      </c>
      <c r="J642">
        <f t="shared" ref="J642:J705" si="53">IF(C642="INCLUSAO  ANOT.INADIMPLENCIA",1,0)</f>
        <v>0</v>
      </c>
    </row>
    <row r="643" spans="1:10" x14ac:dyDescent="0.25">
      <c r="A643" t="s">
        <v>354</v>
      </c>
      <c r="B643" t="s">
        <v>97</v>
      </c>
      <c r="C643" t="s">
        <v>56</v>
      </c>
      <c r="D643" s="3">
        <v>45605</v>
      </c>
      <c r="E643" t="str">
        <f>VLOOKUP(B643,'PROCV GERENTES BD'!A:B,2,0)</f>
        <v>POENATELA</v>
      </c>
      <c r="F643" s="4" t="str">
        <f t="shared" ref="F643:F706" si="54">YEAR(D643)&amp;"-"&amp;TEXT(MONTH(D643),"00")&amp;"-"&amp;IF(DAY(D643)&lt;=15,"1",IF(DAY(D643)&gt;15,"2",""))</f>
        <v>2024-11-1</v>
      </c>
      <c r="G643" t="str">
        <f t="shared" si="50"/>
        <v>POENATELA</v>
      </c>
      <c r="H643" t="str">
        <f t="shared" si="51"/>
        <v>UBERTEC SERVICE USINAGEM LTDA EPP</v>
      </c>
      <c r="I643">
        <f t="shared" si="52"/>
        <v>0</v>
      </c>
      <c r="J643">
        <f t="shared" si="53"/>
        <v>1</v>
      </c>
    </row>
    <row r="644" spans="1:10" x14ac:dyDescent="0.25">
      <c r="A644" t="s">
        <v>384</v>
      </c>
      <c r="B644" t="s">
        <v>128</v>
      </c>
      <c r="C644" t="s">
        <v>56</v>
      </c>
      <c r="D644" s="3">
        <v>45605</v>
      </c>
      <c r="E644" t="str">
        <f>VLOOKUP(B644,'PROCV GERENTES BD'!A:B,2,0)</f>
        <v>PRISCILA METZ</v>
      </c>
      <c r="F644" s="4" t="str">
        <f t="shared" si="54"/>
        <v>2024-11-1</v>
      </c>
      <c r="G644" t="str">
        <f t="shared" si="50"/>
        <v>PRISCILA METZ</v>
      </c>
      <c r="H644" t="str">
        <f t="shared" si="51"/>
        <v>NOVA DISTRIBUIDORA E ATACADO DE LIMPEZA LTDA</v>
      </c>
      <c r="I644">
        <f t="shared" si="52"/>
        <v>0</v>
      </c>
      <c r="J644">
        <f t="shared" si="53"/>
        <v>1</v>
      </c>
    </row>
    <row r="645" spans="1:10" x14ac:dyDescent="0.25">
      <c r="A645" t="s">
        <v>333</v>
      </c>
      <c r="B645" t="s">
        <v>129</v>
      </c>
      <c r="C645" t="s">
        <v>56</v>
      </c>
      <c r="D645" s="3">
        <v>45605</v>
      </c>
      <c r="E645" t="s">
        <v>25</v>
      </c>
      <c r="F645" s="4" t="str">
        <f t="shared" si="54"/>
        <v>2024-11-1</v>
      </c>
      <c r="G645" t="str">
        <f t="shared" si="50"/>
        <v xml:space="preserve">ROGERIO </v>
      </c>
      <c r="H645" t="str">
        <f t="shared" si="51"/>
        <v>BIBE PRODUTOS INFANTIS LTDA</v>
      </c>
      <c r="I645">
        <f t="shared" si="52"/>
        <v>0</v>
      </c>
      <c r="J645">
        <f t="shared" si="53"/>
        <v>1</v>
      </c>
    </row>
    <row r="646" spans="1:10" x14ac:dyDescent="0.25">
      <c r="A646" t="s">
        <v>437</v>
      </c>
      <c r="B646" t="s">
        <v>187</v>
      </c>
      <c r="C646" t="s">
        <v>56</v>
      </c>
      <c r="D646" s="3">
        <v>45605</v>
      </c>
      <c r="E646" t="s">
        <v>25</v>
      </c>
      <c r="F646" s="4" t="str">
        <f t="shared" si="54"/>
        <v>2024-11-1</v>
      </c>
      <c r="G646" t="str">
        <f t="shared" si="50"/>
        <v xml:space="preserve">ROGERIO </v>
      </c>
      <c r="H646" t="str">
        <f t="shared" si="51"/>
        <v>ENCADESP LTDA ME</v>
      </c>
      <c r="I646">
        <f t="shared" si="52"/>
        <v>0</v>
      </c>
      <c r="J646">
        <f t="shared" si="53"/>
        <v>1</v>
      </c>
    </row>
    <row r="647" spans="1:10" x14ac:dyDescent="0.25">
      <c r="A647" t="s">
        <v>390</v>
      </c>
      <c r="B647" t="s">
        <v>136</v>
      </c>
      <c r="C647" t="s">
        <v>56</v>
      </c>
      <c r="D647" s="3">
        <v>45608</v>
      </c>
      <c r="E647" t="str">
        <f>VLOOKUP(B647,'PROCV GERENTES BD'!A:B,2,0)</f>
        <v>ADMINISTRAÇÃO</v>
      </c>
      <c r="F647" s="4" t="str">
        <f t="shared" si="54"/>
        <v>2024-11-1</v>
      </c>
      <c r="G647" t="str">
        <f t="shared" si="50"/>
        <v>ADMINISTRAÇÃO</v>
      </c>
      <c r="H647" t="str">
        <f t="shared" si="51"/>
        <v>XEQUE MATE BEBIDAS LTDA ME</v>
      </c>
      <c r="I647">
        <f t="shared" si="52"/>
        <v>0</v>
      </c>
      <c r="J647">
        <f t="shared" si="53"/>
        <v>1</v>
      </c>
    </row>
    <row r="648" spans="1:10" x14ac:dyDescent="0.25">
      <c r="A648" t="s">
        <v>326</v>
      </c>
      <c r="B648" t="s">
        <v>86</v>
      </c>
      <c r="C648" t="s">
        <v>56</v>
      </c>
      <c r="D648" s="3">
        <v>45608</v>
      </c>
      <c r="E648" t="str">
        <f>VLOOKUP(B648,'PROCV GERENTES BD'!A:B,2,0)</f>
        <v>CELIO PIMENTA</v>
      </c>
      <c r="F648" s="4" t="str">
        <f t="shared" si="54"/>
        <v>2024-11-1</v>
      </c>
      <c r="G648" t="str">
        <f t="shared" si="50"/>
        <v>CELIO PIMENTA</v>
      </c>
      <c r="H648" t="str">
        <f t="shared" si="51"/>
        <v>IMPORTEXTIL COMERCIO DE TECIDOS LTDA</v>
      </c>
      <c r="I648">
        <f t="shared" si="52"/>
        <v>0</v>
      </c>
      <c r="J648">
        <f t="shared" si="53"/>
        <v>1</v>
      </c>
    </row>
    <row r="649" spans="1:10" x14ac:dyDescent="0.25">
      <c r="A649" t="s">
        <v>330</v>
      </c>
      <c r="B649" t="s">
        <v>116</v>
      </c>
      <c r="C649" t="s">
        <v>72</v>
      </c>
      <c r="D649" s="3">
        <v>45608</v>
      </c>
      <c r="E649" t="str">
        <f>VLOOKUP(B649,'PROCV GERENTES BD'!A:B,2,0)</f>
        <v>FITZ</v>
      </c>
      <c r="F649" s="4" t="str">
        <f t="shared" si="54"/>
        <v>2024-11-1</v>
      </c>
      <c r="G649" t="str">
        <f t="shared" si="50"/>
        <v>FITZ</v>
      </c>
      <c r="H649" t="str">
        <f t="shared" si="51"/>
        <v>SIAP COMERCIO DE PRODUTOS AGROPECUARIOS LTDA</v>
      </c>
      <c r="I649">
        <f t="shared" si="52"/>
        <v>1</v>
      </c>
      <c r="J649">
        <f t="shared" si="53"/>
        <v>0</v>
      </c>
    </row>
    <row r="650" spans="1:10" x14ac:dyDescent="0.25">
      <c r="A650" t="s">
        <v>347</v>
      </c>
      <c r="B650" t="s">
        <v>93</v>
      </c>
      <c r="C650" t="s">
        <v>59</v>
      </c>
      <c r="D650" s="3">
        <v>45608</v>
      </c>
      <c r="E650" t="str">
        <f>VLOOKUP(B650,'PROCV GERENTES BD'!A:B,2,0)</f>
        <v>NOELI SALETE</v>
      </c>
      <c r="F650" s="4" t="str">
        <f t="shared" si="54"/>
        <v>2024-11-1</v>
      </c>
      <c r="G650" t="str">
        <f t="shared" si="50"/>
        <v>NOELI SALETE</v>
      </c>
      <c r="H650" t="str">
        <f t="shared" si="51"/>
        <v>RODOBOX TRANSPORTES E ARMAZENAGEM DE CARGAS LTDA</v>
      </c>
      <c r="I650">
        <f t="shared" si="52"/>
        <v>0</v>
      </c>
      <c r="J650">
        <f t="shared" si="53"/>
        <v>0</v>
      </c>
    </row>
    <row r="651" spans="1:10" x14ac:dyDescent="0.25">
      <c r="A651" t="s">
        <v>361</v>
      </c>
      <c r="B651" t="s">
        <v>103</v>
      </c>
      <c r="C651" t="s">
        <v>72</v>
      </c>
      <c r="D651" s="3">
        <v>45608</v>
      </c>
      <c r="E651" t="str">
        <f>VLOOKUP(B651,'PROCV GERENTES BD'!A:B,2,0)</f>
        <v>PRISCILA METZ</v>
      </c>
      <c r="F651" s="4" t="str">
        <f t="shared" si="54"/>
        <v>2024-11-1</v>
      </c>
      <c r="G651" t="str">
        <f t="shared" si="50"/>
        <v>PRISCILA METZ</v>
      </c>
      <c r="H651" t="str">
        <f t="shared" si="51"/>
        <v>ESSENZA INDUSTRIA QUIMICA LTDA</v>
      </c>
      <c r="I651">
        <f t="shared" si="52"/>
        <v>1</v>
      </c>
      <c r="J651">
        <f t="shared" si="53"/>
        <v>0</v>
      </c>
    </row>
    <row r="652" spans="1:10" x14ac:dyDescent="0.25">
      <c r="A652" t="s">
        <v>384</v>
      </c>
      <c r="B652" t="s">
        <v>128</v>
      </c>
      <c r="C652" t="s">
        <v>56</v>
      </c>
      <c r="D652" s="3">
        <v>45608</v>
      </c>
      <c r="E652" t="str">
        <f>VLOOKUP(B652,'PROCV GERENTES BD'!A:B,2,0)</f>
        <v>PRISCILA METZ</v>
      </c>
      <c r="F652" s="4" t="str">
        <f t="shared" si="54"/>
        <v>2024-11-1</v>
      </c>
      <c r="G652" t="str">
        <f t="shared" si="50"/>
        <v>PRISCILA METZ</v>
      </c>
      <c r="H652" t="str">
        <f t="shared" si="51"/>
        <v>NOVA DISTRIBUIDORA E ATACADO DE LIMPEZA LTDA</v>
      </c>
      <c r="I652">
        <f t="shared" si="52"/>
        <v>0</v>
      </c>
      <c r="J652">
        <f t="shared" si="53"/>
        <v>1</v>
      </c>
    </row>
    <row r="653" spans="1:10" x14ac:dyDescent="0.25">
      <c r="A653" t="s">
        <v>333</v>
      </c>
      <c r="B653" t="s">
        <v>129</v>
      </c>
      <c r="C653" t="s">
        <v>56</v>
      </c>
      <c r="D653" s="3">
        <v>45608</v>
      </c>
      <c r="E653" t="s">
        <v>25</v>
      </c>
      <c r="F653" s="4" t="str">
        <f t="shared" si="54"/>
        <v>2024-11-1</v>
      </c>
      <c r="G653" t="str">
        <f t="shared" si="50"/>
        <v xml:space="preserve">ROGERIO </v>
      </c>
      <c r="H653" t="str">
        <f t="shared" si="51"/>
        <v>BIBE PRODUTOS INFANTIS LTDA</v>
      </c>
      <c r="I653">
        <f t="shared" si="52"/>
        <v>0</v>
      </c>
      <c r="J653">
        <f t="shared" si="53"/>
        <v>1</v>
      </c>
    </row>
    <row r="654" spans="1:10" x14ac:dyDescent="0.25">
      <c r="A654" t="s">
        <v>439</v>
      </c>
      <c r="B654" t="s">
        <v>189</v>
      </c>
      <c r="C654" t="s">
        <v>72</v>
      </c>
      <c r="D654" s="3">
        <v>45608</v>
      </c>
      <c r="E654" t="s">
        <v>25</v>
      </c>
      <c r="F654" s="4" t="str">
        <f t="shared" si="54"/>
        <v>2024-11-1</v>
      </c>
      <c r="G654" t="str">
        <f t="shared" si="50"/>
        <v xml:space="preserve">ROGERIO </v>
      </c>
      <c r="H654" t="str">
        <f t="shared" si="51"/>
        <v>GRF JEANS WEAR LTDA ME</v>
      </c>
      <c r="I654">
        <f t="shared" si="52"/>
        <v>1</v>
      </c>
      <c r="J654">
        <f t="shared" si="53"/>
        <v>0</v>
      </c>
    </row>
    <row r="655" spans="1:10" x14ac:dyDescent="0.25">
      <c r="A655" t="s">
        <v>321</v>
      </c>
      <c r="B655" t="s">
        <v>104</v>
      </c>
      <c r="C655" t="s">
        <v>56</v>
      </c>
      <c r="D655" s="3">
        <v>45608</v>
      </c>
      <c r="E655" t="str">
        <f>VLOOKUP(B655,'PROCV GERENTES BD'!A:B,2,0)</f>
        <v>THAYNA/COMERCIAL</v>
      </c>
      <c r="F655" s="4" t="str">
        <f t="shared" si="54"/>
        <v>2024-11-1</v>
      </c>
      <c r="G655" t="str">
        <f t="shared" si="50"/>
        <v>THAYNA/COMERCIAL</v>
      </c>
      <c r="H655" t="str">
        <f t="shared" si="51"/>
        <v>MUTCD CENTRO DISTRIBUICAO IND FABRICANTE COSMETICO</v>
      </c>
      <c r="I655">
        <f t="shared" si="52"/>
        <v>0</v>
      </c>
      <c r="J655">
        <f t="shared" si="53"/>
        <v>1</v>
      </c>
    </row>
    <row r="656" spans="1:10" x14ac:dyDescent="0.25">
      <c r="A656" t="s">
        <v>390</v>
      </c>
      <c r="B656" t="s">
        <v>136</v>
      </c>
      <c r="C656" t="s">
        <v>72</v>
      </c>
      <c r="D656" s="3">
        <v>45609</v>
      </c>
      <c r="E656" t="str">
        <f>VLOOKUP(B656,'PROCV GERENTES BD'!A:B,2,0)</f>
        <v>ADMINISTRAÇÃO</v>
      </c>
      <c r="F656" s="4" t="str">
        <f t="shared" si="54"/>
        <v>2024-11-1</v>
      </c>
      <c r="G656" t="str">
        <f t="shared" si="50"/>
        <v>ADMINISTRAÇÃO</v>
      </c>
      <c r="H656" t="str">
        <f t="shared" si="51"/>
        <v>XEQUE MATE BEBIDAS LTDA ME</v>
      </c>
      <c r="I656">
        <f t="shared" si="52"/>
        <v>1</v>
      </c>
      <c r="J656">
        <f t="shared" si="53"/>
        <v>0</v>
      </c>
    </row>
    <row r="657" spans="1:10" x14ac:dyDescent="0.25">
      <c r="A657" t="s">
        <v>380</v>
      </c>
      <c r="B657" t="s">
        <v>123</v>
      </c>
      <c r="C657" t="s">
        <v>72</v>
      </c>
      <c r="D657" s="3">
        <v>45609</v>
      </c>
      <c r="E657" t="str">
        <f>VLOOKUP(B657,'PROCV GERENTES BD'!A:B,2,0)</f>
        <v>ANTONIO CARLOS</v>
      </c>
      <c r="F657" s="4" t="str">
        <f t="shared" si="54"/>
        <v>2024-11-1</v>
      </c>
      <c r="G657" t="str">
        <f t="shared" si="50"/>
        <v>ANTONIO CARLOS</v>
      </c>
      <c r="H657" t="str">
        <f t="shared" si="51"/>
        <v>PREMOLDADOS MATOSINHOS LTDA EPP</v>
      </c>
      <c r="I657">
        <f t="shared" si="52"/>
        <v>1</v>
      </c>
      <c r="J657">
        <f t="shared" si="53"/>
        <v>0</v>
      </c>
    </row>
    <row r="658" spans="1:10" x14ac:dyDescent="0.25">
      <c r="A658" t="s">
        <v>311</v>
      </c>
      <c r="B658" t="s">
        <v>130</v>
      </c>
      <c r="C658" t="s">
        <v>72</v>
      </c>
      <c r="D658" s="3">
        <v>45609</v>
      </c>
      <c r="E658" t="str">
        <f>VLOOKUP(B658,'PROCV GERENTES BD'!A:B,2,0)</f>
        <v>ANTONIO CARLOS</v>
      </c>
      <c r="F658" s="4" t="str">
        <f t="shared" si="54"/>
        <v>2024-11-1</v>
      </c>
      <c r="G658" t="str">
        <f t="shared" si="50"/>
        <v>ANTONIO CARLOS</v>
      </c>
      <c r="H658" t="str">
        <f t="shared" si="51"/>
        <v>VIC LOGISTICA LTDA EM RECUPERACAO JUDICIAL</v>
      </c>
      <c r="I658">
        <f t="shared" si="52"/>
        <v>1</v>
      </c>
      <c r="J658">
        <f t="shared" si="53"/>
        <v>0</v>
      </c>
    </row>
    <row r="659" spans="1:10" x14ac:dyDescent="0.25">
      <c r="A659" t="s">
        <v>326</v>
      </c>
      <c r="B659" t="s">
        <v>86</v>
      </c>
      <c r="C659" t="s">
        <v>56</v>
      </c>
      <c r="D659" s="3">
        <v>45609</v>
      </c>
      <c r="E659" t="str">
        <f>VLOOKUP(B659,'PROCV GERENTES BD'!A:B,2,0)</f>
        <v>CELIO PIMENTA</v>
      </c>
      <c r="F659" s="4" t="str">
        <f t="shared" si="54"/>
        <v>2024-11-1</v>
      </c>
      <c r="G659" t="str">
        <f t="shared" si="50"/>
        <v>CELIO PIMENTA</v>
      </c>
      <c r="H659" t="str">
        <f t="shared" si="51"/>
        <v>IMPORTEXTIL COMERCIO DE TECIDOS LTDA</v>
      </c>
      <c r="I659">
        <f t="shared" si="52"/>
        <v>0</v>
      </c>
      <c r="J659">
        <f t="shared" si="53"/>
        <v>1</v>
      </c>
    </row>
    <row r="660" spans="1:10" x14ac:dyDescent="0.25">
      <c r="A660" t="s">
        <v>366</v>
      </c>
      <c r="B660" t="s">
        <v>111</v>
      </c>
      <c r="C660" t="s">
        <v>59</v>
      </c>
      <c r="D660" s="3">
        <v>45609</v>
      </c>
      <c r="E660" t="str">
        <f>VLOOKUP(B660,'PROCV GERENTES BD'!A:B,2,0)</f>
        <v>DIOGO AZEVEDO</v>
      </c>
      <c r="F660" s="4" t="str">
        <f t="shared" si="54"/>
        <v>2024-11-1</v>
      </c>
      <c r="G660" t="str">
        <f t="shared" si="50"/>
        <v>DIOGO AZEVEDO</v>
      </c>
      <c r="H660" t="str">
        <f t="shared" si="51"/>
        <v>INDUSTRIA E CERVEJARIA ARTESANAL DE MINAS GERAIS L</v>
      </c>
      <c r="I660">
        <f t="shared" si="52"/>
        <v>0</v>
      </c>
      <c r="J660">
        <f t="shared" si="53"/>
        <v>0</v>
      </c>
    </row>
    <row r="661" spans="1:10" x14ac:dyDescent="0.25">
      <c r="A661" t="s">
        <v>418</v>
      </c>
      <c r="B661" t="s">
        <v>167</v>
      </c>
      <c r="C661" t="s">
        <v>72</v>
      </c>
      <c r="D661" s="3">
        <v>45609</v>
      </c>
      <c r="E661" t="str">
        <f>VLOOKUP(B661,'PROCV GERENTES BD'!A:B,2,0)</f>
        <v>FITZ</v>
      </c>
      <c r="F661" s="4" t="str">
        <f t="shared" si="54"/>
        <v>2024-11-1</v>
      </c>
      <c r="G661" t="str">
        <f t="shared" si="50"/>
        <v>FITZ</v>
      </c>
      <c r="H661" t="str">
        <f t="shared" si="51"/>
        <v>ESCUDO ADMINISTRACAO E SERVICOS LTDA EM RECUPERACA</v>
      </c>
      <c r="I661">
        <f t="shared" si="52"/>
        <v>1</v>
      </c>
      <c r="J661">
        <f t="shared" si="53"/>
        <v>0</v>
      </c>
    </row>
    <row r="662" spans="1:10" x14ac:dyDescent="0.25">
      <c r="A662" t="s">
        <v>419</v>
      </c>
      <c r="B662" t="s">
        <v>168</v>
      </c>
      <c r="C662" t="s">
        <v>72</v>
      </c>
      <c r="D662" s="3">
        <v>45609</v>
      </c>
      <c r="E662" t="str">
        <f>VLOOKUP(B662,'PROCV GERENTES BD'!A:B,2,0)</f>
        <v>FITZ</v>
      </c>
      <c r="F662" s="4" t="str">
        <f t="shared" si="54"/>
        <v>2024-11-1</v>
      </c>
      <c r="G662" t="str">
        <f t="shared" si="50"/>
        <v>FITZ</v>
      </c>
      <c r="H662" t="str">
        <f t="shared" si="51"/>
        <v>ESCUDO VIGILANCIA E SEGURANCA LTDA EM RECUPERACAO</v>
      </c>
      <c r="I662">
        <f t="shared" si="52"/>
        <v>1</v>
      </c>
      <c r="J662">
        <f t="shared" si="53"/>
        <v>0</v>
      </c>
    </row>
    <row r="663" spans="1:10" x14ac:dyDescent="0.25">
      <c r="A663" t="s">
        <v>420</v>
      </c>
      <c r="B663" t="s">
        <v>169</v>
      </c>
      <c r="C663" t="s">
        <v>72</v>
      </c>
      <c r="D663" s="3">
        <v>45609</v>
      </c>
      <c r="E663" t="str">
        <f>VLOOKUP(B663,'PROCV GERENTES BD'!A:B,2,0)</f>
        <v>FITZ</v>
      </c>
      <c r="F663" s="4" t="str">
        <f t="shared" si="54"/>
        <v>2024-11-1</v>
      </c>
      <c r="G663" t="str">
        <f t="shared" si="50"/>
        <v>FITZ</v>
      </c>
      <c r="H663" t="str">
        <f t="shared" si="51"/>
        <v>MORIA PRESTACAO DE SERVICOS LTDA ME</v>
      </c>
      <c r="I663">
        <f t="shared" si="52"/>
        <v>1</v>
      </c>
      <c r="J663">
        <f t="shared" si="53"/>
        <v>0</v>
      </c>
    </row>
    <row r="664" spans="1:10" x14ac:dyDescent="0.25">
      <c r="A664" t="s">
        <v>331</v>
      </c>
      <c r="B664" t="s">
        <v>126</v>
      </c>
      <c r="C664" t="s">
        <v>56</v>
      </c>
      <c r="D664" s="3">
        <v>45609</v>
      </c>
      <c r="E664" t="str">
        <f>VLOOKUP(B664,'PROCV GERENTES BD'!A:B,2,0)</f>
        <v>FITZ</v>
      </c>
      <c r="F664" s="4" t="str">
        <f t="shared" si="54"/>
        <v>2024-11-1</v>
      </c>
      <c r="G664" t="str">
        <f t="shared" si="50"/>
        <v>FITZ</v>
      </c>
      <c r="H664" t="str">
        <f t="shared" si="51"/>
        <v>TRANSHENRY TRANSPORTES LTDA</v>
      </c>
      <c r="I664">
        <f t="shared" si="52"/>
        <v>0</v>
      </c>
      <c r="J664">
        <f t="shared" si="53"/>
        <v>1</v>
      </c>
    </row>
    <row r="665" spans="1:10" x14ac:dyDescent="0.25">
      <c r="A665" t="s">
        <v>330</v>
      </c>
      <c r="B665" t="s">
        <v>116</v>
      </c>
      <c r="C665" t="s">
        <v>56</v>
      </c>
      <c r="D665" s="3">
        <v>45609</v>
      </c>
      <c r="E665" t="str">
        <f>VLOOKUP(B665,'PROCV GERENTES BD'!A:B,2,0)</f>
        <v>FITZ</v>
      </c>
      <c r="F665" s="4" t="str">
        <f t="shared" si="54"/>
        <v>2024-11-1</v>
      </c>
      <c r="G665" t="str">
        <f t="shared" si="50"/>
        <v>FITZ</v>
      </c>
      <c r="H665" t="str">
        <f t="shared" si="51"/>
        <v>SIAP COMERCIO DE PRODUTOS AGROPECUARIOS LTDA</v>
      </c>
      <c r="I665">
        <f t="shared" si="52"/>
        <v>0</v>
      </c>
      <c r="J665">
        <f t="shared" si="53"/>
        <v>1</v>
      </c>
    </row>
    <row r="666" spans="1:10" x14ac:dyDescent="0.25">
      <c r="A666" t="s">
        <v>436</v>
      </c>
      <c r="B666" t="s">
        <v>186</v>
      </c>
      <c r="C666" t="s">
        <v>56</v>
      </c>
      <c r="D666" s="3">
        <v>45609</v>
      </c>
      <c r="E666" t="str">
        <f>VLOOKUP(B666,'PROCV GERENTES BD'!A:B,2,0)</f>
        <v xml:space="preserve">MARCUS VINICIUS </v>
      </c>
      <c r="F666" s="4" t="str">
        <f t="shared" si="54"/>
        <v>2024-11-1</v>
      </c>
      <c r="G666" t="str">
        <f t="shared" si="50"/>
        <v xml:space="preserve">MARCUS VINICIUS </v>
      </c>
      <c r="H666" t="str">
        <f t="shared" si="51"/>
        <v>LABOR ELETRIC INDUSTRIA E COMERCIO UNIPESSOAL LTDA</v>
      </c>
      <c r="I666">
        <f t="shared" si="52"/>
        <v>0</v>
      </c>
      <c r="J666">
        <f t="shared" si="53"/>
        <v>1</v>
      </c>
    </row>
    <row r="667" spans="1:10" x14ac:dyDescent="0.25">
      <c r="A667" t="s">
        <v>402</v>
      </c>
      <c r="B667" t="s">
        <v>150</v>
      </c>
      <c r="C667" t="s">
        <v>56</v>
      </c>
      <c r="D667" s="3">
        <v>45609</v>
      </c>
      <c r="E667" t="str">
        <f>VLOOKUP(B667,'PROCV GERENTES BD'!A:B,2,0)</f>
        <v>NOELI SALETE</v>
      </c>
      <c r="F667" s="4" t="str">
        <f t="shared" si="54"/>
        <v>2024-11-1</v>
      </c>
      <c r="G667" t="str">
        <f t="shared" si="50"/>
        <v>NOELI SALETE</v>
      </c>
      <c r="H667" t="str">
        <f t="shared" si="51"/>
        <v>ALBERTO H DA SILVA ME</v>
      </c>
      <c r="I667">
        <f t="shared" si="52"/>
        <v>0</v>
      </c>
      <c r="J667">
        <f t="shared" si="53"/>
        <v>1</v>
      </c>
    </row>
    <row r="668" spans="1:10" x14ac:dyDescent="0.25">
      <c r="A668" t="s">
        <v>415</v>
      </c>
      <c r="B668" t="s">
        <v>164</v>
      </c>
      <c r="C668" t="s">
        <v>72</v>
      </c>
      <c r="D668" s="3">
        <v>45609</v>
      </c>
      <c r="E668" t="str">
        <f>VLOOKUP(B668,'PROCV GERENTES BD'!A:B,2,0)</f>
        <v>NOELI SALETE</v>
      </c>
      <c r="F668" s="4" t="str">
        <f t="shared" si="54"/>
        <v>2024-11-1</v>
      </c>
      <c r="G668" t="str">
        <f t="shared" si="50"/>
        <v>NOELI SALETE</v>
      </c>
      <c r="H668" t="str">
        <f t="shared" si="51"/>
        <v>SGAMAQ INOVACAO AGROINDUSTRIAL LTDA</v>
      </c>
      <c r="I668">
        <f t="shared" si="52"/>
        <v>1</v>
      </c>
      <c r="J668">
        <f t="shared" si="53"/>
        <v>0</v>
      </c>
    </row>
    <row r="669" spans="1:10" x14ac:dyDescent="0.25">
      <c r="A669" t="s">
        <v>354</v>
      </c>
      <c r="B669" t="s">
        <v>97</v>
      </c>
      <c r="C669" t="s">
        <v>56</v>
      </c>
      <c r="D669" s="3">
        <v>45609</v>
      </c>
      <c r="E669" t="str">
        <f>VLOOKUP(B669,'PROCV GERENTES BD'!A:B,2,0)</f>
        <v>POENATELA</v>
      </c>
      <c r="F669" s="4" t="str">
        <f t="shared" si="54"/>
        <v>2024-11-1</v>
      </c>
      <c r="G669" t="str">
        <f t="shared" si="50"/>
        <v>POENATELA</v>
      </c>
      <c r="H669" t="str">
        <f t="shared" si="51"/>
        <v>UBERTEC SERVICE USINAGEM LTDA EPP</v>
      </c>
      <c r="I669">
        <f t="shared" si="52"/>
        <v>0</v>
      </c>
      <c r="J669">
        <f t="shared" si="53"/>
        <v>1</v>
      </c>
    </row>
    <row r="670" spans="1:10" x14ac:dyDescent="0.25">
      <c r="A670" t="s">
        <v>444</v>
      </c>
      <c r="B670" t="s">
        <v>194</v>
      </c>
      <c r="C670" t="s">
        <v>56</v>
      </c>
      <c r="D670" s="3">
        <v>45609</v>
      </c>
      <c r="E670" t="str">
        <f>VLOOKUP(B670,'PROCV GERENTES BD'!A:B,2,0)</f>
        <v>PRISCILA METZ</v>
      </c>
      <c r="F670" s="4" t="str">
        <f t="shared" si="54"/>
        <v>2024-11-1</v>
      </c>
      <c r="G670" t="str">
        <f t="shared" si="50"/>
        <v>PRISCILA METZ</v>
      </c>
      <c r="H670" t="str">
        <f t="shared" si="51"/>
        <v>BIO HEALTH COLCHOES LTDA EPP</v>
      </c>
      <c r="I670">
        <f t="shared" si="52"/>
        <v>0</v>
      </c>
      <c r="J670">
        <f t="shared" si="53"/>
        <v>1</v>
      </c>
    </row>
    <row r="671" spans="1:10" x14ac:dyDescent="0.25">
      <c r="A671" t="s">
        <v>384</v>
      </c>
      <c r="B671" t="s">
        <v>128</v>
      </c>
      <c r="C671" t="s">
        <v>56</v>
      </c>
      <c r="D671" s="3">
        <v>45609</v>
      </c>
      <c r="E671" t="str">
        <f>VLOOKUP(B671,'PROCV GERENTES BD'!A:B,2,0)</f>
        <v>PRISCILA METZ</v>
      </c>
      <c r="F671" s="4" t="str">
        <f t="shared" si="54"/>
        <v>2024-11-1</v>
      </c>
      <c r="G671" t="str">
        <f t="shared" si="50"/>
        <v>PRISCILA METZ</v>
      </c>
      <c r="H671" t="str">
        <f t="shared" si="51"/>
        <v>NOVA DISTRIBUIDORA E ATACADO DE LIMPEZA LTDA</v>
      </c>
      <c r="I671">
        <f t="shared" si="52"/>
        <v>0</v>
      </c>
      <c r="J671">
        <f t="shared" si="53"/>
        <v>1</v>
      </c>
    </row>
    <row r="672" spans="1:10" x14ac:dyDescent="0.25">
      <c r="A672" t="s">
        <v>339</v>
      </c>
      <c r="B672" t="s">
        <v>151</v>
      </c>
      <c r="C672" t="s">
        <v>72</v>
      </c>
      <c r="D672" s="3">
        <v>45610</v>
      </c>
      <c r="E672" t="str">
        <f>VLOOKUP(B672,'PROCV GERENTES BD'!A:B,2,0)</f>
        <v>ADMINISTRAÇÃO</v>
      </c>
      <c r="F672" s="4" t="str">
        <f t="shared" si="54"/>
        <v>2024-11-1</v>
      </c>
      <c r="G672" t="str">
        <f t="shared" si="50"/>
        <v>ADMINISTRAÇÃO</v>
      </c>
      <c r="H672" t="str">
        <f t="shared" si="51"/>
        <v>BOM PASTOR PAPEIS LTDA EM RECUPERACAO JUDICIAL</v>
      </c>
      <c r="I672">
        <f t="shared" si="52"/>
        <v>1</v>
      </c>
      <c r="J672">
        <f t="shared" si="53"/>
        <v>0</v>
      </c>
    </row>
    <row r="673" spans="1:10" x14ac:dyDescent="0.25">
      <c r="A673" t="s">
        <v>381</v>
      </c>
      <c r="B673" t="s">
        <v>124</v>
      </c>
      <c r="C673" t="s">
        <v>56</v>
      </c>
      <c r="D673" s="3">
        <v>45610</v>
      </c>
      <c r="E673" t="str">
        <f>VLOOKUP(B673,'PROCV GERENTES BD'!A:B,2,0)</f>
        <v>ANTONIO CARLOS</v>
      </c>
      <c r="F673" s="4" t="str">
        <f t="shared" si="54"/>
        <v>2024-11-1</v>
      </c>
      <c r="G673" t="str">
        <f t="shared" si="50"/>
        <v>ANTONIO CARLOS</v>
      </c>
      <c r="H673" t="str">
        <f t="shared" si="51"/>
        <v>VIVAN TRANSPORTES LTDA</v>
      </c>
      <c r="I673">
        <f t="shared" si="52"/>
        <v>0</v>
      </c>
      <c r="J673">
        <f t="shared" si="53"/>
        <v>1</v>
      </c>
    </row>
    <row r="674" spans="1:10" x14ac:dyDescent="0.25">
      <c r="A674" t="s">
        <v>326</v>
      </c>
      <c r="B674" t="s">
        <v>86</v>
      </c>
      <c r="C674" t="s">
        <v>56</v>
      </c>
      <c r="D674" s="3">
        <v>45610</v>
      </c>
      <c r="E674" t="str">
        <f>VLOOKUP(B674,'PROCV GERENTES BD'!A:B,2,0)</f>
        <v>CELIO PIMENTA</v>
      </c>
      <c r="F674" s="4" t="str">
        <f t="shared" si="54"/>
        <v>2024-11-1</v>
      </c>
      <c r="G674" t="str">
        <f t="shared" si="50"/>
        <v>CELIO PIMENTA</v>
      </c>
      <c r="H674" t="str">
        <f t="shared" si="51"/>
        <v>IMPORTEXTIL COMERCIO DE TECIDOS LTDA</v>
      </c>
      <c r="I674">
        <f t="shared" si="52"/>
        <v>0</v>
      </c>
      <c r="J674">
        <f t="shared" si="53"/>
        <v>1</v>
      </c>
    </row>
    <row r="675" spans="1:10" x14ac:dyDescent="0.25">
      <c r="A675" t="s">
        <v>318</v>
      </c>
      <c r="B675" t="s">
        <v>87</v>
      </c>
      <c r="C675" t="s">
        <v>72</v>
      </c>
      <c r="D675" s="3">
        <v>45610</v>
      </c>
      <c r="E675" t="str">
        <f>VLOOKUP(B675,'PROCV GERENTES BD'!A:B,2,0)</f>
        <v>CELIO PIMENTA</v>
      </c>
      <c r="F675" s="4" t="str">
        <f t="shared" si="54"/>
        <v>2024-11-1</v>
      </c>
      <c r="G675" t="str">
        <f t="shared" si="50"/>
        <v>CELIO PIMENTA</v>
      </c>
      <c r="H675" t="str">
        <f t="shared" si="51"/>
        <v>MBIOLOG DIAGNOSTICOS LTDA</v>
      </c>
      <c r="I675">
        <f t="shared" si="52"/>
        <v>1</v>
      </c>
      <c r="J675">
        <f t="shared" si="53"/>
        <v>0</v>
      </c>
    </row>
    <row r="676" spans="1:10" x14ac:dyDescent="0.25">
      <c r="A676" t="s">
        <v>60</v>
      </c>
      <c r="B676" t="s">
        <v>61</v>
      </c>
      <c r="C676" t="s">
        <v>56</v>
      </c>
      <c r="D676" s="3">
        <v>45610</v>
      </c>
      <c r="E676" t="str">
        <f>VLOOKUP(B676,'PROCV GERENTES BD'!A:B,2,0)</f>
        <v>CELIO PIMENTA</v>
      </c>
      <c r="F676" s="4" t="str">
        <f t="shared" si="54"/>
        <v>2024-11-1</v>
      </c>
      <c r="G676" t="str">
        <f t="shared" si="50"/>
        <v>CELIO PIMENTA</v>
      </c>
      <c r="H676" t="str">
        <f t="shared" si="51"/>
        <v>WJ CALDEIRARIA INDUSTRIA E COMERCIO LTDA ME</v>
      </c>
      <c r="I676">
        <f t="shared" si="52"/>
        <v>0</v>
      </c>
      <c r="J676">
        <f t="shared" si="53"/>
        <v>1</v>
      </c>
    </row>
    <row r="677" spans="1:10" x14ac:dyDescent="0.25">
      <c r="A677" t="s">
        <v>330</v>
      </c>
      <c r="B677" t="s">
        <v>116</v>
      </c>
      <c r="C677" t="s">
        <v>72</v>
      </c>
      <c r="D677" s="3">
        <v>45610</v>
      </c>
      <c r="E677" t="str">
        <f>VLOOKUP(B677,'PROCV GERENTES BD'!A:B,2,0)</f>
        <v>FITZ</v>
      </c>
      <c r="F677" s="4" t="str">
        <f t="shared" si="54"/>
        <v>2024-11-1</v>
      </c>
      <c r="G677" t="str">
        <f t="shared" si="50"/>
        <v>FITZ</v>
      </c>
      <c r="H677" t="str">
        <f t="shared" si="51"/>
        <v>SIAP COMERCIO DE PRODUTOS AGROPECUARIOS LTDA</v>
      </c>
      <c r="I677">
        <f t="shared" si="52"/>
        <v>1</v>
      </c>
      <c r="J677">
        <f t="shared" si="53"/>
        <v>0</v>
      </c>
    </row>
    <row r="678" spans="1:10" x14ac:dyDescent="0.25">
      <c r="A678" t="s">
        <v>436</v>
      </c>
      <c r="B678" t="s">
        <v>186</v>
      </c>
      <c r="C678" t="s">
        <v>56</v>
      </c>
      <c r="D678" s="3">
        <v>45610</v>
      </c>
      <c r="E678" t="str">
        <f>VLOOKUP(B678,'PROCV GERENTES BD'!A:B,2,0)</f>
        <v xml:space="preserve">MARCUS VINICIUS </v>
      </c>
      <c r="F678" s="4" t="str">
        <f t="shared" si="54"/>
        <v>2024-11-1</v>
      </c>
      <c r="G678" t="str">
        <f t="shared" si="50"/>
        <v xml:space="preserve">MARCUS VINICIUS </v>
      </c>
      <c r="H678" t="str">
        <f t="shared" si="51"/>
        <v>LABOR ELETRIC INDUSTRIA E COMERCIO UNIPESSOAL LTDA</v>
      </c>
      <c r="I678">
        <f t="shared" si="52"/>
        <v>0</v>
      </c>
      <c r="J678">
        <f t="shared" si="53"/>
        <v>1</v>
      </c>
    </row>
    <row r="679" spans="1:10" x14ac:dyDescent="0.25">
      <c r="A679" t="s">
        <v>347</v>
      </c>
      <c r="B679" t="s">
        <v>93</v>
      </c>
      <c r="C679" t="s">
        <v>72</v>
      </c>
      <c r="D679" s="3">
        <v>45610</v>
      </c>
      <c r="E679" t="str">
        <f>VLOOKUP(B679,'PROCV GERENTES BD'!A:B,2,0)</f>
        <v>NOELI SALETE</v>
      </c>
      <c r="F679" s="4" t="str">
        <f t="shared" si="54"/>
        <v>2024-11-1</v>
      </c>
      <c r="G679" t="str">
        <f t="shared" si="50"/>
        <v>NOELI SALETE</v>
      </c>
      <c r="H679" t="str">
        <f t="shared" si="51"/>
        <v>RODOBOX TRANSPORTES E ARMAZENAGEM DE CARGAS LTDA</v>
      </c>
      <c r="I679">
        <f t="shared" si="52"/>
        <v>1</v>
      </c>
      <c r="J679">
        <f t="shared" si="53"/>
        <v>0</v>
      </c>
    </row>
    <row r="680" spans="1:10" x14ac:dyDescent="0.25">
      <c r="A680" t="s">
        <v>397</v>
      </c>
      <c r="B680" t="s">
        <v>143</v>
      </c>
      <c r="C680" t="s">
        <v>72</v>
      </c>
      <c r="D680" s="3">
        <v>45610</v>
      </c>
      <c r="E680" t="str">
        <f>VLOOKUP(B680,'PROCV GERENTES BD'!A:B,2,0)</f>
        <v>POENATELA</v>
      </c>
      <c r="F680" s="4" t="str">
        <f t="shared" si="54"/>
        <v>2024-11-1</v>
      </c>
      <c r="G680" t="str">
        <f t="shared" si="50"/>
        <v>POENATELA</v>
      </c>
      <c r="H680" t="str">
        <f t="shared" si="51"/>
        <v>CONQUISTA INDUSTRIA DE MOVEIS S/A</v>
      </c>
      <c r="I680">
        <f t="shared" si="52"/>
        <v>1</v>
      </c>
      <c r="J680">
        <f t="shared" si="53"/>
        <v>0</v>
      </c>
    </row>
    <row r="681" spans="1:10" x14ac:dyDescent="0.25">
      <c r="A681" t="s">
        <v>431</v>
      </c>
      <c r="B681" t="s">
        <v>181</v>
      </c>
      <c r="C681" t="s">
        <v>56</v>
      </c>
      <c r="D681" s="3">
        <v>45610</v>
      </c>
      <c r="E681" t="str">
        <f>VLOOKUP(B681,'PROCV GERENTES BD'!A:B,2,0)</f>
        <v>POENATELA</v>
      </c>
      <c r="F681" s="4" t="str">
        <f t="shared" si="54"/>
        <v>2024-11-1</v>
      </c>
      <c r="G681" t="str">
        <f t="shared" si="50"/>
        <v>POENATELA</v>
      </c>
      <c r="H681" t="str">
        <f t="shared" si="51"/>
        <v>EXPRESSO PAV CONSTRUCOES E SERVICOS LTDA ME</v>
      </c>
      <c r="I681">
        <f t="shared" si="52"/>
        <v>0</v>
      </c>
      <c r="J681">
        <f t="shared" si="53"/>
        <v>1</v>
      </c>
    </row>
    <row r="682" spans="1:10" x14ac:dyDescent="0.25">
      <c r="A682" t="s">
        <v>354</v>
      </c>
      <c r="B682" t="s">
        <v>97</v>
      </c>
      <c r="C682" t="s">
        <v>59</v>
      </c>
      <c r="D682" s="3">
        <v>45610</v>
      </c>
      <c r="E682" t="str">
        <f>VLOOKUP(B682,'PROCV GERENTES BD'!A:B,2,0)</f>
        <v>POENATELA</v>
      </c>
      <c r="F682" s="4" t="str">
        <f t="shared" si="54"/>
        <v>2024-11-1</v>
      </c>
      <c r="G682" t="str">
        <f t="shared" si="50"/>
        <v>POENATELA</v>
      </c>
      <c r="H682" t="str">
        <f t="shared" si="51"/>
        <v>UBERTEC SERVICE USINAGEM LTDA EPP</v>
      </c>
      <c r="I682">
        <f t="shared" si="52"/>
        <v>0</v>
      </c>
      <c r="J682">
        <f t="shared" si="53"/>
        <v>0</v>
      </c>
    </row>
    <row r="683" spans="1:10" x14ac:dyDescent="0.25">
      <c r="A683" t="s">
        <v>361</v>
      </c>
      <c r="B683" t="s">
        <v>103</v>
      </c>
      <c r="C683" t="s">
        <v>56</v>
      </c>
      <c r="D683" s="3">
        <v>45610</v>
      </c>
      <c r="E683" t="str">
        <f>VLOOKUP(B683,'PROCV GERENTES BD'!A:B,2,0)</f>
        <v>PRISCILA METZ</v>
      </c>
      <c r="F683" s="4" t="str">
        <f t="shared" si="54"/>
        <v>2024-11-1</v>
      </c>
      <c r="G683" t="str">
        <f t="shared" si="50"/>
        <v>PRISCILA METZ</v>
      </c>
      <c r="H683" t="str">
        <f t="shared" si="51"/>
        <v>ESSENZA INDUSTRIA QUIMICA LTDA</v>
      </c>
      <c r="I683">
        <f t="shared" si="52"/>
        <v>0</v>
      </c>
      <c r="J683">
        <f t="shared" si="53"/>
        <v>1</v>
      </c>
    </row>
    <row r="684" spans="1:10" x14ac:dyDescent="0.25">
      <c r="A684" t="s">
        <v>417</v>
      </c>
      <c r="B684" t="s">
        <v>166</v>
      </c>
      <c r="C684" t="s">
        <v>56</v>
      </c>
      <c r="D684" s="3">
        <v>45610</v>
      </c>
      <c r="E684" t="str">
        <f>VLOOKUP(B684,'PROCV GERENTES BD'!A:B,2,0)</f>
        <v>RAFAEL PARISE</v>
      </c>
      <c r="F684" s="4" t="str">
        <f t="shared" si="54"/>
        <v>2024-11-1</v>
      </c>
      <c r="G684" t="str">
        <f t="shared" si="50"/>
        <v>RAFAEL PARISE</v>
      </c>
      <c r="H684" t="str">
        <f t="shared" si="51"/>
        <v>OXIGAS RESIDUOS ESPECIAIS LTDA EPP</v>
      </c>
      <c r="I684">
        <f t="shared" si="52"/>
        <v>0</v>
      </c>
      <c r="J684">
        <f t="shared" si="53"/>
        <v>1</v>
      </c>
    </row>
    <row r="685" spans="1:10" x14ac:dyDescent="0.25">
      <c r="A685" t="s">
        <v>429</v>
      </c>
      <c r="B685" t="s">
        <v>178</v>
      </c>
      <c r="C685" t="s">
        <v>72</v>
      </c>
      <c r="D685" s="3">
        <v>45610</v>
      </c>
      <c r="E685" t="str">
        <f>VLOOKUP(B685,'PROCV GERENTES BD'!A:B,2,0)</f>
        <v>WHELKYA IRIS</v>
      </c>
      <c r="F685" s="4" t="str">
        <f t="shared" si="54"/>
        <v>2024-11-1</v>
      </c>
      <c r="G685" t="str">
        <f t="shared" si="50"/>
        <v>WHELKYA IRIS</v>
      </c>
      <c r="H685" t="str">
        <f t="shared" si="51"/>
        <v>EDUARDO LUIZ SILVA DA LUZ ME</v>
      </c>
      <c r="I685">
        <f t="shared" si="52"/>
        <v>1</v>
      </c>
      <c r="J685">
        <f t="shared" si="53"/>
        <v>0</v>
      </c>
    </row>
    <row r="686" spans="1:10" x14ac:dyDescent="0.25">
      <c r="A686" t="s">
        <v>326</v>
      </c>
      <c r="B686" t="s">
        <v>86</v>
      </c>
      <c r="C686" t="s">
        <v>56</v>
      </c>
      <c r="D686" s="3">
        <v>45611</v>
      </c>
      <c r="E686" t="str">
        <f>VLOOKUP(B686,'PROCV GERENTES BD'!A:B,2,0)</f>
        <v>CELIO PIMENTA</v>
      </c>
      <c r="F686" s="4" t="str">
        <f t="shared" si="54"/>
        <v>2024-11-1</v>
      </c>
      <c r="G686" t="str">
        <f t="shared" si="50"/>
        <v>CELIO PIMENTA</v>
      </c>
      <c r="H686" t="str">
        <f t="shared" si="51"/>
        <v>IMPORTEXTIL COMERCIO DE TECIDOS LTDA</v>
      </c>
      <c r="I686">
        <f t="shared" si="52"/>
        <v>0</v>
      </c>
      <c r="J686">
        <f t="shared" si="53"/>
        <v>1</v>
      </c>
    </row>
    <row r="687" spans="1:10" x14ac:dyDescent="0.25">
      <c r="A687" t="s">
        <v>60</v>
      </c>
      <c r="B687" t="s">
        <v>61</v>
      </c>
      <c r="C687" t="s">
        <v>56</v>
      </c>
      <c r="D687" s="3">
        <v>45611</v>
      </c>
      <c r="E687" t="str">
        <f>VLOOKUP(B687,'PROCV GERENTES BD'!A:B,2,0)</f>
        <v>CELIO PIMENTA</v>
      </c>
      <c r="F687" s="4" t="str">
        <f t="shared" si="54"/>
        <v>2024-11-1</v>
      </c>
      <c r="G687" t="str">
        <f t="shared" si="50"/>
        <v>CELIO PIMENTA</v>
      </c>
      <c r="H687" t="str">
        <f t="shared" si="51"/>
        <v>WJ CALDEIRARIA INDUSTRIA E COMERCIO LTDA ME</v>
      </c>
      <c r="I687">
        <f t="shared" si="52"/>
        <v>0</v>
      </c>
      <c r="J687">
        <f t="shared" si="53"/>
        <v>1</v>
      </c>
    </row>
    <row r="688" spans="1:10" x14ac:dyDescent="0.25">
      <c r="A688" t="s">
        <v>331</v>
      </c>
      <c r="B688" t="s">
        <v>126</v>
      </c>
      <c r="C688" t="s">
        <v>56</v>
      </c>
      <c r="D688" s="3">
        <v>45611</v>
      </c>
      <c r="E688" t="str">
        <f>VLOOKUP(B688,'PROCV GERENTES BD'!A:B,2,0)</f>
        <v>FITZ</v>
      </c>
      <c r="F688" s="4" t="str">
        <f t="shared" si="54"/>
        <v>2024-11-1</v>
      </c>
      <c r="G688" t="str">
        <f t="shared" si="50"/>
        <v>FITZ</v>
      </c>
      <c r="H688" t="str">
        <f t="shared" si="51"/>
        <v>TRANSHENRY TRANSPORTES LTDA</v>
      </c>
      <c r="I688">
        <f t="shared" si="52"/>
        <v>0</v>
      </c>
      <c r="J688">
        <f t="shared" si="53"/>
        <v>1</v>
      </c>
    </row>
    <row r="689" spans="1:10" x14ac:dyDescent="0.25">
      <c r="A689" t="s">
        <v>436</v>
      </c>
      <c r="B689" t="s">
        <v>186</v>
      </c>
      <c r="C689" t="s">
        <v>56</v>
      </c>
      <c r="D689" s="3">
        <v>45611</v>
      </c>
      <c r="E689" t="str">
        <f>VLOOKUP(B689,'PROCV GERENTES BD'!A:B,2,0)</f>
        <v xml:space="preserve">MARCUS VINICIUS </v>
      </c>
      <c r="F689" s="4" t="str">
        <f t="shared" si="54"/>
        <v>2024-11-1</v>
      </c>
      <c r="G689" t="str">
        <f t="shared" si="50"/>
        <v xml:space="preserve">MARCUS VINICIUS </v>
      </c>
      <c r="H689" t="str">
        <f t="shared" si="51"/>
        <v>LABOR ELETRIC INDUSTRIA E COMERCIO UNIPESSOAL LTDA</v>
      </c>
      <c r="I689">
        <f t="shared" si="52"/>
        <v>0</v>
      </c>
      <c r="J689">
        <f t="shared" si="53"/>
        <v>1</v>
      </c>
    </row>
    <row r="690" spans="1:10" x14ac:dyDescent="0.25">
      <c r="A690" t="s">
        <v>393</v>
      </c>
      <c r="B690" t="s">
        <v>139</v>
      </c>
      <c r="C690" t="s">
        <v>56</v>
      </c>
      <c r="D690" s="3">
        <v>45611</v>
      </c>
      <c r="E690" t="str">
        <f>VLOOKUP(B690,'PROCV GERENTES BD'!A:B,2,0)</f>
        <v xml:space="preserve">MARCUS VINICIUS </v>
      </c>
      <c r="F690" s="4" t="str">
        <f t="shared" si="54"/>
        <v>2024-11-1</v>
      </c>
      <c r="G690" t="str">
        <f t="shared" si="50"/>
        <v xml:space="preserve">MARCUS VINICIUS </v>
      </c>
      <c r="H690" t="str">
        <f t="shared" si="51"/>
        <v>RODOANEL REFORMADORA DE IMPLEMENTOS RODOVIARIOS LT</v>
      </c>
      <c r="I690">
        <f t="shared" si="52"/>
        <v>0</v>
      </c>
      <c r="J690">
        <f t="shared" si="53"/>
        <v>1</v>
      </c>
    </row>
    <row r="691" spans="1:10" x14ac:dyDescent="0.25">
      <c r="A691" t="s">
        <v>430</v>
      </c>
      <c r="B691" t="s">
        <v>180</v>
      </c>
      <c r="C691" t="s">
        <v>56</v>
      </c>
      <c r="D691" s="3">
        <v>45611</v>
      </c>
      <c r="E691" t="str">
        <f>VLOOKUP(B691,'PROCV GERENTES BD'!A:B,2,0)</f>
        <v>NOELI SALETE</v>
      </c>
      <c r="F691" s="4" t="str">
        <f t="shared" si="54"/>
        <v>2024-11-1</v>
      </c>
      <c r="G691" t="str">
        <f t="shared" si="50"/>
        <v>NOELI SALETE</v>
      </c>
      <c r="H691" t="str">
        <f t="shared" si="51"/>
        <v>COMGROUP AGROINDUSTRIAL LTDA</v>
      </c>
      <c r="I691">
        <f t="shared" si="52"/>
        <v>0</v>
      </c>
      <c r="J691">
        <f t="shared" si="53"/>
        <v>1</v>
      </c>
    </row>
    <row r="692" spans="1:10" x14ac:dyDescent="0.25">
      <c r="A692" t="s">
        <v>347</v>
      </c>
      <c r="B692" t="s">
        <v>93</v>
      </c>
      <c r="C692" t="s">
        <v>56</v>
      </c>
      <c r="D692" s="3">
        <v>45611</v>
      </c>
      <c r="E692" t="str">
        <f>VLOOKUP(B692,'PROCV GERENTES BD'!A:B,2,0)</f>
        <v>NOELI SALETE</v>
      </c>
      <c r="F692" s="4" t="str">
        <f t="shared" si="54"/>
        <v>2024-11-1</v>
      </c>
      <c r="G692" t="str">
        <f t="shared" si="50"/>
        <v>NOELI SALETE</v>
      </c>
      <c r="H692" t="str">
        <f t="shared" si="51"/>
        <v>RODOBOX TRANSPORTES E ARMAZENAGEM DE CARGAS LTDA</v>
      </c>
      <c r="I692">
        <f t="shared" si="52"/>
        <v>0</v>
      </c>
      <c r="J692">
        <f t="shared" si="53"/>
        <v>1</v>
      </c>
    </row>
    <row r="693" spans="1:10" x14ac:dyDescent="0.25">
      <c r="A693" t="s">
        <v>415</v>
      </c>
      <c r="B693" t="s">
        <v>164</v>
      </c>
      <c r="C693" t="s">
        <v>72</v>
      </c>
      <c r="D693" s="3">
        <v>45611</v>
      </c>
      <c r="E693" t="str">
        <f>VLOOKUP(B693,'PROCV GERENTES BD'!A:B,2,0)</f>
        <v>NOELI SALETE</v>
      </c>
      <c r="F693" s="4" t="str">
        <f t="shared" si="54"/>
        <v>2024-11-1</v>
      </c>
      <c r="G693" t="str">
        <f t="shared" si="50"/>
        <v>NOELI SALETE</v>
      </c>
      <c r="H693" t="str">
        <f t="shared" si="51"/>
        <v>SGAMAQ INOVACAO AGROINDUSTRIAL LTDA</v>
      </c>
      <c r="I693">
        <f t="shared" si="52"/>
        <v>1</v>
      </c>
      <c r="J693">
        <f t="shared" si="53"/>
        <v>0</v>
      </c>
    </row>
    <row r="694" spans="1:10" x14ac:dyDescent="0.25">
      <c r="A694" t="s">
        <v>354</v>
      </c>
      <c r="B694" t="s">
        <v>97</v>
      </c>
      <c r="C694" t="s">
        <v>56</v>
      </c>
      <c r="D694" s="3">
        <v>45611</v>
      </c>
      <c r="E694" t="str">
        <f>VLOOKUP(B694,'PROCV GERENTES BD'!A:B,2,0)</f>
        <v>POENATELA</v>
      </c>
      <c r="F694" s="4" t="str">
        <f t="shared" si="54"/>
        <v>2024-11-1</v>
      </c>
      <c r="G694" t="str">
        <f t="shared" si="50"/>
        <v>POENATELA</v>
      </c>
      <c r="H694" t="str">
        <f t="shared" si="51"/>
        <v>UBERTEC SERVICE USINAGEM LTDA EPP</v>
      </c>
      <c r="I694">
        <f t="shared" si="52"/>
        <v>0</v>
      </c>
      <c r="J694">
        <f t="shared" si="53"/>
        <v>1</v>
      </c>
    </row>
    <row r="695" spans="1:10" x14ac:dyDescent="0.25">
      <c r="A695" t="s">
        <v>444</v>
      </c>
      <c r="B695" t="s">
        <v>194</v>
      </c>
      <c r="C695" t="s">
        <v>72</v>
      </c>
      <c r="D695" s="3">
        <v>45611</v>
      </c>
      <c r="E695" t="str">
        <f>VLOOKUP(B695,'PROCV GERENTES BD'!A:B,2,0)</f>
        <v>PRISCILA METZ</v>
      </c>
      <c r="F695" s="4" t="str">
        <f t="shared" si="54"/>
        <v>2024-11-1</v>
      </c>
      <c r="G695" t="str">
        <f t="shared" si="50"/>
        <v>PRISCILA METZ</v>
      </c>
      <c r="H695" t="str">
        <f t="shared" si="51"/>
        <v>BIO HEALTH COLCHOES LTDA EPP</v>
      </c>
      <c r="I695">
        <f t="shared" si="52"/>
        <v>1</v>
      </c>
      <c r="J695">
        <f t="shared" si="53"/>
        <v>0</v>
      </c>
    </row>
    <row r="696" spans="1:10" x14ac:dyDescent="0.25">
      <c r="A696" t="s">
        <v>369</v>
      </c>
      <c r="B696" t="s">
        <v>113</v>
      </c>
      <c r="C696" t="s">
        <v>77</v>
      </c>
      <c r="D696" s="3">
        <v>45611</v>
      </c>
      <c r="E696" t="str">
        <f>VLOOKUP(B696,'PROCV GERENTES BD'!A:B,2,0)</f>
        <v>PRISCILA METZ</v>
      </c>
      <c r="F696" s="4" t="str">
        <f t="shared" si="54"/>
        <v>2024-11-1</v>
      </c>
      <c r="G696" t="str">
        <f t="shared" si="50"/>
        <v>PRISCILA METZ</v>
      </c>
      <c r="H696" t="str">
        <f t="shared" si="51"/>
        <v>HERBAMED LABORATORIO NUTRACEUTICO LTDA</v>
      </c>
      <c r="I696">
        <f t="shared" si="52"/>
        <v>0</v>
      </c>
      <c r="J696">
        <f t="shared" si="53"/>
        <v>0</v>
      </c>
    </row>
    <row r="697" spans="1:10" x14ac:dyDescent="0.25">
      <c r="A697" t="s">
        <v>442</v>
      </c>
      <c r="B697" t="s">
        <v>192</v>
      </c>
      <c r="C697" t="s">
        <v>56</v>
      </c>
      <c r="D697" s="3">
        <v>45611</v>
      </c>
      <c r="E697" t="str">
        <f>VLOOKUP(B697,'PROCV GERENTES BD'!A:B,2,0)</f>
        <v>RAFAEL PARISE</v>
      </c>
      <c r="F697" s="4" t="str">
        <f t="shared" si="54"/>
        <v>2024-11-1</v>
      </c>
      <c r="G697" t="str">
        <f t="shared" si="50"/>
        <v>RAFAEL PARISE</v>
      </c>
      <c r="H697" t="str">
        <f t="shared" si="51"/>
        <v>MARCAS COMERCIO LTDA ME</v>
      </c>
      <c r="I697">
        <f t="shared" si="52"/>
        <v>0</v>
      </c>
      <c r="J697">
        <f t="shared" si="53"/>
        <v>1</v>
      </c>
    </row>
    <row r="698" spans="1:10" x14ac:dyDescent="0.25">
      <c r="A698" t="s">
        <v>82</v>
      </c>
      <c r="B698" t="s">
        <v>83</v>
      </c>
      <c r="C698" t="s">
        <v>72</v>
      </c>
      <c r="D698" s="3">
        <v>45611</v>
      </c>
      <c r="E698" t="str">
        <f>VLOOKUP(B698,'PROCV GERENTES BD'!A:B,2,0)</f>
        <v>RAFAEL PARISE</v>
      </c>
      <c r="F698" s="4" t="str">
        <f t="shared" si="54"/>
        <v>2024-11-1</v>
      </c>
      <c r="G698" t="str">
        <f t="shared" si="50"/>
        <v>RAFAEL PARISE</v>
      </c>
      <c r="H698" t="str">
        <f t="shared" si="51"/>
        <v>UNITA AUTO PECAS LTDA EPP</v>
      </c>
      <c r="I698">
        <f t="shared" si="52"/>
        <v>1</v>
      </c>
      <c r="J698">
        <f t="shared" si="53"/>
        <v>0</v>
      </c>
    </row>
    <row r="699" spans="1:10" x14ac:dyDescent="0.25">
      <c r="A699" t="s">
        <v>339</v>
      </c>
      <c r="B699" t="s">
        <v>151</v>
      </c>
      <c r="C699" t="s">
        <v>56</v>
      </c>
      <c r="D699" s="3">
        <v>45612</v>
      </c>
      <c r="E699" t="str">
        <f>VLOOKUP(B699,'PROCV GERENTES BD'!A:B,2,0)</f>
        <v>ADMINISTRAÇÃO</v>
      </c>
      <c r="F699" s="4" t="str">
        <f t="shared" si="54"/>
        <v>2024-11-2</v>
      </c>
      <c r="G699" t="str">
        <f t="shared" si="50"/>
        <v>ADMINISTRAÇÃO</v>
      </c>
      <c r="H699" t="str">
        <f t="shared" si="51"/>
        <v>BOM PASTOR PAPEIS LTDA EM RECUPERACAO JUDICIAL</v>
      </c>
      <c r="I699">
        <f t="shared" si="52"/>
        <v>0</v>
      </c>
      <c r="J699">
        <f t="shared" si="53"/>
        <v>1</v>
      </c>
    </row>
    <row r="700" spans="1:10" x14ac:dyDescent="0.25">
      <c r="A700" t="s">
        <v>380</v>
      </c>
      <c r="B700" t="s">
        <v>123</v>
      </c>
      <c r="C700" t="s">
        <v>56</v>
      </c>
      <c r="D700" s="3">
        <v>45612</v>
      </c>
      <c r="E700" t="str">
        <f>VLOOKUP(B700,'PROCV GERENTES BD'!A:B,2,0)</f>
        <v>ANTONIO CARLOS</v>
      </c>
      <c r="F700" s="4" t="str">
        <f t="shared" si="54"/>
        <v>2024-11-2</v>
      </c>
      <c r="G700" t="str">
        <f t="shared" si="50"/>
        <v>ANTONIO CARLOS</v>
      </c>
      <c r="H700" t="str">
        <f t="shared" si="51"/>
        <v>PREMOLDADOS MATOSINHOS LTDA EPP</v>
      </c>
      <c r="I700">
        <f t="shared" si="52"/>
        <v>0</v>
      </c>
      <c r="J700">
        <f t="shared" si="53"/>
        <v>1</v>
      </c>
    </row>
    <row r="701" spans="1:10" x14ac:dyDescent="0.25">
      <c r="A701" t="s">
        <v>311</v>
      </c>
      <c r="B701" t="s">
        <v>130</v>
      </c>
      <c r="C701" t="s">
        <v>72</v>
      </c>
      <c r="D701" s="3">
        <v>45612</v>
      </c>
      <c r="E701" t="str">
        <f>VLOOKUP(B701,'PROCV GERENTES BD'!A:B,2,0)</f>
        <v>ANTONIO CARLOS</v>
      </c>
      <c r="F701" s="4" t="str">
        <f t="shared" si="54"/>
        <v>2024-11-2</v>
      </c>
      <c r="G701" t="str">
        <f t="shared" si="50"/>
        <v>ANTONIO CARLOS</v>
      </c>
      <c r="H701" t="str">
        <f t="shared" si="51"/>
        <v>VIC LOGISTICA LTDA EM RECUPERACAO JUDICIAL</v>
      </c>
      <c r="I701">
        <f t="shared" si="52"/>
        <v>1</v>
      </c>
      <c r="J701">
        <f t="shared" si="53"/>
        <v>0</v>
      </c>
    </row>
    <row r="702" spans="1:10" x14ac:dyDescent="0.25">
      <c r="A702" t="s">
        <v>326</v>
      </c>
      <c r="B702" t="s">
        <v>86</v>
      </c>
      <c r="C702" t="s">
        <v>56</v>
      </c>
      <c r="D702" s="3">
        <v>45612</v>
      </c>
      <c r="E702" t="str">
        <f>VLOOKUP(B702,'PROCV GERENTES BD'!A:B,2,0)</f>
        <v>CELIO PIMENTA</v>
      </c>
      <c r="F702" s="4" t="str">
        <f t="shared" si="54"/>
        <v>2024-11-2</v>
      </c>
      <c r="G702" t="str">
        <f t="shared" si="50"/>
        <v>CELIO PIMENTA</v>
      </c>
      <c r="H702" t="str">
        <f t="shared" si="51"/>
        <v>IMPORTEXTIL COMERCIO DE TECIDOS LTDA</v>
      </c>
      <c r="I702">
        <f t="shared" si="52"/>
        <v>0</v>
      </c>
      <c r="J702">
        <f t="shared" si="53"/>
        <v>1</v>
      </c>
    </row>
    <row r="703" spans="1:10" x14ac:dyDescent="0.25">
      <c r="A703" t="s">
        <v>366</v>
      </c>
      <c r="B703" t="s">
        <v>111</v>
      </c>
      <c r="C703" t="s">
        <v>72</v>
      </c>
      <c r="D703" s="3">
        <v>45612</v>
      </c>
      <c r="E703" t="str">
        <f>VLOOKUP(B703,'PROCV GERENTES BD'!A:B,2,0)</f>
        <v>DIOGO AZEVEDO</v>
      </c>
      <c r="F703" s="4" t="str">
        <f t="shared" si="54"/>
        <v>2024-11-2</v>
      </c>
      <c r="G703" t="str">
        <f t="shared" si="50"/>
        <v>DIOGO AZEVEDO</v>
      </c>
      <c r="H703" t="str">
        <f t="shared" si="51"/>
        <v>INDUSTRIA E CERVEJARIA ARTESANAL DE MINAS GERAIS L</v>
      </c>
      <c r="I703">
        <f t="shared" si="52"/>
        <v>1</v>
      </c>
      <c r="J703">
        <f t="shared" si="53"/>
        <v>0</v>
      </c>
    </row>
    <row r="704" spans="1:10" x14ac:dyDescent="0.25">
      <c r="A704" t="s">
        <v>385</v>
      </c>
      <c r="B704" t="s">
        <v>131</v>
      </c>
      <c r="C704" t="s">
        <v>56</v>
      </c>
      <c r="D704" s="3">
        <v>45612</v>
      </c>
      <c r="E704" t="str">
        <f>VLOOKUP(B704,'PROCV GERENTES BD'!A:B,2,0)</f>
        <v>EDUARDO MATOSO</v>
      </c>
      <c r="F704" s="4" t="str">
        <f t="shared" si="54"/>
        <v>2024-11-2</v>
      </c>
      <c r="G704" t="str">
        <f t="shared" si="50"/>
        <v>EDUARDO MATOSO</v>
      </c>
      <c r="H704" t="str">
        <f t="shared" si="51"/>
        <v>STONE ENGENHARIA E MONTAGENS INDUSTRIAIS LTDA</v>
      </c>
      <c r="I704">
        <f t="shared" si="52"/>
        <v>0</v>
      </c>
      <c r="J704">
        <f t="shared" si="53"/>
        <v>1</v>
      </c>
    </row>
    <row r="705" spans="1:10" x14ac:dyDescent="0.25">
      <c r="A705" t="s">
        <v>331</v>
      </c>
      <c r="B705" t="s">
        <v>126</v>
      </c>
      <c r="C705" t="s">
        <v>56</v>
      </c>
      <c r="D705" s="3">
        <v>45612</v>
      </c>
      <c r="E705" t="str">
        <f>VLOOKUP(B705,'PROCV GERENTES BD'!A:B,2,0)</f>
        <v>FITZ</v>
      </c>
      <c r="F705" s="4" t="str">
        <f t="shared" si="54"/>
        <v>2024-11-2</v>
      </c>
      <c r="G705" t="str">
        <f t="shared" si="50"/>
        <v>FITZ</v>
      </c>
      <c r="H705" t="str">
        <f t="shared" si="51"/>
        <v>TRANSHENRY TRANSPORTES LTDA</v>
      </c>
      <c r="I705">
        <f t="shared" si="52"/>
        <v>0</v>
      </c>
      <c r="J705">
        <f t="shared" si="53"/>
        <v>1</v>
      </c>
    </row>
    <row r="706" spans="1:10" x14ac:dyDescent="0.25">
      <c r="A706" t="s">
        <v>377</v>
      </c>
      <c r="B706" t="s">
        <v>120</v>
      </c>
      <c r="C706" t="s">
        <v>56</v>
      </c>
      <c r="D706" s="3">
        <v>45612</v>
      </c>
      <c r="E706" t="str">
        <f>VLOOKUP(B706,'PROCV GERENTES BD'!A:B,2,0)</f>
        <v xml:space="preserve">MARCUS VINICIUS </v>
      </c>
      <c r="F706" s="4" t="str">
        <f t="shared" si="54"/>
        <v>2024-11-2</v>
      </c>
      <c r="G706" t="str">
        <f t="shared" ref="G706:G769" si="55">E706</f>
        <v xml:space="preserve">MARCUS VINICIUS </v>
      </c>
      <c r="H706" t="str">
        <f t="shared" ref="H706:H769" si="56">B706</f>
        <v>ISOBASE POLIESTIRENO LTDA EPP</v>
      </c>
      <c r="I706">
        <f t="shared" ref="I706:I769" si="57">IF(C706="EXCLUSAO  ANOT.INADIMPLENCIA",1,0)</f>
        <v>0</v>
      </c>
      <c r="J706">
        <f t="shared" ref="J706:J769" si="58">IF(C706="INCLUSAO  ANOT.INADIMPLENCIA",1,0)</f>
        <v>1</v>
      </c>
    </row>
    <row r="707" spans="1:10" x14ac:dyDescent="0.25">
      <c r="A707" t="s">
        <v>436</v>
      </c>
      <c r="B707" t="s">
        <v>186</v>
      </c>
      <c r="C707" t="s">
        <v>56</v>
      </c>
      <c r="D707" s="3">
        <v>45612</v>
      </c>
      <c r="E707" t="str">
        <f>VLOOKUP(B707,'PROCV GERENTES BD'!A:B,2,0)</f>
        <v xml:space="preserve">MARCUS VINICIUS </v>
      </c>
      <c r="F707" s="4" t="str">
        <f t="shared" ref="F707:F770" si="59">YEAR(D707)&amp;"-"&amp;TEXT(MONTH(D707),"00")&amp;"-"&amp;IF(DAY(D707)&lt;=15,"1",IF(DAY(D707)&gt;15,"2",""))</f>
        <v>2024-11-2</v>
      </c>
      <c r="G707" t="str">
        <f t="shared" si="55"/>
        <v xml:space="preserve">MARCUS VINICIUS </v>
      </c>
      <c r="H707" t="str">
        <f t="shared" si="56"/>
        <v>LABOR ELETRIC INDUSTRIA E COMERCIO UNIPESSOAL LTDA</v>
      </c>
      <c r="I707">
        <f t="shared" si="57"/>
        <v>0</v>
      </c>
      <c r="J707">
        <f t="shared" si="58"/>
        <v>1</v>
      </c>
    </row>
    <row r="708" spans="1:10" x14ac:dyDescent="0.25">
      <c r="A708" t="s">
        <v>430</v>
      </c>
      <c r="B708" t="s">
        <v>180</v>
      </c>
      <c r="C708" t="s">
        <v>56</v>
      </c>
      <c r="D708" s="3">
        <v>45612</v>
      </c>
      <c r="E708" t="str">
        <f>VLOOKUP(B708,'PROCV GERENTES BD'!A:B,2,0)</f>
        <v>NOELI SALETE</v>
      </c>
      <c r="F708" s="4" t="str">
        <f t="shared" si="59"/>
        <v>2024-11-2</v>
      </c>
      <c r="G708" t="str">
        <f t="shared" si="55"/>
        <v>NOELI SALETE</v>
      </c>
      <c r="H708" t="str">
        <f t="shared" si="56"/>
        <v>COMGROUP AGROINDUSTRIAL LTDA</v>
      </c>
      <c r="I708">
        <f t="shared" si="57"/>
        <v>0</v>
      </c>
      <c r="J708">
        <f t="shared" si="58"/>
        <v>1</v>
      </c>
    </row>
    <row r="709" spans="1:10" x14ac:dyDescent="0.25">
      <c r="A709" t="s">
        <v>427</v>
      </c>
      <c r="B709" t="s">
        <v>176</v>
      </c>
      <c r="C709" t="s">
        <v>56</v>
      </c>
      <c r="D709" s="3">
        <v>45612</v>
      </c>
      <c r="E709" t="str">
        <f>VLOOKUP(B709,'PROCV GERENTES BD'!A:B,2,0)</f>
        <v>NOELI SALETE</v>
      </c>
      <c r="F709" s="4" t="str">
        <f t="shared" si="59"/>
        <v>2024-11-2</v>
      </c>
      <c r="G709" t="str">
        <f t="shared" si="55"/>
        <v>NOELI SALETE</v>
      </c>
      <c r="H709" t="str">
        <f t="shared" si="56"/>
        <v>GLOBAL ACO SERVICOS E PRODUTOS SIDERURGICOS LTDA E</v>
      </c>
      <c r="I709">
        <f t="shared" si="57"/>
        <v>0</v>
      </c>
      <c r="J709">
        <f t="shared" si="58"/>
        <v>1</v>
      </c>
    </row>
    <row r="710" spans="1:10" x14ac:dyDescent="0.25">
      <c r="A710" t="s">
        <v>347</v>
      </c>
      <c r="B710" t="s">
        <v>93</v>
      </c>
      <c r="C710" t="s">
        <v>56</v>
      </c>
      <c r="D710" s="3">
        <v>45612</v>
      </c>
      <c r="E710" t="str">
        <f>VLOOKUP(B710,'PROCV GERENTES BD'!A:B,2,0)</f>
        <v>NOELI SALETE</v>
      </c>
      <c r="F710" s="4" t="str">
        <f t="shared" si="59"/>
        <v>2024-11-2</v>
      </c>
      <c r="G710" t="str">
        <f t="shared" si="55"/>
        <v>NOELI SALETE</v>
      </c>
      <c r="H710" t="str">
        <f t="shared" si="56"/>
        <v>RODOBOX TRANSPORTES E ARMAZENAGEM DE CARGAS LTDA</v>
      </c>
      <c r="I710">
        <f t="shared" si="57"/>
        <v>0</v>
      </c>
      <c r="J710">
        <f t="shared" si="58"/>
        <v>1</v>
      </c>
    </row>
    <row r="711" spans="1:10" x14ac:dyDescent="0.25">
      <c r="A711" t="s">
        <v>402</v>
      </c>
      <c r="B711" t="s">
        <v>150</v>
      </c>
      <c r="C711" t="s">
        <v>56</v>
      </c>
      <c r="D711" s="3">
        <v>45612</v>
      </c>
      <c r="E711" t="str">
        <f>VLOOKUP(B711,'PROCV GERENTES BD'!A:B,2,0)</f>
        <v>NOELI SALETE</v>
      </c>
      <c r="F711" s="4" t="str">
        <f t="shared" si="59"/>
        <v>2024-11-2</v>
      </c>
      <c r="G711" t="str">
        <f t="shared" si="55"/>
        <v>NOELI SALETE</v>
      </c>
      <c r="H711" t="str">
        <f t="shared" si="56"/>
        <v>ALBERTO H DA SILVA ME</v>
      </c>
      <c r="I711">
        <f t="shared" si="57"/>
        <v>0</v>
      </c>
      <c r="J711">
        <f t="shared" si="58"/>
        <v>1</v>
      </c>
    </row>
    <row r="712" spans="1:10" x14ac:dyDescent="0.25">
      <c r="A712" t="s">
        <v>408</v>
      </c>
      <c r="B712" t="s">
        <v>157</v>
      </c>
      <c r="C712" t="s">
        <v>56</v>
      </c>
      <c r="D712" s="3">
        <v>45612</v>
      </c>
      <c r="E712" t="str">
        <f>VLOOKUP(B712,'PROCV GERENTES BD'!A:B,2,0)</f>
        <v>NOELI SALETE</v>
      </c>
      <c r="F712" s="4" t="str">
        <f t="shared" si="59"/>
        <v>2024-11-2</v>
      </c>
      <c r="G712" t="str">
        <f t="shared" si="55"/>
        <v>NOELI SALETE</v>
      </c>
      <c r="H712" t="str">
        <f t="shared" si="56"/>
        <v>POOLMAK SISTEMAS ESTRUTURAIS LTDA</v>
      </c>
      <c r="I712">
        <f t="shared" si="57"/>
        <v>0</v>
      </c>
      <c r="J712">
        <f t="shared" si="58"/>
        <v>1</v>
      </c>
    </row>
    <row r="713" spans="1:10" x14ac:dyDescent="0.25">
      <c r="A713" t="s">
        <v>425</v>
      </c>
      <c r="B713" t="s">
        <v>174</v>
      </c>
      <c r="C713" t="s">
        <v>56</v>
      </c>
      <c r="D713" s="3">
        <v>45612</v>
      </c>
      <c r="E713" t="str">
        <f>VLOOKUP(B713,'PROCV GERENTES BD'!A:B,2,0)</f>
        <v>POENATELA</v>
      </c>
      <c r="F713" s="4" t="str">
        <f t="shared" si="59"/>
        <v>2024-11-2</v>
      </c>
      <c r="G713" t="str">
        <f t="shared" si="55"/>
        <v>POENATELA</v>
      </c>
      <c r="H713" t="str">
        <f t="shared" si="56"/>
        <v>DETRONIC ENERGIA E SERVICOS LTDA</v>
      </c>
      <c r="I713">
        <f t="shared" si="57"/>
        <v>0</v>
      </c>
      <c r="J713">
        <f t="shared" si="58"/>
        <v>1</v>
      </c>
    </row>
    <row r="714" spans="1:10" x14ac:dyDescent="0.25">
      <c r="A714" t="s">
        <v>354</v>
      </c>
      <c r="B714" t="s">
        <v>97</v>
      </c>
      <c r="C714" t="s">
        <v>56</v>
      </c>
      <c r="D714" s="3">
        <v>45612</v>
      </c>
      <c r="E714" t="str">
        <f>VLOOKUP(B714,'PROCV GERENTES BD'!A:B,2,0)</f>
        <v>POENATELA</v>
      </c>
      <c r="F714" s="4" t="str">
        <f t="shared" si="59"/>
        <v>2024-11-2</v>
      </c>
      <c r="G714" t="str">
        <f t="shared" si="55"/>
        <v>POENATELA</v>
      </c>
      <c r="H714" t="str">
        <f t="shared" si="56"/>
        <v>UBERTEC SERVICE USINAGEM LTDA EPP</v>
      </c>
      <c r="I714">
        <f t="shared" si="57"/>
        <v>0</v>
      </c>
      <c r="J714">
        <f t="shared" si="58"/>
        <v>1</v>
      </c>
    </row>
    <row r="715" spans="1:10" x14ac:dyDescent="0.25">
      <c r="A715" t="s">
        <v>444</v>
      </c>
      <c r="B715" t="s">
        <v>194</v>
      </c>
      <c r="C715" t="s">
        <v>72</v>
      </c>
      <c r="D715" s="3">
        <v>45612</v>
      </c>
      <c r="E715" t="str">
        <f>VLOOKUP(B715,'PROCV GERENTES BD'!A:B,2,0)</f>
        <v>PRISCILA METZ</v>
      </c>
      <c r="F715" s="4" t="str">
        <f t="shared" si="59"/>
        <v>2024-11-2</v>
      </c>
      <c r="G715" t="str">
        <f t="shared" si="55"/>
        <v>PRISCILA METZ</v>
      </c>
      <c r="H715" t="str">
        <f t="shared" si="56"/>
        <v>BIO HEALTH COLCHOES LTDA EPP</v>
      </c>
      <c r="I715">
        <f t="shared" si="57"/>
        <v>1</v>
      </c>
      <c r="J715">
        <f t="shared" si="58"/>
        <v>0</v>
      </c>
    </row>
    <row r="716" spans="1:10" x14ac:dyDescent="0.25">
      <c r="A716" t="s">
        <v>441</v>
      </c>
      <c r="B716" t="s">
        <v>191</v>
      </c>
      <c r="C716" t="s">
        <v>56</v>
      </c>
      <c r="D716" s="3">
        <v>45612</v>
      </c>
      <c r="E716" t="str">
        <f>VLOOKUP(B716,'PROCV GERENTES BD'!A:B,2,0)</f>
        <v>PRISCILA METZ</v>
      </c>
      <c r="F716" s="4" t="str">
        <f t="shared" si="59"/>
        <v>2024-11-2</v>
      </c>
      <c r="G716" t="str">
        <f t="shared" si="55"/>
        <v>PRISCILA METZ</v>
      </c>
      <c r="H716" t="str">
        <f t="shared" si="56"/>
        <v>FRANZAO COLCHOES LTDA EPP</v>
      </c>
      <c r="I716">
        <f t="shared" si="57"/>
        <v>0</v>
      </c>
      <c r="J716">
        <f t="shared" si="58"/>
        <v>1</v>
      </c>
    </row>
    <row r="717" spans="1:10" x14ac:dyDescent="0.25">
      <c r="A717" t="s">
        <v>384</v>
      </c>
      <c r="B717" t="s">
        <v>128</v>
      </c>
      <c r="C717" t="s">
        <v>56</v>
      </c>
      <c r="D717" s="3">
        <v>45612</v>
      </c>
      <c r="E717" t="str">
        <f>VLOOKUP(B717,'PROCV GERENTES BD'!A:B,2,0)</f>
        <v>PRISCILA METZ</v>
      </c>
      <c r="F717" s="4" t="str">
        <f t="shared" si="59"/>
        <v>2024-11-2</v>
      </c>
      <c r="G717" t="str">
        <f t="shared" si="55"/>
        <v>PRISCILA METZ</v>
      </c>
      <c r="H717" t="str">
        <f t="shared" si="56"/>
        <v>NOVA DISTRIBUIDORA E ATACADO DE LIMPEZA LTDA</v>
      </c>
      <c r="I717">
        <f t="shared" si="57"/>
        <v>0</v>
      </c>
      <c r="J717">
        <f t="shared" si="58"/>
        <v>1</v>
      </c>
    </row>
    <row r="718" spans="1:10" x14ac:dyDescent="0.25">
      <c r="A718" t="s">
        <v>333</v>
      </c>
      <c r="B718" t="s">
        <v>129</v>
      </c>
      <c r="C718" t="s">
        <v>56</v>
      </c>
      <c r="D718" s="3">
        <v>45612</v>
      </c>
      <c r="E718" t="s">
        <v>25</v>
      </c>
      <c r="F718" s="4" t="str">
        <f t="shared" si="59"/>
        <v>2024-11-2</v>
      </c>
      <c r="G718" t="str">
        <f t="shared" si="55"/>
        <v xml:space="preserve">ROGERIO </v>
      </c>
      <c r="H718" t="str">
        <f t="shared" si="56"/>
        <v>BIBE PRODUTOS INFANTIS LTDA</v>
      </c>
      <c r="I718">
        <f t="shared" si="57"/>
        <v>0</v>
      </c>
      <c r="J718">
        <f t="shared" si="58"/>
        <v>1</v>
      </c>
    </row>
    <row r="719" spans="1:10" x14ac:dyDescent="0.25">
      <c r="A719" t="s">
        <v>445</v>
      </c>
      <c r="B719" t="s">
        <v>195</v>
      </c>
      <c r="C719" t="s">
        <v>56</v>
      </c>
      <c r="D719" s="3">
        <v>45612</v>
      </c>
      <c r="E719" t="s">
        <v>25</v>
      </c>
      <c r="F719" s="4" t="str">
        <f t="shared" si="59"/>
        <v>2024-11-2</v>
      </c>
      <c r="G719" t="str">
        <f t="shared" si="55"/>
        <v xml:space="preserve">ROGERIO </v>
      </c>
      <c r="H719" t="str">
        <f t="shared" si="56"/>
        <v>OFFICER INDUSTRIA QUIMICA LTDA EPP</v>
      </c>
      <c r="I719">
        <f t="shared" si="57"/>
        <v>0</v>
      </c>
      <c r="J719">
        <f t="shared" si="58"/>
        <v>1</v>
      </c>
    </row>
    <row r="720" spans="1:10" x14ac:dyDescent="0.25">
      <c r="A720" t="s">
        <v>321</v>
      </c>
      <c r="B720" t="s">
        <v>104</v>
      </c>
      <c r="C720" t="s">
        <v>72</v>
      </c>
      <c r="D720" s="3">
        <v>45612</v>
      </c>
      <c r="E720" t="str">
        <f>VLOOKUP(B720,'PROCV GERENTES BD'!A:B,2,0)</f>
        <v>THAYNA/COMERCIAL</v>
      </c>
      <c r="F720" s="4" t="str">
        <f t="shared" si="59"/>
        <v>2024-11-2</v>
      </c>
      <c r="G720" t="str">
        <f t="shared" si="55"/>
        <v>THAYNA/COMERCIAL</v>
      </c>
      <c r="H720" t="str">
        <f t="shared" si="56"/>
        <v>MUTCD CENTRO DISTRIBUICAO IND FABRICANTE COSMETICO</v>
      </c>
      <c r="I720">
        <f t="shared" si="57"/>
        <v>1</v>
      </c>
      <c r="J720">
        <f t="shared" si="58"/>
        <v>0</v>
      </c>
    </row>
    <row r="721" spans="1:10" x14ac:dyDescent="0.25">
      <c r="A721" t="s">
        <v>339</v>
      </c>
      <c r="B721" t="s">
        <v>151</v>
      </c>
      <c r="C721" t="s">
        <v>72</v>
      </c>
      <c r="D721" s="3">
        <v>45616</v>
      </c>
      <c r="E721" t="str">
        <f>VLOOKUP(B721,'PROCV GERENTES BD'!A:B,2,0)</f>
        <v>ADMINISTRAÇÃO</v>
      </c>
      <c r="F721" s="4" t="str">
        <f t="shared" si="59"/>
        <v>2024-11-2</v>
      </c>
      <c r="G721" t="str">
        <f t="shared" si="55"/>
        <v>ADMINISTRAÇÃO</v>
      </c>
      <c r="H721" t="str">
        <f t="shared" si="56"/>
        <v>BOM PASTOR PAPEIS LTDA EM RECUPERACAO JUDICIAL</v>
      </c>
      <c r="I721">
        <f t="shared" si="57"/>
        <v>1</v>
      </c>
      <c r="J721">
        <f t="shared" si="58"/>
        <v>0</v>
      </c>
    </row>
    <row r="722" spans="1:10" x14ac:dyDescent="0.25">
      <c r="A722" t="s">
        <v>326</v>
      </c>
      <c r="B722" t="s">
        <v>86</v>
      </c>
      <c r="C722" t="s">
        <v>56</v>
      </c>
      <c r="D722" s="3">
        <v>45616</v>
      </c>
      <c r="E722" t="str">
        <f>VLOOKUP(B722,'PROCV GERENTES BD'!A:B,2,0)</f>
        <v>CELIO PIMENTA</v>
      </c>
      <c r="F722" s="4" t="str">
        <f t="shared" si="59"/>
        <v>2024-11-2</v>
      </c>
      <c r="G722" t="str">
        <f t="shared" si="55"/>
        <v>CELIO PIMENTA</v>
      </c>
      <c r="H722" t="str">
        <f t="shared" si="56"/>
        <v>IMPORTEXTIL COMERCIO DE TECIDOS LTDA</v>
      </c>
      <c r="I722">
        <f t="shared" si="57"/>
        <v>0</v>
      </c>
      <c r="J722">
        <f t="shared" si="58"/>
        <v>1</v>
      </c>
    </row>
    <row r="723" spans="1:10" x14ac:dyDescent="0.25">
      <c r="A723" t="s">
        <v>318</v>
      </c>
      <c r="B723" t="s">
        <v>87</v>
      </c>
      <c r="C723" t="s">
        <v>56</v>
      </c>
      <c r="D723" s="3">
        <v>45616</v>
      </c>
      <c r="E723" t="str">
        <f>VLOOKUP(B723,'PROCV GERENTES BD'!A:B,2,0)</f>
        <v>CELIO PIMENTA</v>
      </c>
      <c r="F723" s="4" t="str">
        <f t="shared" si="59"/>
        <v>2024-11-2</v>
      </c>
      <c r="G723" t="str">
        <f t="shared" si="55"/>
        <v>CELIO PIMENTA</v>
      </c>
      <c r="H723" t="str">
        <f t="shared" si="56"/>
        <v>MBIOLOG DIAGNOSTICOS LTDA</v>
      </c>
      <c r="I723">
        <f t="shared" si="57"/>
        <v>0</v>
      </c>
      <c r="J723">
        <f t="shared" si="58"/>
        <v>1</v>
      </c>
    </row>
    <row r="724" spans="1:10" x14ac:dyDescent="0.25">
      <c r="A724" t="s">
        <v>366</v>
      </c>
      <c r="B724" t="s">
        <v>111</v>
      </c>
      <c r="C724" t="s">
        <v>72</v>
      </c>
      <c r="D724" s="3">
        <v>45616</v>
      </c>
      <c r="E724" t="str">
        <f>VLOOKUP(B724,'PROCV GERENTES BD'!A:B,2,0)</f>
        <v>DIOGO AZEVEDO</v>
      </c>
      <c r="F724" s="4" t="str">
        <f t="shared" si="59"/>
        <v>2024-11-2</v>
      </c>
      <c r="G724" t="str">
        <f t="shared" si="55"/>
        <v>DIOGO AZEVEDO</v>
      </c>
      <c r="H724" t="str">
        <f t="shared" si="56"/>
        <v>INDUSTRIA E CERVEJARIA ARTESANAL DE MINAS GERAIS L</v>
      </c>
      <c r="I724">
        <f t="shared" si="57"/>
        <v>1</v>
      </c>
      <c r="J724">
        <f t="shared" si="58"/>
        <v>0</v>
      </c>
    </row>
    <row r="725" spans="1:10" x14ac:dyDescent="0.25">
      <c r="A725" t="s">
        <v>385</v>
      </c>
      <c r="B725" t="s">
        <v>131</v>
      </c>
      <c r="C725" t="s">
        <v>56</v>
      </c>
      <c r="D725" s="3">
        <v>45616</v>
      </c>
      <c r="E725" t="str">
        <f>VLOOKUP(B725,'PROCV GERENTES BD'!A:B,2,0)</f>
        <v>EDUARDO MATOSO</v>
      </c>
      <c r="F725" s="4" t="str">
        <f t="shared" si="59"/>
        <v>2024-11-2</v>
      </c>
      <c r="G725" t="str">
        <f t="shared" si="55"/>
        <v>EDUARDO MATOSO</v>
      </c>
      <c r="H725" t="str">
        <f t="shared" si="56"/>
        <v>STONE ENGENHARIA E MONTAGENS INDUSTRIAIS LTDA</v>
      </c>
      <c r="I725">
        <f t="shared" si="57"/>
        <v>0</v>
      </c>
      <c r="J725">
        <f t="shared" si="58"/>
        <v>1</v>
      </c>
    </row>
    <row r="726" spans="1:10" x14ac:dyDescent="0.25">
      <c r="A726" t="s">
        <v>377</v>
      </c>
      <c r="B726" t="s">
        <v>120</v>
      </c>
      <c r="C726" t="s">
        <v>56</v>
      </c>
      <c r="D726" s="3">
        <v>45616</v>
      </c>
      <c r="E726" t="str">
        <f>VLOOKUP(B726,'PROCV GERENTES BD'!A:B,2,0)</f>
        <v xml:space="preserve">MARCUS VINICIUS </v>
      </c>
      <c r="F726" s="4" t="str">
        <f t="shared" si="59"/>
        <v>2024-11-2</v>
      </c>
      <c r="G726" t="str">
        <f t="shared" si="55"/>
        <v xml:space="preserve">MARCUS VINICIUS </v>
      </c>
      <c r="H726" t="str">
        <f t="shared" si="56"/>
        <v>ISOBASE POLIESTIRENO LTDA EPP</v>
      </c>
      <c r="I726">
        <f t="shared" si="57"/>
        <v>0</v>
      </c>
      <c r="J726">
        <f t="shared" si="58"/>
        <v>1</v>
      </c>
    </row>
    <row r="727" spans="1:10" x14ac:dyDescent="0.25">
      <c r="A727" t="s">
        <v>436</v>
      </c>
      <c r="B727" t="s">
        <v>186</v>
      </c>
      <c r="C727" t="s">
        <v>56</v>
      </c>
      <c r="D727" s="3">
        <v>45616</v>
      </c>
      <c r="E727" t="str">
        <f>VLOOKUP(B727,'PROCV GERENTES BD'!A:B,2,0)</f>
        <v xml:space="preserve">MARCUS VINICIUS </v>
      </c>
      <c r="F727" s="4" t="str">
        <f t="shared" si="59"/>
        <v>2024-11-2</v>
      </c>
      <c r="G727" t="str">
        <f t="shared" si="55"/>
        <v xml:space="preserve">MARCUS VINICIUS </v>
      </c>
      <c r="H727" t="str">
        <f t="shared" si="56"/>
        <v>LABOR ELETRIC INDUSTRIA E COMERCIO UNIPESSOAL LTDA</v>
      </c>
      <c r="I727">
        <f t="shared" si="57"/>
        <v>0</v>
      </c>
      <c r="J727">
        <f t="shared" si="58"/>
        <v>1</v>
      </c>
    </row>
    <row r="728" spans="1:10" x14ac:dyDescent="0.25">
      <c r="A728" t="s">
        <v>430</v>
      </c>
      <c r="B728" t="s">
        <v>180</v>
      </c>
      <c r="C728" t="s">
        <v>56</v>
      </c>
      <c r="D728" s="3">
        <v>45616</v>
      </c>
      <c r="E728" t="str">
        <f>VLOOKUP(B728,'PROCV GERENTES BD'!A:B,2,0)</f>
        <v>NOELI SALETE</v>
      </c>
      <c r="F728" s="4" t="str">
        <f t="shared" si="59"/>
        <v>2024-11-2</v>
      </c>
      <c r="G728" t="str">
        <f t="shared" si="55"/>
        <v>NOELI SALETE</v>
      </c>
      <c r="H728" t="str">
        <f t="shared" si="56"/>
        <v>COMGROUP AGROINDUSTRIAL LTDA</v>
      </c>
      <c r="I728">
        <f t="shared" si="57"/>
        <v>0</v>
      </c>
      <c r="J728">
        <f t="shared" si="58"/>
        <v>1</v>
      </c>
    </row>
    <row r="729" spans="1:10" x14ac:dyDescent="0.25">
      <c r="A729" t="s">
        <v>427</v>
      </c>
      <c r="B729" t="s">
        <v>176</v>
      </c>
      <c r="C729" t="s">
        <v>56</v>
      </c>
      <c r="D729" s="3">
        <v>45616</v>
      </c>
      <c r="E729" t="str">
        <f>VLOOKUP(B729,'PROCV GERENTES BD'!A:B,2,0)</f>
        <v>NOELI SALETE</v>
      </c>
      <c r="F729" s="4" t="str">
        <f t="shared" si="59"/>
        <v>2024-11-2</v>
      </c>
      <c r="G729" t="str">
        <f t="shared" si="55"/>
        <v>NOELI SALETE</v>
      </c>
      <c r="H729" t="str">
        <f t="shared" si="56"/>
        <v>GLOBAL ACO SERVICOS E PRODUTOS SIDERURGICOS LTDA E</v>
      </c>
      <c r="I729">
        <f t="shared" si="57"/>
        <v>0</v>
      </c>
      <c r="J729">
        <f t="shared" si="58"/>
        <v>1</v>
      </c>
    </row>
    <row r="730" spans="1:10" x14ac:dyDescent="0.25">
      <c r="A730" t="s">
        <v>347</v>
      </c>
      <c r="B730" t="s">
        <v>93</v>
      </c>
      <c r="C730" t="s">
        <v>72</v>
      </c>
      <c r="D730" s="3">
        <v>45616</v>
      </c>
      <c r="E730" t="str">
        <f>VLOOKUP(B730,'PROCV GERENTES BD'!A:B,2,0)</f>
        <v>NOELI SALETE</v>
      </c>
      <c r="F730" s="4" t="str">
        <f t="shared" si="59"/>
        <v>2024-11-2</v>
      </c>
      <c r="G730" t="str">
        <f t="shared" si="55"/>
        <v>NOELI SALETE</v>
      </c>
      <c r="H730" t="str">
        <f t="shared" si="56"/>
        <v>RODOBOX TRANSPORTES E ARMAZENAGEM DE CARGAS LTDA</v>
      </c>
      <c r="I730">
        <f t="shared" si="57"/>
        <v>1</v>
      </c>
      <c r="J730">
        <f t="shared" si="58"/>
        <v>0</v>
      </c>
    </row>
    <row r="731" spans="1:10" x14ac:dyDescent="0.25">
      <c r="A731" t="s">
        <v>402</v>
      </c>
      <c r="B731" t="s">
        <v>150</v>
      </c>
      <c r="C731" t="s">
        <v>56</v>
      </c>
      <c r="D731" s="3">
        <v>45616</v>
      </c>
      <c r="E731" t="str">
        <f>VLOOKUP(B731,'PROCV GERENTES BD'!A:B,2,0)</f>
        <v>NOELI SALETE</v>
      </c>
      <c r="F731" s="4" t="str">
        <f t="shared" si="59"/>
        <v>2024-11-2</v>
      </c>
      <c r="G731" t="str">
        <f t="shared" si="55"/>
        <v>NOELI SALETE</v>
      </c>
      <c r="H731" t="str">
        <f t="shared" si="56"/>
        <v>ALBERTO H DA SILVA ME</v>
      </c>
      <c r="I731">
        <f t="shared" si="57"/>
        <v>0</v>
      </c>
      <c r="J731">
        <f t="shared" si="58"/>
        <v>1</v>
      </c>
    </row>
    <row r="732" spans="1:10" x14ac:dyDescent="0.25">
      <c r="A732" t="s">
        <v>425</v>
      </c>
      <c r="B732" t="s">
        <v>174</v>
      </c>
      <c r="C732" t="s">
        <v>72</v>
      </c>
      <c r="D732" s="3">
        <v>45616</v>
      </c>
      <c r="E732" t="str">
        <f>VLOOKUP(B732,'PROCV GERENTES BD'!A:B,2,0)</f>
        <v>POENATELA</v>
      </c>
      <c r="F732" s="4" t="str">
        <f t="shared" si="59"/>
        <v>2024-11-2</v>
      </c>
      <c r="G732" t="str">
        <f t="shared" si="55"/>
        <v>POENATELA</v>
      </c>
      <c r="H732" t="str">
        <f t="shared" si="56"/>
        <v>DETRONIC ENERGIA E SERVICOS LTDA</v>
      </c>
      <c r="I732">
        <f t="shared" si="57"/>
        <v>1</v>
      </c>
      <c r="J732">
        <f t="shared" si="58"/>
        <v>0</v>
      </c>
    </row>
    <row r="733" spans="1:10" x14ac:dyDescent="0.25">
      <c r="A733" t="s">
        <v>354</v>
      </c>
      <c r="B733" t="s">
        <v>97</v>
      </c>
      <c r="C733" t="s">
        <v>72</v>
      </c>
      <c r="D733" s="3">
        <v>45616</v>
      </c>
      <c r="E733" t="str">
        <f>VLOOKUP(B733,'PROCV GERENTES BD'!A:B,2,0)</f>
        <v>POENATELA</v>
      </c>
      <c r="F733" s="4" t="str">
        <f t="shared" si="59"/>
        <v>2024-11-2</v>
      </c>
      <c r="G733" t="str">
        <f t="shared" si="55"/>
        <v>POENATELA</v>
      </c>
      <c r="H733" t="str">
        <f t="shared" si="56"/>
        <v>UBERTEC SERVICE USINAGEM LTDA EPP</v>
      </c>
      <c r="I733">
        <f t="shared" si="57"/>
        <v>1</v>
      </c>
      <c r="J733">
        <f t="shared" si="58"/>
        <v>0</v>
      </c>
    </row>
    <row r="734" spans="1:10" x14ac:dyDescent="0.25">
      <c r="A734" t="s">
        <v>361</v>
      </c>
      <c r="B734" t="s">
        <v>103</v>
      </c>
      <c r="C734" t="s">
        <v>56</v>
      </c>
      <c r="D734" s="3">
        <v>45616</v>
      </c>
      <c r="E734" t="str">
        <f>VLOOKUP(B734,'PROCV GERENTES BD'!A:B,2,0)</f>
        <v>PRISCILA METZ</v>
      </c>
      <c r="F734" s="4" t="str">
        <f t="shared" si="59"/>
        <v>2024-11-2</v>
      </c>
      <c r="G734" t="str">
        <f t="shared" si="55"/>
        <v>PRISCILA METZ</v>
      </c>
      <c r="H734" t="str">
        <f t="shared" si="56"/>
        <v>ESSENZA INDUSTRIA QUIMICA LTDA</v>
      </c>
      <c r="I734">
        <f t="shared" si="57"/>
        <v>0</v>
      </c>
      <c r="J734">
        <f t="shared" si="58"/>
        <v>1</v>
      </c>
    </row>
    <row r="735" spans="1:10" x14ac:dyDescent="0.25">
      <c r="A735" t="s">
        <v>384</v>
      </c>
      <c r="B735" t="s">
        <v>128</v>
      </c>
      <c r="C735" t="s">
        <v>56</v>
      </c>
      <c r="D735" s="3">
        <v>45616</v>
      </c>
      <c r="E735" t="str">
        <f>VLOOKUP(B735,'PROCV GERENTES BD'!A:B,2,0)</f>
        <v>PRISCILA METZ</v>
      </c>
      <c r="F735" s="4" t="str">
        <f t="shared" si="59"/>
        <v>2024-11-2</v>
      </c>
      <c r="G735" t="str">
        <f t="shared" si="55"/>
        <v>PRISCILA METZ</v>
      </c>
      <c r="H735" t="str">
        <f t="shared" si="56"/>
        <v>NOVA DISTRIBUIDORA E ATACADO DE LIMPEZA LTDA</v>
      </c>
      <c r="I735">
        <f t="shared" si="57"/>
        <v>0</v>
      </c>
      <c r="J735">
        <f t="shared" si="58"/>
        <v>1</v>
      </c>
    </row>
    <row r="736" spans="1:10" x14ac:dyDescent="0.25">
      <c r="A736" t="s">
        <v>398</v>
      </c>
      <c r="B736" t="s">
        <v>144</v>
      </c>
      <c r="C736" t="s">
        <v>56</v>
      </c>
      <c r="D736" s="3">
        <v>45616</v>
      </c>
      <c r="E736" t="str">
        <f>VLOOKUP(B736,'PROCV GERENTES BD'!A:B,2,0)</f>
        <v>PRISCILA METZ</v>
      </c>
      <c r="F736" s="4" t="str">
        <f t="shared" si="59"/>
        <v>2024-11-2</v>
      </c>
      <c r="G736" t="str">
        <f t="shared" si="55"/>
        <v>PRISCILA METZ</v>
      </c>
      <c r="H736" t="str">
        <f t="shared" si="56"/>
        <v>VLF IMPERIAL LATICINIOS LTDA ME</v>
      </c>
      <c r="I736">
        <f t="shared" si="57"/>
        <v>0</v>
      </c>
      <c r="J736">
        <f t="shared" si="58"/>
        <v>1</v>
      </c>
    </row>
    <row r="737" spans="1:10" x14ac:dyDescent="0.25">
      <c r="A737" t="s">
        <v>333</v>
      </c>
      <c r="B737" t="s">
        <v>129</v>
      </c>
      <c r="C737" t="s">
        <v>72</v>
      </c>
      <c r="D737" s="3">
        <v>45616</v>
      </c>
      <c r="E737" t="s">
        <v>25</v>
      </c>
      <c r="F737" s="4" t="str">
        <f t="shared" si="59"/>
        <v>2024-11-2</v>
      </c>
      <c r="G737" t="str">
        <f t="shared" si="55"/>
        <v xml:space="preserve">ROGERIO </v>
      </c>
      <c r="H737" t="str">
        <f t="shared" si="56"/>
        <v>BIBE PRODUTOS INFANTIS LTDA</v>
      </c>
      <c r="I737">
        <f t="shared" si="57"/>
        <v>1</v>
      </c>
      <c r="J737">
        <f t="shared" si="58"/>
        <v>0</v>
      </c>
    </row>
    <row r="738" spans="1:10" x14ac:dyDescent="0.25">
      <c r="A738" t="s">
        <v>439</v>
      </c>
      <c r="B738" t="s">
        <v>189</v>
      </c>
      <c r="C738" t="s">
        <v>56</v>
      </c>
      <c r="D738" s="3">
        <v>45616</v>
      </c>
      <c r="E738" t="s">
        <v>25</v>
      </c>
      <c r="F738" s="4" t="str">
        <f t="shared" si="59"/>
        <v>2024-11-2</v>
      </c>
      <c r="G738" t="str">
        <f t="shared" si="55"/>
        <v xml:space="preserve">ROGERIO </v>
      </c>
      <c r="H738" t="str">
        <f t="shared" si="56"/>
        <v>GRF JEANS WEAR LTDA ME</v>
      </c>
      <c r="I738">
        <f t="shared" si="57"/>
        <v>0</v>
      </c>
      <c r="J738">
        <f t="shared" si="58"/>
        <v>1</v>
      </c>
    </row>
    <row r="739" spans="1:10" x14ac:dyDescent="0.25">
      <c r="A739" t="s">
        <v>390</v>
      </c>
      <c r="B739" t="s">
        <v>136</v>
      </c>
      <c r="C739" t="s">
        <v>56</v>
      </c>
      <c r="D739" s="3">
        <v>45617</v>
      </c>
      <c r="E739" t="str">
        <f>VLOOKUP(B739,'PROCV GERENTES BD'!A:B,2,0)</f>
        <v>ADMINISTRAÇÃO</v>
      </c>
      <c r="F739" s="4" t="str">
        <f t="shared" si="59"/>
        <v>2024-11-2</v>
      </c>
      <c r="G739" t="str">
        <f t="shared" si="55"/>
        <v>ADMINISTRAÇÃO</v>
      </c>
      <c r="H739" t="str">
        <f t="shared" si="56"/>
        <v>XEQUE MATE BEBIDAS LTDA ME</v>
      </c>
      <c r="I739">
        <f t="shared" si="57"/>
        <v>0</v>
      </c>
      <c r="J739">
        <f t="shared" si="58"/>
        <v>1</v>
      </c>
    </row>
    <row r="740" spans="1:10" x14ac:dyDescent="0.25">
      <c r="A740" t="s">
        <v>326</v>
      </c>
      <c r="B740" t="s">
        <v>86</v>
      </c>
      <c r="C740" t="s">
        <v>56</v>
      </c>
      <c r="D740" s="3">
        <v>45617</v>
      </c>
      <c r="E740" t="str">
        <f>VLOOKUP(B740,'PROCV GERENTES BD'!A:B,2,0)</f>
        <v>CELIO PIMENTA</v>
      </c>
      <c r="F740" s="4" t="str">
        <f t="shared" si="59"/>
        <v>2024-11-2</v>
      </c>
      <c r="G740" t="str">
        <f t="shared" si="55"/>
        <v>CELIO PIMENTA</v>
      </c>
      <c r="H740" t="str">
        <f t="shared" si="56"/>
        <v>IMPORTEXTIL COMERCIO DE TECIDOS LTDA</v>
      </c>
      <c r="I740">
        <f t="shared" si="57"/>
        <v>0</v>
      </c>
      <c r="J740">
        <f t="shared" si="58"/>
        <v>1</v>
      </c>
    </row>
    <row r="741" spans="1:10" x14ac:dyDescent="0.25">
      <c r="A741" t="s">
        <v>366</v>
      </c>
      <c r="B741" t="s">
        <v>111</v>
      </c>
      <c r="C741" t="s">
        <v>72</v>
      </c>
      <c r="D741" s="3">
        <v>45617</v>
      </c>
      <c r="E741" t="str">
        <f>VLOOKUP(B741,'PROCV GERENTES BD'!A:B,2,0)</f>
        <v>DIOGO AZEVEDO</v>
      </c>
      <c r="F741" s="4" t="str">
        <f t="shared" si="59"/>
        <v>2024-11-2</v>
      </c>
      <c r="G741" t="str">
        <f t="shared" si="55"/>
        <v>DIOGO AZEVEDO</v>
      </c>
      <c r="H741" t="str">
        <f t="shared" si="56"/>
        <v>INDUSTRIA E CERVEJARIA ARTESANAL DE MINAS GERAIS L</v>
      </c>
      <c r="I741">
        <f t="shared" si="57"/>
        <v>1</v>
      </c>
      <c r="J741">
        <f t="shared" si="58"/>
        <v>0</v>
      </c>
    </row>
    <row r="742" spans="1:10" x14ac:dyDescent="0.25">
      <c r="A742" t="s">
        <v>408</v>
      </c>
      <c r="B742" t="s">
        <v>157</v>
      </c>
      <c r="C742" t="s">
        <v>56</v>
      </c>
      <c r="D742" s="3">
        <v>45617</v>
      </c>
      <c r="E742" t="str">
        <f>VLOOKUP(B742,'PROCV GERENTES BD'!A:B,2,0)</f>
        <v>NOELI SALETE</v>
      </c>
      <c r="F742" s="4" t="str">
        <f t="shared" si="59"/>
        <v>2024-11-2</v>
      </c>
      <c r="G742" t="str">
        <f t="shared" si="55"/>
        <v>NOELI SALETE</v>
      </c>
      <c r="H742" t="str">
        <f t="shared" si="56"/>
        <v>POOLMAK SISTEMAS ESTRUTURAIS LTDA</v>
      </c>
      <c r="I742">
        <f t="shared" si="57"/>
        <v>0</v>
      </c>
      <c r="J742">
        <f t="shared" si="58"/>
        <v>1</v>
      </c>
    </row>
    <row r="743" spans="1:10" x14ac:dyDescent="0.25">
      <c r="A743" t="s">
        <v>354</v>
      </c>
      <c r="B743" t="s">
        <v>97</v>
      </c>
      <c r="C743" t="s">
        <v>77</v>
      </c>
      <c r="D743" s="3">
        <v>45617</v>
      </c>
      <c r="E743" t="str">
        <f>VLOOKUP(B743,'PROCV GERENTES BD'!A:B,2,0)</f>
        <v>POENATELA</v>
      </c>
      <c r="F743" s="4" t="str">
        <f t="shared" si="59"/>
        <v>2024-11-2</v>
      </c>
      <c r="G743" t="str">
        <f t="shared" si="55"/>
        <v>POENATELA</v>
      </c>
      <c r="H743" t="str">
        <f t="shared" si="56"/>
        <v>UBERTEC SERVICE USINAGEM LTDA EPP</v>
      </c>
      <c r="I743">
        <f t="shared" si="57"/>
        <v>0</v>
      </c>
      <c r="J743">
        <f t="shared" si="58"/>
        <v>0</v>
      </c>
    </row>
    <row r="744" spans="1:10" x14ac:dyDescent="0.25">
      <c r="A744" t="s">
        <v>354</v>
      </c>
      <c r="B744" t="s">
        <v>97</v>
      </c>
      <c r="C744" t="s">
        <v>56</v>
      </c>
      <c r="D744" s="3">
        <v>45617</v>
      </c>
      <c r="E744" t="str">
        <f>VLOOKUP(B744,'PROCV GERENTES BD'!A:B,2,0)</f>
        <v>POENATELA</v>
      </c>
      <c r="F744" s="4" t="str">
        <f t="shared" si="59"/>
        <v>2024-11-2</v>
      </c>
      <c r="G744" t="str">
        <f t="shared" si="55"/>
        <v>POENATELA</v>
      </c>
      <c r="H744" t="str">
        <f t="shared" si="56"/>
        <v>UBERTEC SERVICE USINAGEM LTDA EPP</v>
      </c>
      <c r="I744">
        <f t="shared" si="57"/>
        <v>0</v>
      </c>
      <c r="J744">
        <f t="shared" si="58"/>
        <v>1</v>
      </c>
    </row>
    <row r="745" spans="1:10" x14ac:dyDescent="0.25">
      <c r="A745" t="s">
        <v>361</v>
      </c>
      <c r="B745" t="s">
        <v>103</v>
      </c>
      <c r="C745" t="s">
        <v>56</v>
      </c>
      <c r="D745" s="3">
        <v>45617</v>
      </c>
      <c r="E745" t="str">
        <f>VLOOKUP(B745,'PROCV GERENTES BD'!A:B,2,0)</f>
        <v>PRISCILA METZ</v>
      </c>
      <c r="F745" s="4" t="str">
        <f t="shared" si="59"/>
        <v>2024-11-2</v>
      </c>
      <c r="G745" t="str">
        <f t="shared" si="55"/>
        <v>PRISCILA METZ</v>
      </c>
      <c r="H745" t="str">
        <f t="shared" si="56"/>
        <v>ESSENZA INDUSTRIA QUIMICA LTDA</v>
      </c>
      <c r="I745">
        <f t="shared" si="57"/>
        <v>0</v>
      </c>
      <c r="J745">
        <f t="shared" si="58"/>
        <v>1</v>
      </c>
    </row>
    <row r="746" spans="1:10" x14ac:dyDescent="0.25">
      <c r="A746" t="s">
        <v>384</v>
      </c>
      <c r="B746" t="s">
        <v>128</v>
      </c>
      <c r="C746" t="s">
        <v>56</v>
      </c>
      <c r="D746" s="3">
        <v>45617</v>
      </c>
      <c r="E746" t="str">
        <f>VLOOKUP(B746,'PROCV GERENTES BD'!A:B,2,0)</f>
        <v>PRISCILA METZ</v>
      </c>
      <c r="F746" s="4" t="str">
        <f t="shared" si="59"/>
        <v>2024-11-2</v>
      </c>
      <c r="G746" t="str">
        <f t="shared" si="55"/>
        <v>PRISCILA METZ</v>
      </c>
      <c r="H746" t="str">
        <f t="shared" si="56"/>
        <v>NOVA DISTRIBUIDORA E ATACADO DE LIMPEZA LTDA</v>
      </c>
      <c r="I746">
        <f t="shared" si="57"/>
        <v>0</v>
      </c>
      <c r="J746">
        <f t="shared" si="58"/>
        <v>1</v>
      </c>
    </row>
    <row r="747" spans="1:10" x14ac:dyDescent="0.25">
      <c r="A747" t="s">
        <v>442</v>
      </c>
      <c r="B747" t="s">
        <v>192</v>
      </c>
      <c r="C747" t="s">
        <v>56</v>
      </c>
      <c r="D747" s="3">
        <v>45617</v>
      </c>
      <c r="E747" t="str">
        <f>VLOOKUP(B747,'PROCV GERENTES BD'!A:B,2,0)</f>
        <v>RAFAEL PARISE</v>
      </c>
      <c r="F747" s="4" t="str">
        <f t="shared" si="59"/>
        <v>2024-11-2</v>
      </c>
      <c r="G747" t="str">
        <f t="shared" si="55"/>
        <v>RAFAEL PARISE</v>
      </c>
      <c r="H747" t="str">
        <f t="shared" si="56"/>
        <v>MARCAS COMERCIO LTDA ME</v>
      </c>
      <c r="I747">
        <f t="shared" si="57"/>
        <v>0</v>
      </c>
      <c r="J747">
        <f t="shared" si="58"/>
        <v>1</v>
      </c>
    </row>
    <row r="748" spans="1:10" x14ac:dyDescent="0.25">
      <c r="A748" t="s">
        <v>82</v>
      </c>
      <c r="B748" t="s">
        <v>83</v>
      </c>
      <c r="C748" t="s">
        <v>77</v>
      </c>
      <c r="D748" s="3">
        <v>45617</v>
      </c>
      <c r="E748" t="str">
        <f>VLOOKUP(B748,'PROCV GERENTES BD'!A:B,2,0)</f>
        <v>RAFAEL PARISE</v>
      </c>
      <c r="F748" s="4" t="str">
        <f t="shared" si="59"/>
        <v>2024-11-2</v>
      </c>
      <c r="G748" t="str">
        <f t="shared" si="55"/>
        <v>RAFAEL PARISE</v>
      </c>
      <c r="H748" t="str">
        <f t="shared" si="56"/>
        <v>UNITA AUTO PECAS LTDA EPP</v>
      </c>
      <c r="I748">
        <f t="shared" si="57"/>
        <v>0</v>
      </c>
      <c r="J748">
        <f t="shared" si="58"/>
        <v>0</v>
      </c>
    </row>
    <row r="749" spans="1:10" x14ac:dyDescent="0.25">
      <c r="A749" t="s">
        <v>326</v>
      </c>
      <c r="B749" t="s">
        <v>86</v>
      </c>
      <c r="C749" t="s">
        <v>56</v>
      </c>
      <c r="D749" s="3">
        <v>45619</v>
      </c>
      <c r="E749" t="str">
        <f>VLOOKUP(B749,'PROCV GERENTES BD'!A:B,2,0)</f>
        <v>CELIO PIMENTA</v>
      </c>
      <c r="F749" s="4" t="str">
        <f t="shared" si="59"/>
        <v>2024-11-2</v>
      </c>
      <c r="G749" t="str">
        <f t="shared" si="55"/>
        <v>CELIO PIMENTA</v>
      </c>
      <c r="H749" t="str">
        <f t="shared" si="56"/>
        <v>IMPORTEXTIL COMERCIO DE TECIDOS LTDA</v>
      </c>
      <c r="I749">
        <f t="shared" si="57"/>
        <v>0</v>
      </c>
      <c r="J749">
        <f t="shared" si="58"/>
        <v>1</v>
      </c>
    </row>
    <row r="750" spans="1:10" x14ac:dyDescent="0.25">
      <c r="A750" t="s">
        <v>318</v>
      </c>
      <c r="B750" t="s">
        <v>87</v>
      </c>
      <c r="C750" t="s">
        <v>72</v>
      </c>
      <c r="D750" s="3">
        <v>45619</v>
      </c>
      <c r="E750" t="str">
        <f>VLOOKUP(B750,'PROCV GERENTES BD'!A:B,2,0)</f>
        <v>CELIO PIMENTA</v>
      </c>
      <c r="F750" s="4" t="str">
        <f t="shared" si="59"/>
        <v>2024-11-2</v>
      </c>
      <c r="G750" t="str">
        <f t="shared" si="55"/>
        <v>CELIO PIMENTA</v>
      </c>
      <c r="H750" t="str">
        <f t="shared" si="56"/>
        <v>MBIOLOG DIAGNOSTICOS LTDA</v>
      </c>
      <c r="I750">
        <f t="shared" si="57"/>
        <v>1</v>
      </c>
      <c r="J750">
        <f t="shared" si="58"/>
        <v>0</v>
      </c>
    </row>
    <row r="751" spans="1:10" x14ac:dyDescent="0.25">
      <c r="A751" t="s">
        <v>438</v>
      </c>
      <c r="B751" t="s">
        <v>188</v>
      </c>
      <c r="C751" t="s">
        <v>77</v>
      </c>
      <c r="D751" s="3">
        <v>45619</v>
      </c>
      <c r="E751" t="str">
        <f>VLOOKUP(B751,'PROCV GERENTES BD'!A:B,2,0)</f>
        <v>FITZ</v>
      </c>
      <c r="F751" s="4" t="str">
        <f t="shared" si="59"/>
        <v>2024-11-2</v>
      </c>
      <c r="G751" t="str">
        <f t="shared" si="55"/>
        <v>FITZ</v>
      </c>
      <c r="H751" t="str">
        <f t="shared" si="56"/>
        <v>SIQUEIRA E GAIPO INDUSTRIA E MATERIAIS ESPORTIVOS</v>
      </c>
      <c r="I751">
        <f t="shared" si="57"/>
        <v>0</v>
      </c>
      <c r="J751">
        <f t="shared" si="58"/>
        <v>0</v>
      </c>
    </row>
    <row r="752" spans="1:10" x14ac:dyDescent="0.25">
      <c r="A752" t="s">
        <v>331</v>
      </c>
      <c r="B752" t="s">
        <v>126</v>
      </c>
      <c r="C752" t="s">
        <v>72</v>
      </c>
      <c r="D752" s="3">
        <v>45619</v>
      </c>
      <c r="E752" t="str">
        <f>VLOOKUP(B752,'PROCV GERENTES BD'!A:B,2,0)</f>
        <v>FITZ</v>
      </c>
      <c r="F752" s="4" t="str">
        <f t="shared" si="59"/>
        <v>2024-11-2</v>
      </c>
      <c r="G752" t="str">
        <f t="shared" si="55"/>
        <v>FITZ</v>
      </c>
      <c r="H752" t="str">
        <f t="shared" si="56"/>
        <v>TRANSHENRY TRANSPORTES LTDA</v>
      </c>
      <c r="I752">
        <f t="shared" si="57"/>
        <v>1</v>
      </c>
      <c r="J752">
        <f t="shared" si="58"/>
        <v>0</v>
      </c>
    </row>
    <row r="753" spans="1:10" x14ac:dyDescent="0.25">
      <c r="A753" t="s">
        <v>393</v>
      </c>
      <c r="B753" t="s">
        <v>139</v>
      </c>
      <c r="C753" t="s">
        <v>56</v>
      </c>
      <c r="D753" s="3">
        <v>45619</v>
      </c>
      <c r="E753" t="str">
        <f>VLOOKUP(B753,'PROCV GERENTES BD'!A:B,2,0)</f>
        <v xml:space="preserve">MARCUS VINICIUS </v>
      </c>
      <c r="F753" s="4" t="str">
        <f t="shared" si="59"/>
        <v>2024-11-2</v>
      </c>
      <c r="G753" t="str">
        <f t="shared" si="55"/>
        <v xml:space="preserve">MARCUS VINICIUS </v>
      </c>
      <c r="H753" t="str">
        <f t="shared" si="56"/>
        <v>RODOANEL REFORMADORA DE IMPLEMENTOS RODOVIARIOS LT</v>
      </c>
      <c r="I753">
        <f t="shared" si="57"/>
        <v>0</v>
      </c>
      <c r="J753">
        <f t="shared" si="58"/>
        <v>1</v>
      </c>
    </row>
    <row r="754" spans="1:10" x14ac:dyDescent="0.25">
      <c r="A754" t="s">
        <v>408</v>
      </c>
      <c r="B754" t="s">
        <v>157</v>
      </c>
      <c r="C754" t="s">
        <v>72</v>
      </c>
      <c r="D754" s="3">
        <v>45619</v>
      </c>
      <c r="E754" t="str">
        <f>VLOOKUP(B754,'PROCV GERENTES BD'!A:B,2,0)</f>
        <v>NOELI SALETE</v>
      </c>
      <c r="F754" s="4" t="str">
        <f t="shared" si="59"/>
        <v>2024-11-2</v>
      </c>
      <c r="G754" t="str">
        <f t="shared" si="55"/>
        <v>NOELI SALETE</v>
      </c>
      <c r="H754" t="str">
        <f t="shared" si="56"/>
        <v>POOLMAK SISTEMAS ESTRUTURAIS LTDA</v>
      </c>
      <c r="I754">
        <f t="shared" si="57"/>
        <v>1</v>
      </c>
      <c r="J754">
        <f t="shared" si="58"/>
        <v>0</v>
      </c>
    </row>
    <row r="755" spans="1:10" x14ac:dyDescent="0.25">
      <c r="A755" t="s">
        <v>397</v>
      </c>
      <c r="B755" t="s">
        <v>143</v>
      </c>
      <c r="C755" t="s">
        <v>77</v>
      </c>
      <c r="D755" s="3">
        <v>45619</v>
      </c>
      <c r="E755" t="str">
        <f>VLOOKUP(B755,'PROCV GERENTES BD'!A:B,2,0)</f>
        <v>POENATELA</v>
      </c>
      <c r="F755" s="4" t="str">
        <f t="shared" si="59"/>
        <v>2024-11-2</v>
      </c>
      <c r="G755" t="str">
        <f t="shared" si="55"/>
        <v>POENATELA</v>
      </c>
      <c r="H755" t="str">
        <f t="shared" si="56"/>
        <v>CONQUISTA INDUSTRIA DE MOVEIS S/A</v>
      </c>
      <c r="I755">
        <f t="shared" si="57"/>
        <v>0</v>
      </c>
      <c r="J755">
        <f t="shared" si="58"/>
        <v>0</v>
      </c>
    </row>
    <row r="756" spans="1:10" x14ac:dyDescent="0.25">
      <c r="A756" t="s">
        <v>425</v>
      </c>
      <c r="B756" t="s">
        <v>174</v>
      </c>
      <c r="C756" t="s">
        <v>72</v>
      </c>
      <c r="D756" s="3">
        <v>45619</v>
      </c>
      <c r="E756" t="str">
        <f>VLOOKUP(B756,'PROCV GERENTES BD'!A:B,2,0)</f>
        <v>POENATELA</v>
      </c>
      <c r="F756" s="4" t="str">
        <f t="shared" si="59"/>
        <v>2024-11-2</v>
      </c>
      <c r="G756" t="str">
        <f t="shared" si="55"/>
        <v>POENATELA</v>
      </c>
      <c r="H756" t="str">
        <f t="shared" si="56"/>
        <v>DETRONIC ENERGIA E SERVICOS LTDA</v>
      </c>
      <c r="I756">
        <f t="shared" si="57"/>
        <v>1</v>
      </c>
      <c r="J756">
        <f t="shared" si="58"/>
        <v>0</v>
      </c>
    </row>
    <row r="757" spans="1:10" x14ac:dyDescent="0.25">
      <c r="A757" t="s">
        <v>354</v>
      </c>
      <c r="B757" t="s">
        <v>97</v>
      </c>
      <c r="C757" t="s">
        <v>59</v>
      </c>
      <c r="D757" s="3">
        <v>45619</v>
      </c>
      <c r="E757" t="str">
        <f>VLOOKUP(B757,'PROCV GERENTES BD'!A:B,2,0)</f>
        <v>POENATELA</v>
      </c>
      <c r="F757" s="4" t="str">
        <f t="shared" si="59"/>
        <v>2024-11-2</v>
      </c>
      <c r="G757" t="str">
        <f t="shared" si="55"/>
        <v>POENATELA</v>
      </c>
      <c r="H757" t="str">
        <f t="shared" si="56"/>
        <v>UBERTEC SERVICE USINAGEM LTDA EPP</v>
      </c>
      <c r="I757">
        <f t="shared" si="57"/>
        <v>0</v>
      </c>
      <c r="J757">
        <f t="shared" si="58"/>
        <v>0</v>
      </c>
    </row>
    <row r="758" spans="1:10" x14ac:dyDescent="0.25">
      <c r="A758" t="s">
        <v>361</v>
      </c>
      <c r="B758" t="s">
        <v>103</v>
      </c>
      <c r="C758" t="s">
        <v>56</v>
      </c>
      <c r="D758" s="3">
        <v>45619</v>
      </c>
      <c r="E758" t="str">
        <f>VLOOKUP(B758,'PROCV GERENTES BD'!A:B,2,0)</f>
        <v>PRISCILA METZ</v>
      </c>
      <c r="F758" s="4" t="str">
        <f t="shared" si="59"/>
        <v>2024-11-2</v>
      </c>
      <c r="G758" t="str">
        <f t="shared" si="55"/>
        <v>PRISCILA METZ</v>
      </c>
      <c r="H758" t="str">
        <f t="shared" si="56"/>
        <v>ESSENZA INDUSTRIA QUIMICA LTDA</v>
      </c>
      <c r="I758">
        <f t="shared" si="57"/>
        <v>0</v>
      </c>
      <c r="J758">
        <f t="shared" si="58"/>
        <v>1</v>
      </c>
    </row>
    <row r="759" spans="1:10" x14ac:dyDescent="0.25">
      <c r="A759" t="s">
        <v>441</v>
      </c>
      <c r="B759" t="s">
        <v>191</v>
      </c>
      <c r="C759" t="s">
        <v>72</v>
      </c>
      <c r="D759" s="3">
        <v>45619</v>
      </c>
      <c r="E759" t="str">
        <f>VLOOKUP(B759,'PROCV GERENTES BD'!A:B,2,0)</f>
        <v>PRISCILA METZ</v>
      </c>
      <c r="F759" s="4" t="str">
        <f t="shared" si="59"/>
        <v>2024-11-2</v>
      </c>
      <c r="G759" t="str">
        <f t="shared" si="55"/>
        <v>PRISCILA METZ</v>
      </c>
      <c r="H759" t="str">
        <f t="shared" si="56"/>
        <v>FRANZAO COLCHOES LTDA EPP</v>
      </c>
      <c r="I759">
        <f t="shared" si="57"/>
        <v>1</v>
      </c>
      <c r="J759">
        <f t="shared" si="58"/>
        <v>0</v>
      </c>
    </row>
    <row r="760" spans="1:10" x14ac:dyDescent="0.25">
      <c r="A760" t="s">
        <v>437</v>
      </c>
      <c r="B760" t="s">
        <v>187</v>
      </c>
      <c r="C760" t="s">
        <v>72</v>
      </c>
      <c r="D760" s="3">
        <v>45619</v>
      </c>
      <c r="E760" t="s">
        <v>25</v>
      </c>
      <c r="F760" s="4" t="str">
        <f t="shared" si="59"/>
        <v>2024-11-2</v>
      </c>
      <c r="G760" t="str">
        <f t="shared" si="55"/>
        <v xml:space="preserve">ROGERIO </v>
      </c>
      <c r="H760" t="str">
        <f t="shared" si="56"/>
        <v>ENCADESP LTDA ME</v>
      </c>
      <c r="I760">
        <f t="shared" si="57"/>
        <v>1</v>
      </c>
      <c r="J760">
        <f t="shared" si="58"/>
        <v>0</v>
      </c>
    </row>
    <row r="761" spans="1:10" x14ac:dyDescent="0.25">
      <c r="A761" t="s">
        <v>321</v>
      </c>
      <c r="B761" t="s">
        <v>104</v>
      </c>
      <c r="C761" t="s">
        <v>56</v>
      </c>
      <c r="D761" s="3">
        <v>45619</v>
      </c>
      <c r="E761" t="str">
        <f>VLOOKUP(B761,'PROCV GERENTES BD'!A:B,2,0)</f>
        <v>THAYNA/COMERCIAL</v>
      </c>
      <c r="F761" s="4" t="str">
        <f t="shared" si="59"/>
        <v>2024-11-2</v>
      </c>
      <c r="G761" t="str">
        <f t="shared" si="55"/>
        <v>THAYNA/COMERCIAL</v>
      </c>
      <c r="H761" t="str">
        <f t="shared" si="56"/>
        <v>MUTCD CENTRO DISTRIBUICAO IND FABRICANTE COSMETICO</v>
      </c>
      <c r="I761">
        <f t="shared" si="57"/>
        <v>0</v>
      </c>
      <c r="J761">
        <f t="shared" si="58"/>
        <v>1</v>
      </c>
    </row>
    <row r="762" spans="1:10" x14ac:dyDescent="0.25">
      <c r="A762" t="s">
        <v>356</v>
      </c>
      <c r="B762" t="s">
        <v>99</v>
      </c>
      <c r="C762" t="s">
        <v>56</v>
      </c>
      <c r="D762" s="3">
        <v>45619</v>
      </c>
      <c r="E762" t="str">
        <f>VLOOKUP(B762,'PROCV GERENTES BD'!A:B,2,0)</f>
        <v>WHELKYA IRIS</v>
      </c>
      <c r="F762" s="4" t="str">
        <f t="shared" si="59"/>
        <v>2024-11-2</v>
      </c>
      <c r="G762" t="str">
        <f t="shared" si="55"/>
        <v>WHELKYA IRIS</v>
      </c>
      <c r="H762" t="str">
        <f t="shared" si="56"/>
        <v>DIVINA INDUSTRIA DE COURO LTDA</v>
      </c>
      <c r="I762">
        <f t="shared" si="57"/>
        <v>0</v>
      </c>
      <c r="J762">
        <f t="shared" si="58"/>
        <v>1</v>
      </c>
    </row>
    <row r="763" spans="1:10" x14ac:dyDescent="0.25">
      <c r="A763" t="s">
        <v>390</v>
      </c>
      <c r="B763" t="s">
        <v>136</v>
      </c>
      <c r="C763" t="s">
        <v>56</v>
      </c>
      <c r="D763" s="3">
        <v>45622</v>
      </c>
      <c r="E763" t="str">
        <f>VLOOKUP(B763,'PROCV GERENTES BD'!A:B,2,0)</f>
        <v>ADMINISTRAÇÃO</v>
      </c>
      <c r="F763" s="4" t="str">
        <f t="shared" si="59"/>
        <v>2024-11-2</v>
      </c>
      <c r="G763" t="str">
        <f t="shared" si="55"/>
        <v>ADMINISTRAÇÃO</v>
      </c>
      <c r="H763" t="str">
        <f t="shared" si="56"/>
        <v>XEQUE MATE BEBIDAS LTDA ME</v>
      </c>
      <c r="I763">
        <f t="shared" si="57"/>
        <v>0</v>
      </c>
      <c r="J763">
        <f t="shared" si="58"/>
        <v>1</v>
      </c>
    </row>
    <row r="764" spans="1:10" x14ac:dyDescent="0.25">
      <c r="A764" t="s">
        <v>380</v>
      </c>
      <c r="B764" t="s">
        <v>123</v>
      </c>
      <c r="C764" t="s">
        <v>59</v>
      </c>
      <c r="D764" s="3">
        <v>45622</v>
      </c>
      <c r="E764" t="str">
        <f>VLOOKUP(B764,'PROCV GERENTES BD'!A:B,2,0)</f>
        <v>ANTONIO CARLOS</v>
      </c>
      <c r="F764" s="4" t="str">
        <f t="shared" si="59"/>
        <v>2024-11-2</v>
      </c>
      <c r="G764" t="str">
        <f t="shared" si="55"/>
        <v>ANTONIO CARLOS</v>
      </c>
      <c r="H764" t="str">
        <f t="shared" si="56"/>
        <v>PREMOLDADOS MATOSINHOS LTDA EPP</v>
      </c>
      <c r="I764">
        <f t="shared" si="57"/>
        <v>0</v>
      </c>
      <c r="J764">
        <f t="shared" si="58"/>
        <v>0</v>
      </c>
    </row>
    <row r="765" spans="1:10" x14ac:dyDescent="0.25">
      <c r="A765" t="s">
        <v>311</v>
      </c>
      <c r="B765" t="s">
        <v>130</v>
      </c>
      <c r="C765" t="s">
        <v>56</v>
      </c>
      <c r="D765" s="3">
        <v>45622</v>
      </c>
      <c r="E765" t="str">
        <f>VLOOKUP(B765,'PROCV GERENTES BD'!A:B,2,0)</f>
        <v>ANTONIO CARLOS</v>
      </c>
      <c r="F765" s="4" t="str">
        <f t="shared" si="59"/>
        <v>2024-11-2</v>
      </c>
      <c r="G765" t="str">
        <f t="shared" si="55"/>
        <v>ANTONIO CARLOS</v>
      </c>
      <c r="H765" t="str">
        <f t="shared" si="56"/>
        <v>VIC LOGISTICA LTDA EM RECUPERACAO JUDICIAL</v>
      </c>
      <c r="I765">
        <f t="shared" si="57"/>
        <v>0</v>
      </c>
      <c r="J765">
        <f t="shared" si="58"/>
        <v>1</v>
      </c>
    </row>
    <row r="766" spans="1:10" x14ac:dyDescent="0.25">
      <c r="A766" t="s">
        <v>381</v>
      </c>
      <c r="B766" t="s">
        <v>124</v>
      </c>
      <c r="C766" t="s">
        <v>72</v>
      </c>
      <c r="D766" s="3">
        <v>45622</v>
      </c>
      <c r="E766" t="str">
        <f>VLOOKUP(B766,'PROCV GERENTES BD'!A:B,2,0)</f>
        <v>ANTONIO CARLOS</v>
      </c>
      <c r="F766" s="4" t="str">
        <f t="shared" si="59"/>
        <v>2024-11-2</v>
      </c>
      <c r="G766" t="str">
        <f t="shared" si="55"/>
        <v>ANTONIO CARLOS</v>
      </c>
      <c r="H766" t="str">
        <f t="shared" si="56"/>
        <v>VIVAN TRANSPORTES LTDA</v>
      </c>
      <c r="I766">
        <f t="shared" si="57"/>
        <v>1</v>
      </c>
      <c r="J766">
        <f t="shared" si="58"/>
        <v>0</v>
      </c>
    </row>
    <row r="767" spans="1:10" x14ac:dyDescent="0.25">
      <c r="A767" t="s">
        <v>326</v>
      </c>
      <c r="B767" t="s">
        <v>86</v>
      </c>
      <c r="C767" t="s">
        <v>56</v>
      </c>
      <c r="D767" s="3">
        <v>45622</v>
      </c>
      <c r="E767" t="str">
        <f>VLOOKUP(B767,'PROCV GERENTES BD'!A:B,2,0)</f>
        <v>CELIO PIMENTA</v>
      </c>
      <c r="F767" s="4" t="str">
        <f t="shared" si="59"/>
        <v>2024-11-2</v>
      </c>
      <c r="G767" t="str">
        <f t="shared" si="55"/>
        <v>CELIO PIMENTA</v>
      </c>
      <c r="H767" t="str">
        <f t="shared" si="56"/>
        <v>IMPORTEXTIL COMERCIO DE TECIDOS LTDA</v>
      </c>
      <c r="I767">
        <f t="shared" si="57"/>
        <v>0</v>
      </c>
      <c r="J767">
        <f t="shared" si="58"/>
        <v>1</v>
      </c>
    </row>
    <row r="768" spans="1:10" x14ac:dyDescent="0.25">
      <c r="A768" t="s">
        <v>318</v>
      </c>
      <c r="B768" t="s">
        <v>87</v>
      </c>
      <c r="C768" t="s">
        <v>56</v>
      </c>
      <c r="D768" s="3">
        <v>45622</v>
      </c>
      <c r="E768" t="str">
        <f>VLOOKUP(B768,'PROCV GERENTES BD'!A:B,2,0)</f>
        <v>CELIO PIMENTA</v>
      </c>
      <c r="F768" s="4" t="str">
        <f t="shared" si="59"/>
        <v>2024-11-2</v>
      </c>
      <c r="G768" t="str">
        <f t="shared" si="55"/>
        <v>CELIO PIMENTA</v>
      </c>
      <c r="H768" t="str">
        <f t="shared" si="56"/>
        <v>MBIOLOG DIAGNOSTICOS LTDA</v>
      </c>
      <c r="I768">
        <f t="shared" si="57"/>
        <v>0</v>
      </c>
      <c r="J768">
        <f t="shared" si="58"/>
        <v>1</v>
      </c>
    </row>
    <row r="769" spans="1:10" x14ac:dyDescent="0.25">
      <c r="A769" t="s">
        <v>60</v>
      </c>
      <c r="B769" t="s">
        <v>61</v>
      </c>
      <c r="C769" t="s">
        <v>56</v>
      </c>
      <c r="D769" s="3">
        <v>45622</v>
      </c>
      <c r="E769" t="str">
        <f>VLOOKUP(B769,'PROCV GERENTES BD'!A:B,2,0)</f>
        <v>CELIO PIMENTA</v>
      </c>
      <c r="F769" s="4" t="str">
        <f t="shared" si="59"/>
        <v>2024-11-2</v>
      </c>
      <c r="G769" t="str">
        <f t="shared" si="55"/>
        <v>CELIO PIMENTA</v>
      </c>
      <c r="H769" t="str">
        <f t="shared" si="56"/>
        <v>WJ CALDEIRARIA INDUSTRIA E COMERCIO LTDA ME</v>
      </c>
      <c r="I769">
        <f t="shared" si="57"/>
        <v>0</v>
      </c>
      <c r="J769">
        <f t="shared" si="58"/>
        <v>1</v>
      </c>
    </row>
    <row r="770" spans="1:10" x14ac:dyDescent="0.25">
      <c r="A770" t="s">
        <v>366</v>
      </c>
      <c r="B770" t="s">
        <v>111</v>
      </c>
      <c r="C770" t="s">
        <v>72</v>
      </c>
      <c r="D770" s="3">
        <v>45622</v>
      </c>
      <c r="E770" t="str">
        <f>VLOOKUP(B770,'PROCV GERENTES BD'!A:B,2,0)</f>
        <v>DIOGO AZEVEDO</v>
      </c>
      <c r="F770" s="4" t="str">
        <f t="shared" si="59"/>
        <v>2024-11-2</v>
      </c>
      <c r="G770" t="str">
        <f t="shared" ref="G770:G833" si="60">E770</f>
        <v>DIOGO AZEVEDO</v>
      </c>
      <c r="H770" t="str">
        <f t="shared" ref="H770:H833" si="61">B770</f>
        <v>INDUSTRIA E CERVEJARIA ARTESANAL DE MINAS GERAIS L</v>
      </c>
      <c r="I770">
        <f t="shared" ref="I770:I833" si="62">IF(C770="EXCLUSAO  ANOT.INADIMPLENCIA",1,0)</f>
        <v>1</v>
      </c>
      <c r="J770">
        <f t="shared" ref="J770:J833" si="63">IF(C770="INCLUSAO  ANOT.INADIMPLENCIA",1,0)</f>
        <v>0</v>
      </c>
    </row>
    <row r="771" spans="1:10" x14ac:dyDescent="0.25">
      <c r="A771" t="s">
        <v>331</v>
      </c>
      <c r="B771" t="s">
        <v>126</v>
      </c>
      <c r="C771" t="s">
        <v>72</v>
      </c>
      <c r="D771" s="3">
        <v>45622</v>
      </c>
      <c r="E771" t="str">
        <f>VLOOKUP(B771,'PROCV GERENTES BD'!A:B,2,0)</f>
        <v>FITZ</v>
      </c>
      <c r="F771" s="4" t="str">
        <f t="shared" ref="F771:F834" si="64">YEAR(D771)&amp;"-"&amp;TEXT(MONTH(D771),"00")&amp;"-"&amp;IF(DAY(D771)&lt;=15,"1",IF(DAY(D771)&gt;15,"2",""))</f>
        <v>2024-11-2</v>
      </c>
      <c r="G771" t="str">
        <f t="shared" si="60"/>
        <v>FITZ</v>
      </c>
      <c r="H771" t="str">
        <f t="shared" si="61"/>
        <v>TRANSHENRY TRANSPORTES LTDA</v>
      </c>
      <c r="I771">
        <f t="shared" si="62"/>
        <v>1</v>
      </c>
      <c r="J771">
        <f t="shared" si="63"/>
        <v>0</v>
      </c>
    </row>
    <row r="772" spans="1:10" x14ac:dyDescent="0.25">
      <c r="A772" t="s">
        <v>330</v>
      </c>
      <c r="B772" t="s">
        <v>116</v>
      </c>
      <c r="C772" t="s">
        <v>56</v>
      </c>
      <c r="D772" s="3">
        <v>45622</v>
      </c>
      <c r="E772" t="str">
        <f>VLOOKUP(B772,'PROCV GERENTES BD'!A:B,2,0)</f>
        <v>FITZ</v>
      </c>
      <c r="F772" s="4" t="str">
        <f t="shared" si="64"/>
        <v>2024-11-2</v>
      </c>
      <c r="G772" t="str">
        <f t="shared" si="60"/>
        <v>FITZ</v>
      </c>
      <c r="H772" t="str">
        <f t="shared" si="61"/>
        <v>SIAP COMERCIO DE PRODUTOS AGROPECUARIOS LTDA</v>
      </c>
      <c r="I772">
        <f t="shared" si="62"/>
        <v>0</v>
      </c>
      <c r="J772">
        <f t="shared" si="63"/>
        <v>1</v>
      </c>
    </row>
    <row r="773" spans="1:10" x14ac:dyDescent="0.25">
      <c r="A773" t="s">
        <v>436</v>
      </c>
      <c r="B773" t="s">
        <v>186</v>
      </c>
      <c r="C773" t="s">
        <v>56</v>
      </c>
      <c r="D773" s="3">
        <v>45622</v>
      </c>
      <c r="E773" t="str">
        <f>VLOOKUP(B773,'PROCV GERENTES BD'!A:B,2,0)</f>
        <v xml:space="preserve">MARCUS VINICIUS </v>
      </c>
      <c r="F773" s="4" t="str">
        <f t="shared" si="64"/>
        <v>2024-11-2</v>
      </c>
      <c r="G773" t="str">
        <f t="shared" si="60"/>
        <v xml:space="preserve">MARCUS VINICIUS </v>
      </c>
      <c r="H773" t="str">
        <f t="shared" si="61"/>
        <v>LABOR ELETRIC INDUSTRIA E COMERCIO UNIPESSOAL LTDA</v>
      </c>
      <c r="I773">
        <f t="shared" si="62"/>
        <v>0</v>
      </c>
      <c r="J773">
        <f t="shared" si="63"/>
        <v>1</v>
      </c>
    </row>
    <row r="774" spans="1:10" x14ac:dyDescent="0.25">
      <c r="A774" t="s">
        <v>393</v>
      </c>
      <c r="B774" t="s">
        <v>139</v>
      </c>
      <c r="C774" t="s">
        <v>56</v>
      </c>
      <c r="D774" s="3">
        <v>45622</v>
      </c>
      <c r="E774" t="str">
        <f>VLOOKUP(B774,'PROCV GERENTES BD'!A:B,2,0)</f>
        <v xml:space="preserve">MARCUS VINICIUS </v>
      </c>
      <c r="F774" s="4" t="str">
        <f t="shared" si="64"/>
        <v>2024-11-2</v>
      </c>
      <c r="G774" t="str">
        <f t="shared" si="60"/>
        <v xml:space="preserve">MARCUS VINICIUS </v>
      </c>
      <c r="H774" t="str">
        <f t="shared" si="61"/>
        <v>RODOANEL REFORMADORA DE IMPLEMENTOS RODOVIARIOS LT</v>
      </c>
      <c r="I774">
        <f t="shared" si="62"/>
        <v>0</v>
      </c>
      <c r="J774">
        <f t="shared" si="63"/>
        <v>1</v>
      </c>
    </row>
    <row r="775" spans="1:10" x14ac:dyDescent="0.25">
      <c r="A775" t="s">
        <v>430</v>
      </c>
      <c r="B775" t="s">
        <v>180</v>
      </c>
      <c r="C775" t="s">
        <v>72</v>
      </c>
      <c r="D775" s="3">
        <v>45622</v>
      </c>
      <c r="E775" t="str">
        <f>VLOOKUP(B775,'PROCV GERENTES BD'!A:B,2,0)</f>
        <v>NOELI SALETE</v>
      </c>
      <c r="F775" s="4" t="str">
        <f t="shared" si="64"/>
        <v>2024-11-2</v>
      </c>
      <c r="G775" t="str">
        <f t="shared" si="60"/>
        <v>NOELI SALETE</v>
      </c>
      <c r="H775" t="str">
        <f t="shared" si="61"/>
        <v>COMGROUP AGROINDUSTRIAL LTDA</v>
      </c>
      <c r="I775">
        <f t="shared" si="62"/>
        <v>1</v>
      </c>
      <c r="J775">
        <f t="shared" si="63"/>
        <v>0</v>
      </c>
    </row>
    <row r="776" spans="1:10" x14ac:dyDescent="0.25">
      <c r="A776" t="s">
        <v>427</v>
      </c>
      <c r="B776" t="s">
        <v>176</v>
      </c>
      <c r="C776" t="s">
        <v>56</v>
      </c>
      <c r="D776" s="3">
        <v>45622</v>
      </c>
      <c r="E776" t="str">
        <f>VLOOKUP(B776,'PROCV GERENTES BD'!A:B,2,0)</f>
        <v>NOELI SALETE</v>
      </c>
      <c r="F776" s="4" t="str">
        <f t="shared" si="64"/>
        <v>2024-11-2</v>
      </c>
      <c r="G776" t="str">
        <f t="shared" si="60"/>
        <v>NOELI SALETE</v>
      </c>
      <c r="H776" t="str">
        <f t="shared" si="61"/>
        <v>GLOBAL ACO SERVICOS E PRODUTOS SIDERURGICOS LTDA E</v>
      </c>
      <c r="I776">
        <f t="shared" si="62"/>
        <v>0</v>
      </c>
      <c r="J776">
        <f t="shared" si="63"/>
        <v>1</v>
      </c>
    </row>
    <row r="777" spans="1:10" x14ac:dyDescent="0.25">
      <c r="A777" t="s">
        <v>402</v>
      </c>
      <c r="B777" t="s">
        <v>150</v>
      </c>
      <c r="C777" t="s">
        <v>56</v>
      </c>
      <c r="D777" s="3">
        <v>45622</v>
      </c>
      <c r="E777" t="str">
        <f>VLOOKUP(B777,'PROCV GERENTES BD'!A:B,2,0)</f>
        <v>NOELI SALETE</v>
      </c>
      <c r="F777" s="4" t="str">
        <f t="shared" si="64"/>
        <v>2024-11-2</v>
      </c>
      <c r="G777" t="str">
        <f t="shared" si="60"/>
        <v>NOELI SALETE</v>
      </c>
      <c r="H777" t="str">
        <f t="shared" si="61"/>
        <v>ALBERTO H DA SILVA ME</v>
      </c>
      <c r="I777">
        <f t="shared" si="62"/>
        <v>0</v>
      </c>
      <c r="J777">
        <f t="shared" si="63"/>
        <v>1</v>
      </c>
    </row>
    <row r="778" spans="1:10" x14ac:dyDescent="0.25">
      <c r="A778" t="s">
        <v>361</v>
      </c>
      <c r="B778" t="s">
        <v>103</v>
      </c>
      <c r="C778" t="s">
        <v>56</v>
      </c>
      <c r="D778" s="3">
        <v>45622</v>
      </c>
      <c r="E778" t="str">
        <f>VLOOKUP(B778,'PROCV GERENTES BD'!A:B,2,0)</f>
        <v>PRISCILA METZ</v>
      </c>
      <c r="F778" s="4" t="str">
        <f t="shared" si="64"/>
        <v>2024-11-2</v>
      </c>
      <c r="G778" t="str">
        <f t="shared" si="60"/>
        <v>PRISCILA METZ</v>
      </c>
      <c r="H778" t="str">
        <f t="shared" si="61"/>
        <v>ESSENZA INDUSTRIA QUIMICA LTDA</v>
      </c>
      <c r="I778">
        <f t="shared" si="62"/>
        <v>0</v>
      </c>
      <c r="J778">
        <f t="shared" si="63"/>
        <v>1</v>
      </c>
    </row>
    <row r="779" spans="1:10" x14ac:dyDescent="0.25">
      <c r="A779" t="s">
        <v>384</v>
      </c>
      <c r="B779" t="s">
        <v>128</v>
      </c>
      <c r="C779" t="s">
        <v>56</v>
      </c>
      <c r="D779" s="3">
        <v>45622</v>
      </c>
      <c r="E779" t="str">
        <f>VLOOKUP(B779,'PROCV GERENTES BD'!A:B,2,0)</f>
        <v>PRISCILA METZ</v>
      </c>
      <c r="F779" s="4" t="str">
        <f t="shared" si="64"/>
        <v>2024-11-2</v>
      </c>
      <c r="G779" t="str">
        <f t="shared" si="60"/>
        <v>PRISCILA METZ</v>
      </c>
      <c r="H779" t="str">
        <f t="shared" si="61"/>
        <v>NOVA DISTRIBUIDORA E ATACADO DE LIMPEZA LTDA</v>
      </c>
      <c r="I779">
        <f t="shared" si="62"/>
        <v>0</v>
      </c>
      <c r="J779">
        <f t="shared" si="63"/>
        <v>1</v>
      </c>
    </row>
    <row r="780" spans="1:10" x14ac:dyDescent="0.25">
      <c r="A780" t="s">
        <v>442</v>
      </c>
      <c r="B780" t="s">
        <v>192</v>
      </c>
      <c r="C780" t="s">
        <v>72</v>
      </c>
      <c r="D780" s="3">
        <v>45622</v>
      </c>
      <c r="E780" t="str">
        <f>VLOOKUP(B780,'PROCV GERENTES BD'!A:B,2,0)</f>
        <v>RAFAEL PARISE</v>
      </c>
      <c r="F780" s="4" t="str">
        <f t="shared" si="64"/>
        <v>2024-11-2</v>
      </c>
      <c r="G780" t="str">
        <f t="shared" si="60"/>
        <v>RAFAEL PARISE</v>
      </c>
      <c r="H780" t="str">
        <f t="shared" si="61"/>
        <v>MARCAS COMERCIO LTDA ME</v>
      </c>
      <c r="I780">
        <f t="shared" si="62"/>
        <v>1</v>
      </c>
      <c r="J780">
        <f t="shared" si="63"/>
        <v>0</v>
      </c>
    </row>
    <row r="781" spans="1:10" x14ac:dyDescent="0.25">
      <c r="A781" t="s">
        <v>82</v>
      </c>
      <c r="B781" t="s">
        <v>83</v>
      </c>
      <c r="C781" t="s">
        <v>56</v>
      </c>
      <c r="D781" s="3">
        <v>45622</v>
      </c>
      <c r="E781" t="str">
        <f>VLOOKUP(B781,'PROCV GERENTES BD'!A:B,2,0)</f>
        <v>RAFAEL PARISE</v>
      </c>
      <c r="F781" s="4" t="str">
        <f t="shared" si="64"/>
        <v>2024-11-2</v>
      </c>
      <c r="G781" t="str">
        <f t="shared" si="60"/>
        <v>RAFAEL PARISE</v>
      </c>
      <c r="H781" t="str">
        <f t="shared" si="61"/>
        <v>UNITA AUTO PECAS LTDA EPP</v>
      </c>
      <c r="I781">
        <f t="shared" si="62"/>
        <v>0</v>
      </c>
      <c r="J781">
        <f t="shared" si="63"/>
        <v>1</v>
      </c>
    </row>
    <row r="782" spans="1:10" x14ac:dyDescent="0.25">
      <c r="A782" t="s">
        <v>366</v>
      </c>
      <c r="B782" t="s">
        <v>111</v>
      </c>
      <c r="C782" t="s">
        <v>72</v>
      </c>
      <c r="D782" s="3">
        <v>45623</v>
      </c>
      <c r="E782" t="str">
        <f>VLOOKUP(B782,'PROCV GERENTES BD'!A:B,2,0)</f>
        <v>DIOGO AZEVEDO</v>
      </c>
      <c r="F782" s="4" t="str">
        <f t="shared" si="64"/>
        <v>2024-11-2</v>
      </c>
      <c r="G782" t="str">
        <f t="shared" si="60"/>
        <v>DIOGO AZEVEDO</v>
      </c>
      <c r="H782" t="str">
        <f t="shared" si="61"/>
        <v>INDUSTRIA E CERVEJARIA ARTESANAL DE MINAS GERAIS L</v>
      </c>
      <c r="I782">
        <f t="shared" si="62"/>
        <v>1</v>
      </c>
      <c r="J782">
        <f t="shared" si="63"/>
        <v>0</v>
      </c>
    </row>
    <row r="783" spans="1:10" x14ac:dyDescent="0.25">
      <c r="A783" t="s">
        <v>427</v>
      </c>
      <c r="B783" t="s">
        <v>176</v>
      </c>
      <c r="C783" t="s">
        <v>56</v>
      </c>
      <c r="D783" s="3">
        <v>45623</v>
      </c>
      <c r="E783" t="str">
        <f>VLOOKUP(B783,'PROCV GERENTES BD'!A:B,2,0)</f>
        <v>NOELI SALETE</v>
      </c>
      <c r="F783" s="4" t="str">
        <f t="shared" si="64"/>
        <v>2024-11-2</v>
      </c>
      <c r="G783" t="str">
        <f t="shared" si="60"/>
        <v>NOELI SALETE</v>
      </c>
      <c r="H783" t="str">
        <f t="shared" si="61"/>
        <v>GLOBAL ACO SERVICOS E PRODUTOS SIDERURGICOS LTDA E</v>
      </c>
      <c r="I783">
        <f t="shared" si="62"/>
        <v>0</v>
      </c>
      <c r="J783">
        <f t="shared" si="63"/>
        <v>1</v>
      </c>
    </row>
    <row r="784" spans="1:10" x14ac:dyDescent="0.25">
      <c r="A784" t="s">
        <v>347</v>
      </c>
      <c r="B784" t="s">
        <v>93</v>
      </c>
      <c r="C784" t="s">
        <v>56</v>
      </c>
      <c r="D784" s="3">
        <v>45623</v>
      </c>
      <c r="E784" t="str">
        <f>VLOOKUP(B784,'PROCV GERENTES BD'!A:B,2,0)</f>
        <v>NOELI SALETE</v>
      </c>
      <c r="F784" s="4" t="str">
        <f t="shared" si="64"/>
        <v>2024-11-2</v>
      </c>
      <c r="G784" t="str">
        <f t="shared" si="60"/>
        <v>NOELI SALETE</v>
      </c>
      <c r="H784" t="str">
        <f t="shared" si="61"/>
        <v>RODOBOX TRANSPORTES E ARMAZENAGEM DE CARGAS LTDA</v>
      </c>
      <c r="I784">
        <f t="shared" si="62"/>
        <v>0</v>
      </c>
      <c r="J784">
        <f t="shared" si="63"/>
        <v>1</v>
      </c>
    </row>
    <row r="785" spans="1:10" x14ac:dyDescent="0.25">
      <c r="A785" t="s">
        <v>402</v>
      </c>
      <c r="B785" t="s">
        <v>150</v>
      </c>
      <c r="C785" t="s">
        <v>56</v>
      </c>
      <c r="D785" s="3">
        <v>45623</v>
      </c>
      <c r="E785" t="str">
        <f>VLOOKUP(B785,'PROCV GERENTES BD'!A:B,2,0)</f>
        <v>NOELI SALETE</v>
      </c>
      <c r="F785" s="4" t="str">
        <f t="shared" si="64"/>
        <v>2024-11-2</v>
      </c>
      <c r="G785" t="str">
        <f t="shared" si="60"/>
        <v>NOELI SALETE</v>
      </c>
      <c r="H785" t="str">
        <f t="shared" si="61"/>
        <v>ALBERTO H DA SILVA ME</v>
      </c>
      <c r="I785">
        <f t="shared" si="62"/>
        <v>0</v>
      </c>
      <c r="J785">
        <f t="shared" si="63"/>
        <v>1</v>
      </c>
    </row>
    <row r="786" spans="1:10" x14ac:dyDescent="0.25">
      <c r="A786" t="s">
        <v>354</v>
      </c>
      <c r="B786" t="s">
        <v>97</v>
      </c>
      <c r="C786" t="s">
        <v>56</v>
      </c>
      <c r="D786" s="3">
        <v>45623</v>
      </c>
      <c r="E786" t="str">
        <f>VLOOKUP(B786,'PROCV GERENTES BD'!A:B,2,0)</f>
        <v>POENATELA</v>
      </c>
      <c r="F786" s="4" t="str">
        <f t="shared" si="64"/>
        <v>2024-11-2</v>
      </c>
      <c r="G786" t="str">
        <f t="shared" si="60"/>
        <v>POENATELA</v>
      </c>
      <c r="H786" t="str">
        <f t="shared" si="61"/>
        <v>UBERTEC SERVICE USINAGEM LTDA EPP</v>
      </c>
      <c r="I786">
        <f t="shared" si="62"/>
        <v>0</v>
      </c>
      <c r="J786">
        <f t="shared" si="63"/>
        <v>1</v>
      </c>
    </row>
    <row r="787" spans="1:10" x14ac:dyDescent="0.25">
      <c r="A787" t="s">
        <v>398</v>
      </c>
      <c r="B787" t="s">
        <v>144</v>
      </c>
      <c r="C787" t="s">
        <v>72</v>
      </c>
      <c r="D787" s="3">
        <v>45623</v>
      </c>
      <c r="E787" t="str">
        <f>VLOOKUP(B787,'PROCV GERENTES BD'!A:B,2,0)</f>
        <v>PRISCILA METZ</v>
      </c>
      <c r="F787" s="4" t="str">
        <f t="shared" si="64"/>
        <v>2024-11-2</v>
      </c>
      <c r="G787" t="str">
        <f t="shared" si="60"/>
        <v>PRISCILA METZ</v>
      </c>
      <c r="H787" t="str">
        <f t="shared" si="61"/>
        <v>VLF IMPERIAL LATICINIOS LTDA ME</v>
      </c>
      <c r="I787">
        <f t="shared" si="62"/>
        <v>1</v>
      </c>
      <c r="J787">
        <f t="shared" si="63"/>
        <v>0</v>
      </c>
    </row>
    <row r="788" spans="1:10" x14ac:dyDescent="0.25">
      <c r="A788" t="s">
        <v>356</v>
      </c>
      <c r="B788" t="s">
        <v>99</v>
      </c>
      <c r="C788" t="s">
        <v>56</v>
      </c>
      <c r="D788" s="3">
        <v>45623</v>
      </c>
      <c r="E788" t="str">
        <f>VLOOKUP(B788,'PROCV GERENTES BD'!A:B,2,0)</f>
        <v>WHELKYA IRIS</v>
      </c>
      <c r="F788" s="4" t="str">
        <f t="shared" si="64"/>
        <v>2024-11-2</v>
      </c>
      <c r="G788" t="str">
        <f t="shared" si="60"/>
        <v>WHELKYA IRIS</v>
      </c>
      <c r="H788" t="str">
        <f t="shared" si="61"/>
        <v>DIVINA INDUSTRIA DE COURO LTDA</v>
      </c>
      <c r="I788">
        <f t="shared" si="62"/>
        <v>0</v>
      </c>
      <c r="J788">
        <f t="shared" si="63"/>
        <v>1</v>
      </c>
    </row>
    <row r="789" spans="1:10" x14ac:dyDescent="0.25">
      <c r="A789" t="s">
        <v>311</v>
      </c>
      <c r="B789" t="s">
        <v>130</v>
      </c>
      <c r="C789" t="s">
        <v>72</v>
      </c>
      <c r="D789" s="3">
        <v>45624</v>
      </c>
      <c r="E789" t="str">
        <f>VLOOKUP(B789,'PROCV GERENTES BD'!A:B,2,0)</f>
        <v>ANTONIO CARLOS</v>
      </c>
      <c r="F789" s="4" t="str">
        <f t="shared" si="64"/>
        <v>2024-11-2</v>
      </c>
      <c r="G789" t="str">
        <f t="shared" si="60"/>
        <v>ANTONIO CARLOS</v>
      </c>
      <c r="H789" t="str">
        <f t="shared" si="61"/>
        <v>VIC LOGISTICA LTDA EM RECUPERACAO JUDICIAL</v>
      </c>
      <c r="I789">
        <f t="shared" si="62"/>
        <v>1</v>
      </c>
      <c r="J789">
        <f t="shared" si="63"/>
        <v>0</v>
      </c>
    </row>
    <row r="790" spans="1:10" x14ac:dyDescent="0.25">
      <c r="A790" t="s">
        <v>366</v>
      </c>
      <c r="B790" t="s">
        <v>111</v>
      </c>
      <c r="C790" t="s">
        <v>72</v>
      </c>
      <c r="D790" s="3">
        <v>45624</v>
      </c>
      <c r="E790" t="str">
        <f>VLOOKUP(B790,'PROCV GERENTES BD'!A:B,2,0)</f>
        <v>DIOGO AZEVEDO</v>
      </c>
      <c r="F790" s="4" t="str">
        <f t="shared" si="64"/>
        <v>2024-11-2</v>
      </c>
      <c r="G790" t="str">
        <f t="shared" si="60"/>
        <v>DIOGO AZEVEDO</v>
      </c>
      <c r="H790" t="str">
        <f t="shared" si="61"/>
        <v>INDUSTRIA E CERVEJARIA ARTESANAL DE MINAS GERAIS L</v>
      </c>
      <c r="I790">
        <f t="shared" si="62"/>
        <v>1</v>
      </c>
      <c r="J790">
        <f t="shared" si="63"/>
        <v>0</v>
      </c>
    </row>
    <row r="791" spans="1:10" x14ac:dyDescent="0.25">
      <c r="A791" t="s">
        <v>331</v>
      </c>
      <c r="B791" t="s">
        <v>126</v>
      </c>
      <c r="C791" t="s">
        <v>72</v>
      </c>
      <c r="D791" s="3">
        <v>45624</v>
      </c>
      <c r="E791" t="str">
        <f>VLOOKUP(B791,'PROCV GERENTES BD'!A:B,2,0)</f>
        <v>FITZ</v>
      </c>
      <c r="F791" s="4" t="str">
        <f t="shared" si="64"/>
        <v>2024-11-2</v>
      </c>
      <c r="G791" t="str">
        <f t="shared" si="60"/>
        <v>FITZ</v>
      </c>
      <c r="H791" t="str">
        <f t="shared" si="61"/>
        <v>TRANSHENRY TRANSPORTES LTDA</v>
      </c>
      <c r="I791">
        <f t="shared" si="62"/>
        <v>1</v>
      </c>
      <c r="J791">
        <f t="shared" si="63"/>
        <v>0</v>
      </c>
    </row>
    <row r="792" spans="1:10" x14ac:dyDescent="0.25">
      <c r="A792" t="s">
        <v>436</v>
      </c>
      <c r="B792" t="s">
        <v>186</v>
      </c>
      <c r="C792" t="s">
        <v>56</v>
      </c>
      <c r="D792" s="3">
        <v>45624</v>
      </c>
      <c r="E792" t="str">
        <f>VLOOKUP(B792,'PROCV GERENTES BD'!A:B,2,0)</f>
        <v xml:space="preserve">MARCUS VINICIUS </v>
      </c>
      <c r="F792" s="4" t="str">
        <f t="shared" si="64"/>
        <v>2024-11-2</v>
      </c>
      <c r="G792" t="str">
        <f t="shared" si="60"/>
        <v xml:space="preserve">MARCUS VINICIUS </v>
      </c>
      <c r="H792" t="str">
        <f t="shared" si="61"/>
        <v>LABOR ELETRIC INDUSTRIA E COMERCIO UNIPESSOAL LTDA</v>
      </c>
      <c r="I792">
        <f t="shared" si="62"/>
        <v>0</v>
      </c>
      <c r="J792">
        <f t="shared" si="63"/>
        <v>1</v>
      </c>
    </row>
    <row r="793" spans="1:10" x14ac:dyDescent="0.25">
      <c r="A793" t="s">
        <v>354</v>
      </c>
      <c r="B793" t="s">
        <v>97</v>
      </c>
      <c r="C793" t="s">
        <v>56</v>
      </c>
      <c r="D793" s="3">
        <v>45624</v>
      </c>
      <c r="E793" t="str">
        <f>VLOOKUP(B793,'PROCV GERENTES BD'!A:B,2,0)</f>
        <v>POENATELA</v>
      </c>
      <c r="F793" s="4" t="str">
        <f t="shared" si="64"/>
        <v>2024-11-2</v>
      </c>
      <c r="G793" t="str">
        <f t="shared" si="60"/>
        <v>POENATELA</v>
      </c>
      <c r="H793" t="str">
        <f t="shared" si="61"/>
        <v>UBERTEC SERVICE USINAGEM LTDA EPP</v>
      </c>
      <c r="I793">
        <f t="shared" si="62"/>
        <v>0</v>
      </c>
      <c r="J793">
        <f t="shared" si="63"/>
        <v>1</v>
      </c>
    </row>
    <row r="794" spans="1:10" x14ac:dyDescent="0.25">
      <c r="A794" t="s">
        <v>384</v>
      </c>
      <c r="B794" t="s">
        <v>128</v>
      </c>
      <c r="C794" t="s">
        <v>56</v>
      </c>
      <c r="D794" s="3">
        <v>45624</v>
      </c>
      <c r="E794" t="str">
        <f>VLOOKUP(B794,'PROCV GERENTES BD'!A:B,2,0)</f>
        <v>PRISCILA METZ</v>
      </c>
      <c r="F794" s="4" t="str">
        <f t="shared" si="64"/>
        <v>2024-11-2</v>
      </c>
      <c r="G794" t="str">
        <f t="shared" si="60"/>
        <v>PRISCILA METZ</v>
      </c>
      <c r="H794" t="str">
        <f t="shared" si="61"/>
        <v>NOVA DISTRIBUIDORA E ATACADO DE LIMPEZA LTDA</v>
      </c>
      <c r="I794">
        <f t="shared" si="62"/>
        <v>0</v>
      </c>
      <c r="J794">
        <f t="shared" si="63"/>
        <v>1</v>
      </c>
    </row>
    <row r="795" spans="1:10" x14ac:dyDescent="0.25">
      <c r="A795" t="s">
        <v>82</v>
      </c>
      <c r="B795" t="s">
        <v>83</v>
      </c>
      <c r="C795" t="s">
        <v>72</v>
      </c>
      <c r="D795" s="3">
        <v>45624</v>
      </c>
      <c r="E795" t="str">
        <f>VLOOKUP(B795,'PROCV GERENTES BD'!A:B,2,0)</f>
        <v>RAFAEL PARISE</v>
      </c>
      <c r="F795" s="4" t="str">
        <f t="shared" si="64"/>
        <v>2024-11-2</v>
      </c>
      <c r="G795" t="str">
        <f t="shared" si="60"/>
        <v>RAFAEL PARISE</v>
      </c>
      <c r="H795" t="str">
        <f t="shared" si="61"/>
        <v>UNITA AUTO PECAS LTDA EPP</v>
      </c>
      <c r="I795">
        <f t="shared" si="62"/>
        <v>1</v>
      </c>
      <c r="J795">
        <f t="shared" si="63"/>
        <v>0</v>
      </c>
    </row>
    <row r="796" spans="1:10" x14ac:dyDescent="0.25">
      <c r="A796" t="s">
        <v>333</v>
      </c>
      <c r="B796" t="s">
        <v>129</v>
      </c>
      <c r="C796" t="s">
        <v>72</v>
      </c>
      <c r="D796" s="3">
        <v>45624</v>
      </c>
      <c r="E796" t="s">
        <v>25</v>
      </c>
      <c r="F796" s="4" t="str">
        <f t="shared" si="64"/>
        <v>2024-11-2</v>
      </c>
      <c r="G796" t="str">
        <f t="shared" si="60"/>
        <v xml:space="preserve">ROGERIO </v>
      </c>
      <c r="H796" t="str">
        <f t="shared" si="61"/>
        <v>BIBE PRODUTOS INFANTIS LTDA</v>
      </c>
      <c r="I796">
        <f t="shared" si="62"/>
        <v>1</v>
      </c>
      <c r="J796">
        <f t="shared" si="63"/>
        <v>0</v>
      </c>
    </row>
    <row r="797" spans="1:10" x14ac:dyDescent="0.25">
      <c r="A797" t="s">
        <v>321</v>
      </c>
      <c r="B797" t="s">
        <v>104</v>
      </c>
      <c r="C797" t="s">
        <v>72</v>
      </c>
      <c r="D797" s="3">
        <v>45624</v>
      </c>
      <c r="E797" t="str">
        <f>VLOOKUP(B797,'PROCV GERENTES BD'!A:B,2,0)</f>
        <v>THAYNA/COMERCIAL</v>
      </c>
      <c r="F797" s="4" t="str">
        <f t="shared" si="64"/>
        <v>2024-11-2</v>
      </c>
      <c r="G797" t="str">
        <f t="shared" si="60"/>
        <v>THAYNA/COMERCIAL</v>
      </c>
      <c r="H797" t="str">
        <f t="shared" si="61"/>
        <v>MUTCD CENTRO DISTRIBUICAO IND FABRICANTE COSMETICO</v>
      </c>
      <c r="I797">
        <f t="shared" si="62"/>
        <v>1</v>
      </c>
      <c r="J797">
        <f t="shared" si="63"/>
        <v>0</v>
      </c>
    </row>
    <row r="798" spans="1:10" x14ac:dyDescent="0.25">
      <c r="A798" t="s">
        <v>326</v>
      </c>
      <c r="B798" t="s">
        <v>86</v>
      </c>
      <c r="C798" t="s">
        <v>56</v>
      </c>
      <c r="D798" s="3">
        <v>45625</v>
      </c>
      <c r="E798" t="str">
        <f>VLOOKUP(B798,'PROCV GERENTES BD'!A:B,2,0)</f>
        <v>CELIO PIMENTA</v>
      </c>
      <c r="F798" s="4" t="str">
        <f t="shared" si="64"/>
        <v>2024-11-2</v>
      </c>
      <c r="G798" t="str">
        <f t="shared" si="60"/>
        <v>CELIO PIMENTA</v>
      </c>
      <c r="H798" t="str">
        <f t="shared" si="61"/>
        <v>IMPORTEXTIL COMERCIO DE TECIDOS LTDA</v>
      </c>
      <c r="I798">
        <f t="shared" si="62"/>
        <v>0</v>
      </c>
      <c r="J798">
        <f t="shared" si="63"/>
        <v>1</v>
      </c>
    </row>
    <row r="799" spans="1:10" x14ac:dyDescent="0.25">
      <c r="A799" t="s">
        <v>354</v>
      </c>
      <c r="B799" t="s">
        <v>97</v>
      </c>
      <c r="C799" t="s">
        <v>56</v>
      </c>
      <c r="D799" s="3">
        <v>45625</v>
      </c>
      <c r="E799" t="str">
        <f>VLOOKUP(B799,'PROCV GERENTES BD'!A:B,2,0)</f>
        <v>POENATELA</v>
      </c>
      <c r="F799" s="4" t="str">
        <f t="shared" si="64"/>
        <v>2024-11-2</v>
      </c>
      <c r="G799" t="str">
        <f t="shared" si="60"/>
        <v>POENATELA</v>
      </c>
      <c r="H799" t="str">
        <f t="shared" si="61"/>
        <v>UBERTEC SERVICE USINAGEM LTDA EPP</v>
      </c>
      <c r="I799">
        <f t="shared" si="62"/>
        <v>0</v>
      </c>
      <c r="J799">
        <f t="shared" si="63"/>
        <v>1</v>
      </c>
    </row>
    <row r="800" spans="1:10" x14ac:dyDescent="0.25">
      <c r="A800" t="s">
        <v>333</v>
      </c>
      <c r="B800" t="s">
        <v>129</v>
      </c>
      <c r="C800" t="s">
        <v>72</v>
      </c>
      <c r="D800" s="3">
        <v>45625</v>
      </c>
      <c r="E800" t="s">
        <v>25</v>
      </c>
      <c r="F800" s="4" t="str">
        <f t="shared" si="64"/>
        <v>2024-11-2</v>
      </c>
      <c r="G800" t="str">
        <f t="shared" si="60"/>
        <v xml:space="preserve">ROGERIO </v>
      </c>
      <c r="H800" t="str">
        <f t="shared" si="61"/>
        <v>BIBE PRODUTOS INFANTIS LTDA</v>
      </c>
      <c r="I800">
        <f t="shared" si="62"/>
        <v>1</v>
      </c>
      <c r="J800">
        <f t="shared" si="63"/>
        <v>0</v>
      </c>
    </row>
    <row r="801" spans="1:10" x14ac:dyDescent="0.25">
      <c r="A801" t="s">
        <v>390</v>
      </c>
      <c r="B801" t="s">
        <v>136</v>
      </c>
      <c r="C801" t="s">
        <v>56</v>
      </c>
      <c r="D801" s="3">
        <v>45626</v>
      </c>
      <c r="E801" t="str">
        <f>VLOOKUP(B801,'PROCV GERENTES BD'!A:B,2,0)</f>
        <v>ADMINISTRAÇÃO</v>
      </c>
      <c r="F801" s="4" t="str">
        <f t="shared" si="64"/>
        <v>2024-11-2</v>
      </c>
      <c r="G801" t="str">
        <f t="shared" si="60"/>
        <v>ADMINISTRAÇÃO</v>
      </c>
      <c r="H801" t="str">
        <f t="shared" si="61"/>
        <v>XEQUE MATE BEBIDAS LTDA ME</v>
      </c>
      <c r="I801">
        <f t="shared" si="62"/>
        <v>0</v>
      </c>
      <c r="J801">
        <f t="shared" si="63"/>
        <v>1</v>
      </c>
    </row>
    <row r="802" spans="1:10" x14ac:dyDescent="0.25">
      <c r="A802" t="s">
        <v>380</v>
      </c>
      <c r="B802" t="s">
        <v>123</v>
      </c>
      <c r="C802" t="s">
        <v>56</v>
      </c>
      <c r="D802" s="3">
        <v>45626</v>
      </c>
      <c r="E802" t="str">
        <f>VLOOKUP(B802,'PROCV GERENTES BD'!A:B,2,0)</f>
        <v>ANTONIO CARLOS</v>
      </c>
      <c r="F802" s="4" t="str">
        <f t="shared" si="64"/>
        <v>2024-11-2</v>
      </c>
      <c r="G802" t="str">
        <f t="shared" si="60"/>
        <v>ANTONIO CARLOS</v>
      </c>
      <c r="H802" t="str">
        <f t="shared" si="61"/>
        <v>PREMOLDADOS MATOSINHOS LTDA EPP</v>
      </c>
      <c r="I802">
        <f t="shared" si="62"/>
        <v>0</v>
      </c>
      <c r="J802">
        <f t="shared" si="63"/>
        <v>1</v>
      </c>
    </row>
    <row r="803" spans="1:10" x14ac:dyDescent="0.25">
      <c r="A803" t="s">
        <v>326</v>
      </c>
      <c r="B803" t="s">
        <v>86</v>
      </c>
      <c r="C803" t="s">
        <v>56</v>
      </c>
      <c r="D803" s="3">
        <v>45626</v>
      </c>
      <c r="E803" t="str">
        <f>VLOOKUP(B803,'PROCV GERENTES BD'!A:B,2,0)</f>
        <v>CELIO PIMENTA</v>
      </c>
      <c r="F803" s="4" t="str">
        <f t="shared" si="64"/>
        <v>2024-11-2</v>
      </c>
      <c r="G803" t="str">
        <f t="shared" si="60"/>
        <v>CELIO PIMENTA</v>
      </c>
      <c r="H803" t="str">
        <f t="shared" si="61"/>
        <v>IMPORTEXTIL COMERCIO DE TECIDOS LTDA</v>
      </c>
      <c r="I803">
        <f t="shared" si="62"/>
        <v>0</v>
      </c>
      <c r="J803">
        <f t="shared" si="63"/>
        <v>1</v>
      </c>
    </row>
    <row r="804" spans="1:10" x14ac:dyDescent="0.25">
      <c r="A804" t="s">
        <v>366</v>
      </c>
      <c r="B804" t="s">
        <v>111</v>
      </c>
      <c r="C804" t="s">
        <v>56</v>
      </c>
      <c r="D804" s="3">
        <v>45626</v>
      </c>
      <c r="E804" t="str">
        <f>VLOOKUP(B804,'PROCV GERENTES BD'!A:B,2,0)</f>
        <v>DIOGO AZEVEDO</v>
      </c>
      <c r="F804" s="4" t="str">
        <f t="shared" si="64"/>
        <v>2024-11-2</v>
      </c>
      <c r="G804" t="str">
        <f t="shared" si="60"/>
        <v>DIOGO AZEVEDO</v>
      </c>
      <c r="H804" t="str">
        <f t="shared" si="61"/>
        <v>INDUSTRIA E CERVEJARIA ARTESANAL DE MINAS GERAIS L</v>
      </c>
      <c r="I804">
        <f t="shared" si="62"/>
        <v>0</v>
      </c>
      <c r="J804">
        <f t="shared" si="63"/>
        <v>1</v>
      </c>
    </row>
    <row r="805" spans="1:10" x14ac:dyDescent="0.25">
      <c r="A805" t="s">
        <v>330</v>
      </c>
      <c r="B805" t="s">
        <v>116</v>
      </c>
      <c r="C805" t="s">
        <v>59</v>
      </c>
      <c r="D805" s="3">
        <v>45626</v>
      </c>
      <c r="E805" t="str">
        <f>VLOOKUP(B805,'PROCV GERENTES BD'!A:B,2,0)</f>
        <v>FITZ</v>
      </c>
      <c r="F805" s="4" t="str">
        <f t="shared" si="64"/>
        <v>2024-11-2</v>
      </c>
      <c r="G805" t="str">
        <f t="shared" si="60"/>
        <v>FITZ</v>
      </c>
      <c r="H805" t="str">
        <f t="shared" si="61"/>
        <v>SIAP COMERCIO DE PRODUTOS AGROPECUARIOS LTDA</v>
      </c>
      <c r="I805">
        <f t="shared" si="62"/>
        <v>0</v>
      </c>
      <c r="J805">
        <f t="shared" si="63"/>
        <v>0</v>
      </c>
    </row>
    <row r="806" spans="1:10" x14ac:dyDescent="0.25">
      <c r="A806" t="s">
        <v>403</v>
      </c>
      <c r="B806" t="s">
        <v>152</v>
      </c>
      <c r="C806" t="s">
        <v>56</v>
      </c>
      <c r="D806" s="3">
        <v>45626</v>
      </c>
      <c r="E806" t="str">
        <f>VLOOKUP(B806,'PROCV GERENTES BD'!A:B,2,0)</f>
        <v>MARCIO LEONEL</v>
      </c>
      <c r="F806" s="4" t="str">
        <f t="shared" si="64"/>
        <v>2024-11-2</v>
      </c>
      <c r="G806" t="str">
        <f t="shared" si="60"/>
        <v>MARCIO LEONEL</v>
      </c>
      <c r="H806" t="str">
        <f t="shared" si="61"/>
        <v>MEDICAL PRIME IMP EXPORT DISTRIB PRODUTOS MEDICOS</v>
      </c>
      <c r="I806">
        <f t="shared" si="62"/>
        <v>0</v>
      </c>
      <c r="J806">
        <f t="shared" si="63"/>
        <v>1</v>
      </c>
    </row>
    <row r="807" spans="1:10" x14ac:dyDescent="0.25">
      <c r="A807" t="s">
        <v>436</v>
      </c>
      <c r="B807" t="s">
        <v>186</v>
      </c>
      <c r="C807" t="s">
        <v>56</v>
      </c>
      <c r="D807" s="3">
        <v>45626</v>
      </c>
      <c r="E807" t="str">
        <f>VLOOKUP(B807,'PROCV GERENTES BD'!A:B,2,0)</f>
        <v xml:space="preserve">MARCUS VINICIUS </v>
      </c>
      <c r="F807" s="4" t="str">
        <f t="shared" si="64"/>
        <v>2024-11-2</v>
      </c>
      <c r="G807" t="str">
        <f t="shared" si="60"/>
        <v xml:space="preserve">MARCUS VINICIUS </v>
      </c>
      <c r="H807" t="str">
        <f t="shared" si="61"/>
        <v>LABOR ELETRIC INDUSTRIA E COMERCIO UNIPESSOAL LTDA</v>
      </c>
      <c r="I807">
        <f t="shared" si="62"/>
        <v>0</v>
      </c>
      <c r="J807">
        <f t="shared" si="63"/>
        <v>1</v>
      </c>
    </row>
    <row r="808" spans="1:10" x14ac:dyDescent="0.25">
      <c r="A808" t="s">
        <v>430</v>
      </c>
      <c r="B808" t="s">
        <v>180</v>
      </c>
      <c r="C808" t="s">
        <v>56</v>
      </c>
      <c r="D808" s="3">
        <v>45626</v>
      </c>
      <c r="E808" t="str">
        <f>VLOOKUP(B808,'PROCV GERENTES BD'!A:B,2,0)</f>
        <v>NOELI SALETE</v>
      </c>
      <c r="F808" s="4" t="str">
        <f t="shared" si="64"/>
        <v>2024-11-2</v>
      </c>
      <c r="G808" t="str">
        <f t="shared" si="60"/>
        <v>NOELI SALETE</v>
      </c>
      <c r="H808" t="str">
        <f t="shared" si="61"/>
        <v>COMGROUP AGROINDUSTRIAL LTDA</v>
      </c>
      <c r="I808">
        <f t="shared" si="62"/>
        <v>0</v>
      </c>
      <c r="J808">
        <f t="shared" si="63"/>
        <v>1</v>
      </c>
    </row>
    <row r="809" spans="1:10" x14ac:dyDescent="0.25">
      <c r="A809" t="s">
        <v>427</v>
      </c>
      <c r="B809" t="s">
        <v>176</v>
      </c>
      <c r="C809" t="s">
        <v>56</v>
      </c>
      <c r="D809" s="3">
        <v>45626</v>
      </c>
      <c r="E809" t="str">
        <f>VLOOKUP(B809,'PROCV GERENTES BD'!A:B,2,0)</f>
        <v>NOELI SALETE</v>
      </c>
      <c r="F809" s="4" t="str">
        <f t="shared" si="64"/>
        <v>2024-11-2</v>
      </c>
      <c r="G809" t="str">
        <f t="shared" si="60"/>
        <v>NOELI SALETE</v>
      </c>
      <c r="H809" t="str">
        <f t="shared" si="61"/>
        <v>GLOBAL ACO SERVICOS E PRODUTOS SIDERURGICOS LTDA E</v>
      </c>
      <c r="I809">
        <f t="shared" si="62"/>
        <v>0</v>
      </c>
      <c r="J809">
        <f t="shared" si="63"/>
        <v>1</v>
      </c>
    </row>
    <row r="810" spans="1:10" x14ac:dyDescent="0.25">
      <c r="A810" t="s">
        <v>347</v>
      </c>
      <c r="B810" t="s">
        <v>93</v>
      </c>
      <c r="C810" t="s">
        <v>56</v>
      </c>
      <c r="D810" s="3">
        <v>45626</v>
      </c>
      <c r="E810" t="str">
        <f>VLOOKUP(B810,'PROCV GERENTES BD'!A:B,2,0)</f>
        <v>NOELI SALETE</v>
      </c>
      <c r="F810" s="4" t="str">
        <f t="shared" si="64"/>
        <v>2024-11-2</v>
      </c>
      <c r="G810" t="str">
        <f t="shared" si="60"/>
        <v>NOELI SALETE</v>
      </c>
      <c r="H810" t="str">
        <f t="shared" si="61"/>
        <v>RODOBOX TRANSPORTES E ARMAZENAGEM DE CARGAS LTDA</v>
      </c>
      <c r="I810">
        <f t="shared" si="62"/>
        <v>0</v>
      </c>
      <c r="J810">
        <f t="shared" si="63"/>
        <v>1</v>
      </c>
    </row>
    <row r="811" spans="1:10" x14ac:dyDescent="0.25">
      <c r="A811" t="s">
        <v>446</v>
      </c>
      <c r="B811" t="s">
        <v>196</v>
      </c>
      <c r="C811" t="s">
        <v>56</v>
      </c>
      <c r="D811" s="3">
        <v>45626</v>
      </c>
      <c r="E811" t="str">
        <f>VLOOKUP(B811,'PROCV GERENTES BD'!A:B,2,0)</f>
        <v>NOELI SALETE</v>
      </c>
      <c r="F811" s="4" t="str">
        <f t="shared" si="64"/>
        <v>2024-11-2</v>
      </c>
      <c r="G811" t="str">
        <f t="shared" si="60"/>
        <v>NOELI SALETE</v>
      </c>
      <c r="H811" t="str">
        <f t="shared" si="61"/>
        <v>AGRO INDUSTRIAL LAZZERI LTDA</v>
      </c>
      <c r="I811">
        <f t="shared" si="62"/>
        <v>0</v>
      </c>
      <c r="J811">
        <f t="shared" si="63"/>
        <v>1</v>
      </c>
    </row>
    <row r="812" spans="1:10" x14ac:dyDescent="0.25">
      <c r="A812" t="s">
        <v>354</v>
      </c>
      <c r="B812" t="s">
        <v>97</v>
      </c>
      <c r="C812" t="s">
        <v>72</v>
      </c>
      <c r="D812" s="3">
        <v>45626</v>
      </c>
      <c r="E812" t="str">
        <f>VLOOKUP(B812,'PROCV GERENTES BD'!A:B,2,0)</f>
        <v>POENATELA</v>
      </c>
      <c r="F812" s="4" t="str">
        <f t="shared" si="64"/>
        <v>2024-11-2</v>
      </c>
      <c r="G812" t="str">
        <f t="shared" si="60"/>
        <v>POENATELA</v>
      </c>
      <c r="H812" t="str">
        <f t="shared" si="61"/>
        <v>UBERTEC SERVICE USINAGEM LTDA EPP</v>
      </c>
      <c r="I812">
        <f t="shared" si="62"/>
        <v>1</v>
      </c>
      <c r="J812">
        <f t="shared" si="63"/>
        <v>0</v>
      </c>
    </row>
    <row r="813" spans="1:10" x14ac:dyDescent="0.25">
      <c r="A813" t="s">
        <v>361</v>
      </c>
      <c r="B813" t="s">
        <v>103</v>
      </c>
      <c r="C813" t="s">
        <v>56</v>
      </c>
      <c r="D813" s="3">
        <v>45626</v>
      </c>
      <c r="E813" t="str">
        <f>VLOOKUP(B813,'PROCV GERENTES BD'!A:B,2,0)</f>
        <v>PRISCILA METZ</v>
      </c>
      <c r="F813" s="4" t="str">
        <f t="shared" si="64"/>
        <v>2024-11-2</v>
      </c>
      <c r="G813" t="str">
        <f t="shared" si="60"/>
        <v>PRISCILA METZ</v>
      </c>
      <c r="H813" t="str">
        <f t="shared" si="61"/>
        <v>ESSENZA INDUSTRIA QUIMICA LTDA</v>
      </c>
      <c r="I813">
        <f t="shared" si="62"/>
        <v>0</v>
      </c>
      <c r="J813">
        <f t="shared" si="63"/>
        <v>1</v>
      </c>
    </row>
    <row r="814" spans="1:10" x14ac:dyDescent="0.25">
      <c r="A814" t="s">
        <v>384</v>
      </c>
      <c r="B814" t="s">
        <v>128</v>
      </c>
      <c r="C814" t="s">
        <v>56</v>
      </c>
      <c r="D814" s="3">
        <v>45626</v>
      </c>
      <c r="E814" t="str">
        <f>VLOOKUP(B814,'PROCV GERENTES BD'!A:B,2,0)</f>
        <v>PRISCILA METZ</v>
      </c>
      <c r="F814" s="4" t="str">
        <f t="shared" si="64"/>
        <v>2024-11-2</v>
      </c>
      <c r="G814" t="str">
        <f t="shared" si="60"/>
        <v>PRISCILA METZ</v>
      </c>
      <c r="H814" t="str">
        <f t="shared" si="61"/>
        <v>NOVA DISTRIBUIDORA E ATACADO DE LIMPEZA LTDA</v>
      </c>
      <c r="I814">
        <f t="shared" si="62"/>
        <v>0</v>
      </c>
      <c r="J814">
        <f t="shared" si="63"/>
        <v>1</v>
      </c>
    </row>
    <row r="815" spans="1:10" x14ac:dyDescent="0.25">
      <c r="A815" t="s">
        <v>82</v>
      </c>
      <c r="B815" t="s">
        <v>83</v>
      </c>
      <c r="C815" t="s">
        <v>56</v>
      </c>
      <c r="D815" s="3">
        <v>45626</v>
      </c>
      <c r="E815" t="str">
        <f>VLOOKUP(B815,'PROCV GERENTES BD'!A:B,2,0)</f>
        <v>RAFAEL PARISE</v>
      </c>
      <c r="F815" s="4" t="str">
        <f t="shared" si="64"/>
        <v>2024-11-2</v>
      </c>
      <c r="G815" t="str">
        <f t="shared" si="60"/>
        <v>RAFAEL PARISE</v>
      </c>
      <c r="H815" t="str">
        <f t="shared" si="61"/>
        <v>UNITA AUTO PECAS LTDA EPP</v>
      </c>
      <c r="I815">
        <f t="shared" si="62"/>
        <v>0</v>
      </c>
      <c r="J815">
        <f t="shared" si="63"/>
        <v>1</v>
      </c>
    </row>
    <row r="816" spans="1:10" x14ac:dyDescent="0.25">
      <c r="A816" t="s">
        <v>333</v>
      </c>
      <c r="B816" t="s">
        <v>129</v>
      </c>
      <c r="C816" t="s">
        <v>72</v>
      </c>
      <c r="D816" s="3">
        <v>45626</v>
      </c>
      <c r="E816" t="s">
        <v>25</v>
      </c>
      <c r="F816" s="4" t="str">
        <f t="shared" si="64"/>
        <v>2024-11-2</v>
      </c>
      <c r="G816" t="str">
        <f t="shared" si="60"/>
        <v xml:space="preserve">ROGERIO </v>
      </c>
      <c r="H816" t="str">
        <f t="shared" si="61"/>
        <v>BIBE PRODUTOS INFANTIS LTDA</v>
      </c>
      <c r="I816">
        <f t="shared" si="62"/>
        <v>1</v>
      </c>
      <c r="J816">
        <f t="shared" si="63"/>
        <v>0</v>
      </c>
    </row>
    <row r="817" spans="1:10" x14ac:dyDescent="0.25">
      <c r="A817" t="s">
        <v>339</v>
      </c>
      <c r="B817" t="s">
        <v>151</v>
      </c>
      <c r="C817" t="s">
        <v>56</v>
      </c>
      <c r="D817" s="3">
        <v>45629</v>
      </c>
      <c r="E817" t="str">
        <f>VLOOKUP(B817,'PROCV GERENTES BD'!A:B,2,0)</f>
        <v>ADMINISTRAÇÃO</v>
      </c>
      <c r="F817" s="4" t="str">
        <f t="shared" si="64"/>
        <v>2024-12-1</v>
      </c>
      <c r="G817" t="str">
        <f t="shared" si="60"/>
        <v>ADMINISTRAÇÃO</v>
      </c>
      <c r="H817" t="str">
        <f t="shared" si="61"/>
        <v>BOM PASTOR PAPEIS LTDA EM RECUPERACAO JUDICIAL</v>
      </c>
      <c r="I817">
        <f t="shared" si="62"/>
        <v>0</v>
      </c>
      <c r="J817">
        <f t="shared" si="63"/>
        <v>1</v>
      </c>
    </row>
    <row r="818" spans="1:10" x14ac:dyDescent="0.25">
      <c r="A818" t="s">
        <v>390</v>
      </c>
      <c r="B818" t="s">
        <v>136</v>
      </c>
      <c r="C818" t="s">
        <v>56</v>
      </c>
      <c r="D818" s="3">
        <v>45629</v>
      </c>
      <c r="E818" t="str">
        <f>VLOOKUP(B818,'PROCV GERENTES BD'!A:B,2,0)</f>
        <v>ADMINISTRAÇÃO</v>
      </c>
      <c r="F818" s="4" t="str">
        <f t="shared" si="64"/>
        <v>2024-12-1</v>
      </c>
      <c r="G818" t="str">
        <f t="shared" si="60"/>
        <v>ADMINISTRAÇÃO</v>
      </c>
      <c r="H818" t="str">
        <f t="shared" si="61"/>
        <v>XEQUE MATE BEBIDAS LTDA ME</v>
      </c>
      <c r="I818">
        <f t="shared" si="62"/>
        <v>0</v>
      </c>
      <c r="J818">
        <f t="shared" si="63"/>
        <v>1</v>
      </c>
    </row>
    <row r="819" spans="1:10" x14ac:dyDescent="0.25">
      <c r="A819" t="s">
        <v>311</v>
      </c>
      <c r="B819" t="s">
        <v>130</v>
      </c>
      <c r="C819" t="s">
        <v>56</v>
      </c>
      <c r="D819" s="3">
        <v>45629</v>
      </c>
      <c r="E819" t="str">
        <f>VLOOKUP(B819,'PROCV GERENTES BD'!A:B,2,0)</f>
        <v>ANTONIO CARLOS</v>
      </c>
      <c r="F819" s="4" t="str">
        <f t="shared" si="64"/>
        <v>2024-12-1</v>
      </c>
      <c r="G819" t="str">
        <f t="shared" si="60"/>
        <v>ANTONIO CARLOS</v>
      </c>
      <c r="H819" t="str">
        <f t="shared" si="61"/>
        <v>VIC LOGISTICA LTDA EM RECUPERACAO JUDICIAL</v>
      </c>
      <c r="I819">
        <f t="shared" si="62"/>
        <v>0</v>
      </c>
      <c r="J819">
        <f t="shared" si="63"/>
        <v>1</v>
      </c>
    </row>
    <row r="820" spans="1:10" x14ac:dyDescent="0.25">
      <c r="A820" t="s">
        <v>326</v>
      </c>
      <c r="B820" t="s">
        <v>86</v>
      </c>
      <c r="C820" t="s">
        <v>59</v>
      </c>
      <c r="D820" s="3">
        <v>45629</v>
      </c>
      <c r="E820" t="str">
        <f>VLOOKUP(B820,'PROCV GERENTES BD'!A:B,2,0)</f>
        <v>CELIO PIMENTA</v>
      </c>
      <c r="F820" s="4" t="str">
        <f t="shared" si="64"/>
        <v>2024-12-1</v>
      </c>
      <c r="G820" t="str">
        <f t="shared" si="60"/>
        <v>CELIO PIMENTA</v>
      </c>
      <c r="H820" t="str">
        <f t="shared" si="61"/>
        <v>IMPORTEXTIL COMERCIO DE TECIDOS LTDA</v>
      </c>
      <c r="I820">
        <f t="shared" si="62"/>
        <v>0</v>
      </c>
      <c r="J820">
        <f t="shared" si="63"/>
        <v>0</v>
      </c>
    </row>
    <row r="821" spans="1:10" x14ac:dyDescent="0.25">
      <c r="A821" t="s">
        <v>318</v>
      </c>
      <c r="B821" t="s">
        <v>87</v>
      </c>
      <c r="C821" t="s">
        <v>56</v>
      </c>
      <c r="D821" s="3">
        <v>45629</v>
      </c>
      <c r="E821" t="str">
        <f>VLOOKUP(B821,'PROCV GERENTES BD'!A:B,2,0)</f>
        <v>CELIO PIMENTA</v>
      </c>
      <c r="F821" s="4" t="str">
        <f t="shared" si="64"/>
        <v>2024-12-1</v>
      </c>
      <c r="G821" t="str">
        <f t="shared" si="60"/>
        <v>CELIO PIMENTA</v>
      </c>
      <c r="H821" t="str">
        <f t="shared" si="61"/>
        <v>MBIOLOG DIAGNOSTICOS LTDA</v>
      </c>
      <c r="I821">
        <f t="shared" si="62"/>
        <v>0</v>
      </c>
      <c r="J821">
        <f t="shared" si="63"/>
        <v>1</v>
      </c>
    </row>
    <row r="822" spans="1:10" x14ac:dyDescent="0.25">
      <c r="A822" t="s">
        <v>423</v>
      </c>
      <c r="B822" t="s">
        <v>172</v>
      </c>
      <c r="C822" t="s">
        <v>72</v>
      </c>
      <c r="D822" s="3">
        <v>45629</v>
      </c>
      <c r="E822" t="str">
        <f>VLOOKUP(B822,'PROCV GERENTES BD'!A:B,2,0)</f>
        <v>FITZ</v>
      </c>
      <c r="F822" s="4" t="str">
        <f t="shared" si="64"/>
        <v>2024-12-1</v>
      </c>
      <c r="G822" t="str">
        <f t="shared" si="60"/>
        <v>FITZ</v>
      </c>
      <c r="H822" t="str">
        <f t="shared" si="61"/>
        <v>STA SERVICOS LTDA</v>
      </c>
      <c r="I822">
        <f t="shared" si="62"/>
        <v>1</v>
      </c>
      <c r="J822">
        <f t="shared" si="63"/>
        <v>0</v>
      </c>
    </row>
    <row r="823" spans="1:10" x14ac:dyDescent="0.25">
      <c r="A823" t="s">
        <v>331</v>
      </c>
      <c r="B823" t="s">
        <v>126</v>
      </c>
      <c r="C823" t="s">
        <v>56</v>
      </c>
      <c r="D823" s="3">
        <v>45629</v>
      </c>
      <c r="E823" t="str">
        <f>VLOOKUP(B823,'PROCV GERENTES BD'!A:B,2,0)</f>
        <v>FITZ</v>
      </c>
      <c r="F823" s="4" t="str">
        <f t="shared" si="64"/>
        <v>2024-12-1</v>
      </c>
      <c r="G823" t="str">
        <f t="shared" si="60"/>
        <v>FITZ</v>
      </c>
      <c r="H823" t="str">
        <f t="shared" si="61"/>
        <v>TRANSHENRY TRANSPORTES LTDA</v>
      </c>
      <c r="I823">
        <f t="shared" si="62"/>
        <v>0</v>
      </c>
      <c r="J823">
        <f t="shared" si="63"/>
        <v>1</v>
      </c>
    </row>
    <row r="824" spans="1:10" x14ac:dyDescent="0.25">
      <c r="A824" t="s">
        <v>330</v>
      </c>
      <c r="B824" t="s">
        <v>116</v>
      </c>
      <c r="C824" t="s">
        <v>72</v>
      </c>
      <c r="D824" s="3">
        <v>45629</v>
      </c>
      <c r="E824" t="str">
        <f>VLOOKUP(B824,'PROCV GERENTES BD'!A:B,2,0)</f>
        <v>FITZ</v>
      </c>
      <c r="F824" s="4" t="str">
        <f t="shared" si="64"/>
        <v>2024-12-1</v>
      </c>
      <c r="G824" t="str">
        <f t="shared" si="60"/>
        <v>FITZ</v>
      </c>
      <c r="H824" t="str">
        <f t="shared" si="61"/>
        <v>SIAP COMERCIO DE PRODUTOS AGROPECUARIOS LTDA</v>
      </c>
      <c r="I824">
        <f t="shared" si="62"/>
        <v>1</v>
      </c>
      <c r="J824">
        <f t="shared" si="63"/>
        <v>0</v>
      </c>
    </row>
    <row r="825" spans="1:10" x14ac:dyDescent="0.25">
      <c r="A825" t="s">
        <v>403</v>
      </c>
      <c r="B825" t="s">
        <v>152</v>
      </c>
      <c r="C825" t="s">
        <v>72</v>
      </c>
      <c r="D825" s="3">
        <v>45629</v>
      </c>
      <c r="E825" t="str">
        <f>VLOOKUP(B825,'PROCV GERENTES BD'!A:B,2,0)</f>
        <v>MARCIO LEONEL</v>
      </c>
      <c r="F825" s="4" t="str">
        <f t="shared" si="64"/>
        <v>2024-12-1</v>
      </c>
      <c r="G825" t="str">
        <f t="shared" si="60"/>
        <v>MARCIO LEONEL</v>
      </c>
      <c r="H825" t="str">
        <f t="shared" si="61"/>
        <v>MEDICAL PRIME IMP EXPORT DISTRIB PRODUTOS MEDICOS</v>
      </c>
      <c r="I825">
        <f t="shared" si="62"/>
        <v>1</v>
      </c>
      <c r="J825">
        <f t="shared" si="63"/>
        <v>0</v>
      </c>
    </row>
    <row r="826" spans="1:10" x14ac:dyDescent="0.25">
      <c r="A826" t="s">
        <v>436</v>
      </c>
      <c r="B826" t="s">
        <v>186</v>
      </c>
      <c r="C826" t="s">
        <v>56</v>
      </c>
      <c r="D826" s="3">
        <v>45629</v>
      </c>
      <c r="E826" t="str">
        <f>VLOOKUP(B826,'PROCV GERENTES BD'!A:B,2,0)</f>
        <v xml:space="preserve">MARCUS VINICIUS </v>
      </c>
      <c r="F826" s="4" t="str">
        <f t="shared" si="64"/>
        <v>2024-12-1</v>
      </c>
      <c r="G826" t="str">
        <f t="shared" si="60"/>
        <v xml:space="preserve">MARCUS VINICIUS </v>
      </c>
      <c r="H826" t="str">
        <f t="shared" si="61"/>
        <v>LABOR ELETRIC INDUSTRIA E COMERCIO UNIPESSOAL LTDA</v>
      </c>
      <c r="I826">
        <f t="shared" si="62"/>
        <v>0</v>
      </c>
      <c r="J826">
        <f t="shared" si="63"/>
        <v>1</v>
      </c>
    </row>
    <row r="827" spans="1:10" x14ac:dyDescent="0.25">
      <c r="A827" t="s">
        <v>427</v>
      </c>
      <c r="B827" t="s">
        <v>176</v>
      </c>
      <c r="C827" t="s">
        <v>56</v>
      </c>
      <c r="D827" s="3">
        <v>45629</v>
      </c>
      <c r="E827" t="str">
        <f>VLOOKUP(B827,'PROCV GERENTES BD'!A:B,2,0)</f>
        <v>NOELI SALETE</v>
      </c>
      <c r="F827" s="4" t="str">
        <f t="shared" si="64"/>
        <v>2024-12-1</v>
      </c>
      <c r="G827" t="str">
        <f t="shared" si="60"/>
        <v>NOELI SALETE</v>
      </c>
      <c r="H827" t="str">
        <f t="shared" si="61"/>
        <v>GLOBAL ACO SERVICOS E PRODUTOS SIDERURGICOS LTDA E</v>
      </c>
      <c r="I827">
        <f t="shared" si="62"/>
        <v>0</v>
      </c>
      <c r="J827">
        <f t="shared" si="63"/>
        <v>1</v>
      </c>
    </row>
    <row r="828" spans="1:10" x14ac:dyDescent="0.25">
      <c r="A828" t="s">
        <v>402</v>
      </c>
      <c r="B828" t="s">
        <v>150</v>
      </c>
      <c r="C828" t="s">
        <v>56</v>
      </c>
      <c r="D828" s="3">
        <v>45629</v>
      </c>
      <c r="E828" t="str">
        <f>VLOOKUP(B828,'PROCV GERENTES BD'!A:B,2,0)</f>
        <v>NOELI SALETE</v>
      </c>
      <c r="F828" s="4" t="str">
        <f t="shared" si="64"/>
        <v>2024-12-1</v>
      </c>
      <c r="G828" t="str">
        <f t="shared" si="60"/>
        <v>NOELI SALETE</v>
      </c>
      <c r="H828" t="str">
        <f t="shared" si="61"/>
        <v>ALBERTO H DA SILVA ME</v>
      </c>
      <c r="I828">
        <f t="shared" si="62"/>
        <v>0</v>
      </c>
      <c r="J828">
        <f t="shared" si="63"/>
        <v>1</v>
      </c>
    </row>
    <row r="829" spans="1:10" x14ac:dyDescent="0.25">
      <c r="A829" t="s">
        <v>408</v>
      </c>
      <c r="B829" t="s">
        <v>157</v>
      </c>
      <c r="C829" t="s">
        <v>56</v>
      </c>
      <c r="D829" s="3">
        <v>45629</v>
      </c>
      <c r="E829" t="str">
        <f>VLOOKUP(B829,'PROCV GERENTES BD'!A:B,2,0)</f>
        <v>NOELI SALETE</v>
      </c>
      <c r="F829" s="4" t="str">
        <f t="shared" si="64"/>
        <v>2024-12-1</v>
      </c>
      <c r="G829" t="str">
        <f t="shared" si="60"/>
        <v>NOELI SALETE</v>
      </c>
      <c r="H829" t="str">
        <f t="shared" si="61"/>
        <v>POOLMAK SISTEMAS ESTRUTURAIS LTDA</v>
      </c>
      <c r="I829">
        <f t="shared" si="62"/>
        <v>0</v>
      </c>
      <c r="J829">
        <f t="shared" si="63"/>
        <v>1</v>
      </c>
    </row>
    <row r="830" spans="1:10" x14ac:dyDescent="0.25">
      <c r="A830" t="s">
        <v>397</v>
      </c>
      <c r="B830" t="s">
        <v>143</v>
      </c>
      <c r="C830" t="s">
        <v>72</v>
      </c>
      <c r="D830" s="3">
        <v>45629</v>
      </c>
      <c r="E830" t="str">
        <f>VLOOKUP(B830,'PROCV GERENTES BD'!A:B,2,0)</f>
        <v>POENATELA</v>
      </c>
      <c r="F830" s="4" t="str">
        <f t="shared" si="64"/>
        <v>2024-12-1</v>
      </c>
      <c r="G830" t="str">
        <f t="shared" si="60"/>
        <v>POENATELA</v>
      </c>
      <c r="H830" t="str">
        <f t="shared" si="61"/>
        <v>CONQUISTA INDUSTRIA DE MOVEIS S/A</v>
      </c>
      <c r="I830">
        <f t="shared" si="62"/>
        <v>1</v>
      </c>
      <c r="J830">
        <f t="shared" si="63"/>
        <v>0</v>
      </c>
    </row>
    <row r="831" spans="1:10" x14ac:dyDescent="0.25">
      <c r="A831" t="s">
        <v>354</v>
      </c>
      <c r="B831" t="s">
        <v>97</v>
      </c>
      <c r="C831" t="s">
        <v>56</v>
      </c>
      <c r="D831" s="3">
        <v>45629</v>
      </c>
      <c r="E831" t="str">
        <f>VLOOKUP(B831,'PROCV GERENTES BD'!A:B,2,0)</f>
        <v>POENATELA</v>
      </c>
      <c r="F831" s="4" t="str">
        <f t="shared" si="64"/>
        <v>2024-12-1</v>
      </c>
      <c r="G831" t="str">
        <f t="shared" si="60"/>
        <v>POENATELA</v>
      </c>
      <c r="H831" t="str">
        <f t="shared" si="61"/>
        <v>UBERTEC SERVICE USINAGEM LTDA EPP</v>
      </c>
      <c r="I831">
        <f t="shared" si="62"/>
        <v>0</v>
      </c>
      <c r="J831">
        <f t="shared" si="63"/>
        <v>1</v>
      </c>
    </row>
    <row r="832" spans="1:10" x14ac:dyDescent="0.25">
      <c r="A832" t="s">
        <v>406</v>
      </c>
      <c r="B832" t="s">
        <v>155</v>
      </c>
      <c r="C832" t="s">
        <v>56</v>
      </c>
      <c r="D832" s="3">
        <v>45629</v>
      </c>
      <c r="E832" t="str">
        <f>VLOOKUP(B832,'PROCV GERENTES BD'!A:B,2,0)</f>
        <v>PRISCILA METZ</v>
      </c>
      <c r="F832" s="4" t="str">
        <f t="shared" si="64"/>
        <v>2024-12-1</v>
      </c>
      <c r="G832" t="str">
        <f t="shared" si="60"/>
        <v>PRISCILA METZ</v>
      </c>
      <c r="H832" t="str">
        <f t="shared" si="61"/>
        <v>JF GOLD DISTRIBUIDORA LTDA EPP</v>
      </c>
      <c r="I832">
        <f t="shared" si="62"/>
        <v>0</v>
      </c>
      <c r="J832">
        <f t="shared" si="63"/>
        <v>1</v>
      </c>
    </row>
    <row r="833" spans="1:10" x14ac:dyDescent="0.25">
      <c r="A833" t="s">
        <v>384</v>
      </c>
      <c r="B833" t="s">
        <v>128</v>
      </c>
      <c r="C833" t="s">
        <v>56</v>
      </c>
      <c r="D833" s="3">
        <v>45629</v>
      </c>
      <c r="E833" t="str">
        <f>VLOOKUP(B833,'PROCV GERENTES BD'!A:B,2,0)</f>
        <v>PRISCILA METZ</v>
      </c>
      <c r="F833" s="4" t="str">
        <f t="shared" si="64"/>
        <v>2024-12-1</v>
      </c>
      <c r="G833" t="str">
        <f t="shared" si="60"/>
        <v>PRISCILA METZ</v>
      </c>
      <c r="H833" t="str">
        <f t="shared" si="61"/>
        <v>NOVA DISTRIBUIDORA E ATACADO DE LIMPEZA LTDA</v>
      </c>
      <c r="I833">
        <f t="shared" si="62"/>
        <v>0</v>
      </c>
      <c r="J833">
        <f t="shared" si="63"/>
        <v>1</v>
      </c>
    </row>
    <row r="834" spans="1:10" x14ac:dyDescent="0.25">
      <c r="A834" t="s">
        <v>437</v>
      </c>
      <c r="B834" t="s">
        <v>187</v>
      </c>
      <c r="C834" t="s">
        <v>56</v>
      </c>
      <c r="D834" s="3">
        <v>45629</v>
      </c>
      <c r="E834" t="s">
        <v>25</v>
      </c>
      <c r="F834" s="4" t="str">
        <f t="shared" si="64"/>
        <v>2024-12-1</v>
      </c>
      <c r="G834" t="str">
        <f t="shared" ref="G834:G897" si="65">E834</f>
        <v xml:space="preserve">ROGERIO </v>
      </c>
      <c r="H834" t="str">
        <f t="shared" ref="H834:H897" si="66">B834</f>
        <v>ENCADESP LTDA ME</v>
      </c>
      <c r="I834">
        <f t="shared" ref="I834:I897" si="67">IF(C834="EXCLUSAO  ANOT.INADIMPLENCIA",1,0)</f>
        <v>0</v>
      </c>
      <c r="J834">
        <f t="shared" ref="J834:J897" si="68">IF(C834="INCLUSAO  ANOT.INADIMPLENCIA",1,0)</f>
        <v>1</v>
      </c>
    </row>
    <row r="835" spans="1:10" x14ac:dyDescent="0.25">
      <c r="A835" t="s">
        <v>339</v>
      </c>
      <c r="B835" t="s">
        <v>151</v>
      </c>
      <c r="C835" t="s">
        <v>56</v>
      </c>
      <c r="D835" s="3">
        <v>45630</v>
      </c>
      <c r="E835" t="str">
        <f>VLOOKUP(B835,'PROCV GERENTES BD'!A:B,2,0)</f>
        <v>ADMINISTRAÇÃO</v>
      </c>
      <c r="F835" s="4" t="str">
        <f t="shared" ref="F835:F898" si="69">YEAR(D835)&amp;"-"&amp;TEXT(MONTH(D835),"00")&amp;"-"&amp;IF(DAY(D835)&lt;=15,"1",IF(DAY(D835)&gt;15,"2",""))</f>
        <v>2024-12-1</v>
      </c>
      <c r="G835" t="str">
        <f t="shared" si="65"/>
        <v>ADMINISTRAÇÃO</v>
      </c>
      <c r="H835" t="str">
        <f t="shared" si="66"/>
        <v>BOM PASTOR PAPEIS LTDA EM RECUPERACAO JUDICIAL</v>
      </c>
      <c r="I835">
        <f t="shared" si="67"/>
        <v>0</v>
      </c>
      <c r="J835">
        <f t="shared" si="68"/>
        <v>1</v>
      </c>
    </row>
    <row r="836" spans="1:10" x14ac:dyDescent="0.25">
      <c r="A836" t="s">
        <v>390</v>
      </c>
      <c r="B836" t="s">
        <v>136</v>
      </c>
      <c r="C836" t="s">
        <v>56</v>
      </c>
      <c r="D836" s="3">
        <v>45630</v>
      </c>
      <c r="E836" t="str">
        <f>VLOOKUP(B836,'PROCV GERENTES BD'!A:B,2,0)</f>
        <v>ADMINISTRAÇÃO</v>
      </c>
      <c r="F836" s="4" t="str">
        <f t="shared" si="69"/>
        <v>2024-12-1</v>
      </c>
      <c r="G836" t="str">
        <f t="shared" si="65"/>
        <v>ADMINISTRAÇÃO</v>
      </c>
      <c r="H836" t="str">
        <f t="shared" si="66"/>
        <v>XEQUE MATE BEBIDAS LTDA ME</v>
      </c>
      <c r="I836">
        <f t="shared" si="67"/>
        <v>0</v>
      </c>
      <c r="J836">
        <f t="shared" si="68"/>
        <v>1</v>
      </c>
    </row>
    <row r="837" spans="1:10" x14ac:dyDescent="0.25">
      <c r="A837" t="s">
        <v>380</v>
      </c>
      <c r="B837" t="s">
        <v>123</v>
      </c>
      <c r="C837" t="s">
        <v>56</v>
      </c>
      <c r="D837" s="3">
        <v>45630</v>
      </c>
      <c r="E837" t="str">
        <f>VLOOKUP(B837,'PROCV GERENTES BD'!A:B,2,0)</f>
        <v>ANTONIO CARLOS</v>
      </c>
      <c r="F837" s="4" t="str">
        <f t="shared" si="69"/>
        <v>2024-12-1</v>
      </c>
      <c r="G837" t="str">
        <f t="shared" si="65"/>
        <v>ANTONIO CARLOS</v>
      </c>
      <c r="H837" t="str">
        <f t="shared" si="66"/>
        <v>PREMOLDADOS MATOSINHOS LTDA EPP</v>
      </c>
      <c r="I837">
        <f t="shared" si="67"/>
        <v>0</v>
      </c>
      <c r="J837">
        <f t="shared" si="68"/>
        <v>1</v>
      </c>
    </row>
    <row r="838" spans="1:10" x14ac:dyDescent="0.25">
      <c r="A838" t="s">
        <v>311</v>
      </c>
      <c r="B838" t="s">
        <v>130</v>
      </c>
      <c r="C838" t="s">
        <v>56</v>
      </c>
      <c r="D838" s="3">
        <v>45630</v>
      </c>
      <c r="E838" t="str">
        <f>VLOOKUP(B838,'PROCV GERENTES BD'!A:B,2,0)</f>
        <v>ANTONIO CARLOS</v>
      </c>
      <c r="F838" s="4" t="str">
        <f t="shared" si="69"/>
        <v>2024-12-1</v>
      </c>
      <c r="G838" t="str">
        <f t="shared" si="65"/>
        <v>ANTONIO CARLOS</v>
      </c>
      <c r="H838" t="str">
        <f t="shared" si="66"/>
        <v>VIC LOGISTICA LTDA EM RECUPERACAO JUDICIAL</v>
      </c>
      <c r="I838">
        <f t="shared" si="67"/>
        <v>0</v>
      </c>
      <c r="J838">
        <f t="shared" si="68"/>
        <v>1</v>
      </c>
    </row>
    <row r="839" spans="1:10" x14ac:dyDescent="0.25">
      <c r="A839" t="s">
        <v>326</v>
      </c>
      <c r="B839" t="s">
        <v>86</v>
      </c>
      <c r="C839" t="s">
        <v>59</v>
      </c>
      <c r="D839" s="3">
        <v>45630</v>
      </c>
      <c r="E839" t="str">
        <f>VLOOKUP(B839,'PROCV GERENTES BD'!A:B,2,0)</f>
        <v>CELIO PIMENTA</v>
      </c>
      <c r="F839" s="4" t="str">
        <f t="shared" si="69"/>
        <v>2024-12-1</v>
      </c>
      <c r="G839" t="str">
        <f t="shared" si="65"/>
        <v>CELIO PIMENTA</v>
      </c>
      <c r="H839" t="str">
        <f t="shared" si="66"/>
        <v>IMPORTEXTIL COMERCIO DE TECIDOS LTDA</v>
      </c>
      <c r="I839">
        <f t="shared" si="67"/>
        <v>0</v>
      </c>
      <c r="J839">
        <f t="shared" si="68"/>
        <v>0</v>
      </c>
    </row>
    <row r="840" spans="1:10" x14ac:dyDescent="0.25">
      <c r="A840" t="s">
        <v>331</v>
      </c>
      <c r="B840" t="s">
        <v>126</v>
      </c>
      <c r="C840" t="s">
        <v>72</v>
      </c>
      <c r="D840" s="3">
        <v>45630</v>
      </c>
      <c r="E840" t="str">
        <f>VLOOKUP(B840,'PROCV GERENTES BD'!A:B,2,0)</f>
        <v>FITZ</v>
      </c>
      <c r="F840" s="4" t="str">
        <f t="shared" si="69"/>
        <v>2024-12-1</v>
      </c>
      <c r="G840" t="str">
        <f t="shared" si="65"/>
        <v>FITZ</v>
      </c>
      <c r="H840" t="str">
        <f t="shared" si="66"/>
        <v>TRANSHENRY TRANSPORTES LTDA</v>
      </c>
      <c r="I840">
        <f t="shared" si="67"/>
        <v>1</v>
      </c>
      <c r="J840">
        <f t="shared" si="68"/>
        <v>0</v>
      </c>
    </row>
    <row r="841" spans="1:10" x14ac:dyDescent="0.25">
      <c r="A841" t="s">
        <v>436</v>
      </c>
      <c r="B841" t="s">
        <v>186</v>
      </c>
      <c r="C841" t="s">
        <v>59</v>
      </c>
      <c r="D841" s="3">
        <v>45630</v>
      </c>
      <c r="E841" t="str">
        <f>VLOOKUP(B841,'PROCV GERENTES BD'!A:B,2,0)</f>
        <v xml:space="preserve">MARCUS VINICIUS </v>
      </c>
      <c r="F841" s="4" t="str">
        <f t="shared" si="69"/>
        <v>2024-12-1</v>
      </c>
      <c r="G841" t="str">
        <f t="shared" si="65"/>
        <v xml:space="preserve">MARCUS VINICIUS </v>
      </c>
      <c r="H841" t="str">
        <f t="shared" si="66"/>
        <v>LABOR ELETRIC INDUSTRIA E COMERCIO UNIPESSOAL LTDA</v>
      </c>
      <c r="I841">
        <f t="shared" si="67"/>
        <v>0</v>
      </c>
      <c r="J841">
        <f t="shared" si="68"/>
        <v>0</v>
      </c>
    </row>
    <row r="842" spans="1:10" x14ac:dyDescent="0.25">
      <c r="A842" t="s">
        <v>430</v>
      </c>
      <c r="B842" t="s">
        <v>180</v>
      </c>
      <c r="C842" t="s">
        <v>56</v>
      </c>
      <c r="D842" s="3">
        <v>45630</v>
      </c>
      <c r="E842" t="str">
        <f>VLOOKUP(B842,'PROCV GERENTES BD'!A:B,2,0)</f>
        <v>NOELI SALETE</v>
      </c>
      <c r="F842" s="4" t="str">
        <f t="shared" si="69"/>
        <v>2024-12-1</v>
      </c>
      <c r="G842" t="str">
        <f t="shared" si="65"/>
        <v>NOELI SALETE</v>
      </c>
      <c r="H842" t="str">
        <f t="shared" si="66"/>
        <v>COMGROUP AGROINDUSTRIAL LTDA</v>
      </c>
      <c r="I842">
        <f t="shared" si="67"/>
        <v>0</v>
      </c>
      <c r="J842">
        <f t="shared" si="68"/>
        <v>1</v>
      </c>
    </row>
    <row r="843" spans="1:10" x14ac:dyDescent="0.25">
      <c r="A843" t="s">
        <v>427</v>
      </c>
      <c r="B843" t="s">
        <v>176</v>
      </c>
      <c r="C843" t="s">
        <v>56</v>
      </c>
      <c r="D843" s="3">
        <v>45630</v>
      </c>
      <c r="E843" t="str">
        <f>VLOOKUP(B843,'PROCV GERENTES BD'!A:B,2,0)</f>
        <v>NOELI SALETE</v>
      </c>
      <c r="F843" s="4" t="str">
        <f t="shared" si="69"/>
        <v>2024-12-1</v>
      </c>
      <c r="G843" t="str">
        <f t="shared" si="65"/>
        <v>NOELI SALETE</v>
      </c>
      <c r="H843" t="str">
        <f t="shared" si="66"/>
        <v>GLOBAL ACO SERVICOS E PRODUTOS SIDERURGICOS LTDA E</v>
      </c>
      <c r="I843">
        <f t="shared" si="67"/>
        <v>0</v>
      </c>
      <c r="J843">
        <f t="shared" si="68"/>
        <v>1</v>
      </c>
    </row>
    <row r="844" spans="1:10" x14ac:dyDescent="0.25">
      <c r="A844" t="s">
        <v>347</v>
      </c>
      <c r="B844" t="s">
        <v>93</v>
      </c>
      <c r="C844" t="s">
        <v>56</v>
      </c>
      <c r="D844" s="3">
        <v>45630</v>
      </c>
      <c r="E844" t="str">
        <f>VLOOKUP(B844,'PROCV GERENTES BD'!A:B,2,0)</f>
        <v>NOELI SALETE</v>
      </c>
      <c r="F844" s="4" t="str">
        <f t="shared" si="69"/>
        <v>2024-12-1</v>
      </c>
      <c r="G844" t="str">
        <f t="shared" si="65"/>
        <v>NOELI SALETE</v>
      </c>
      <c r="H844" t="str">
        <f t="shared" si="66"/>
        <v>RODOBOX TRANSPORTES E ARMAZENAGEM DE CARGAS LTDA</v>
      </c>
      <c r="I844">
        <f t="shared" si="67"/>
        <v>0</v>
      </c>
      <c r="J844">
        <f t="shared" si="68"/>
        <v>1</v>
      </c>
    </row>
    <row r="845" spans="1:10" x14ac:dyDescent="0.25">
      <c r="A845" t="s">
        <v>402</v>
      </c>
      <c r="B845" t="s">
        <v>150</v>
      </c>
      <c r="C845" t="s">
        <v>56</v>
      </c>
      <c r="D845" s="3">
        <v>45630</v>
      </c>
      <c r="E845" t="str">
        <f>VLOOKUP(B845,'PROCV GERENTES BD'!A:B,2,0)</f>
        <v>NOELI SALETE</v>
      </c>
      <c r="F845" s="4" t="str">
        <f t="shared" si="69"/>
        <v>2024-12-1</v>
      </c>
      <c r="G845" t="str">
        <f t="shared" si="65"/>
        <v>NOELI SALETE</v>
      </c>
      <c r="H845" t="str">
        <f t="shared" si="66"/>
        <v>ALBERTO H DA SILVA ME</v>
      </c>
      <c r="I845">
        <f t="shared" si="67"/>
        <v>0</v>
      </c>
      <c r="J845">
        <f t="shared" si="68"/>
        <v>1</v>
      </c>
    </row>
    <row r="846" spans="1:10" x14ac:dyDescent="0.25">
      <c r="A846" t="s">
        <v>397</v>
      </c>
      <c r="B846" t="s">
        <v>143</v>
      </c>
      <c r="C846" t="s">
        <v>59</v>
      </c>
      <c r="D846" s="3">
        <v>45630</v>
      </c>
      <c r="E846" t="str">
        <f>VLOOKUP(B846,'PROCV GERENTES BD'!A:B,2,0)</f>
        <v>POENATELA</v>
      </c>
      <c r="F846" s="4" t="str">
        <f t="shared" si="69"/>
        <v>2024-12-1</v>
      </c>
      <c r="G846" t="str">
        <f t="shared" si="65"/>
        <v>POENATELA</v>
      </c>
      <c r="H846" t="str">
        <f t="shared" si="66"/>
        <v>CONQUISTA INDUSTRIA DE MOVEIS S/A</v>
      </c>
      <c r="I846">
        <f t="shared" si="67"/>
        <v>0</v>
      </c>
      <c r="J846">
        <f t="shared" si="68"/>
        <v>0</v>
      </c>
    </row>
    <row r="847" spans="1:10" x14ac:dyDescent="0.25">
      <c r="A847" t="s">
        <v>425</v>
      </c>
      <c r="B847" t="s">
        <v>174</v>
      </c>
      <c r="C847" t="s">
        <v>56</v>
      </c>
      <c r="D847" s="3">
        <v>45630</v>
      </c>
      <c r="E847" t="str">
        <f>VLOOKUP(B847,'PROCV GERENTES BD'!A:B,2,0)</f>
        <v>POENATELA</v>
      </c>
      <c r="F847" s="4" t="str">
        <f t="shared" si="69"/>
        <v>2024-12-1</v>
      </c>
      <c r="G847" t="str">
        <f t="shared" si="65"/>
        <v>POENATELA</v>
      </c>
      <c r="H847" t="str">
        <f t="shared" si="66"/>
        <v>DETRONIC ENERGIA E SERVICOS LTDA</v>
      </c>
      <c r="I847">
        <f t="shared" si="67"/>
        <v>0</v>
      </c>
      <c r="J847">
        <f t="shared" si="68"/>
        <v>1</v>
      </c>
    </row>
    <row r="848" spans="1:10" x14ac:dyDescent="0.25">
      <c r="A848" t="s">
        <v>354</v>
      </c>
      <c r="B848" t="s">
        <v>97</v>
      </c>
      <c r="C848" t="s">
        <v>56</v>
      </c>
      <c r="D848" s="3">
        <v>45630</v>
      </c>
      <c r="E848" t="str">
        <f>VLOOKUP(B848,'PROCV GERENTES BD'!A:B,2,0)</f>
        <v>POENATELA</v>
      </c>
      <c r="F848" s="4" t="str">
        <f t="shared" si="69"/>
        <v>2024-12-1</v>
      </c>
      <c r="G848" t="str">
        <f t="shared" si="65"/>
        <v>POENATELA</v>
      </c>
      <c r="H848" t="str">
        <f t="shared" si="66"/>
        <v>UBERTEC SERVICE USINAGEM LTDA EPP</v>
      </c>
      <c r="I848">
        <f t="shared" si="67"/>
        <v>0</v>
      </c>
      <c r="J848">
        <f t="shared" si="68"/>
        <v>1</v>
      </c>
    </row>
    <row r="849" spans="1:10" x14ac:dyDescent="0.25">
      <c r="A849" t="s">
        <v>361</v>
      </c>
      <c r="B849" t="s">
        <v>103</v>
      </c>
      <c r="C849" t="s">
        <v>72</v>
      </c>
      <c r="D849" s="3">
        <v>45630</v>
      </c>
      <c r="E849" t="str">
        <f>VLOOKUP(B849,'PROCV GERENTES BD'!A:B,2,0)</f>
        <v>PRISCILA METZ</v>
      </c>
      <c r="F849" s="4" t="str">
        <f t="shared" si="69"/>
        <v>2024-12-1</v>
      </c>
      <c r="G849" t="str">
        <f t="shared" si="65"/>
        <v>PRISCILA METZ</v>
      </c>
      <c r="H849" t="str">
        <f t="shared" si="66"/>
        <v>ESSENZA INDUSTRIA QUIMICA LTDA</v>
      </c>
      <c r="I849">
        <f t="shared" si="67"/>
        <v>1</v>
      </c>
      <c r="J849">
        <f t="shared" si="68"/>
        <v>0</v>
      </c>
    </row>
    <row r="850" spans="1:10" x14ac:dyDescent="0.25">
      <c r="A850" t="s">
        <v>441</v>
      </c>
      <c r="B850" t="s">
        <v>191</v>
      </c>
      <c r="C850" t="s">
        <v>56</v>
      </c>
      <c r="D850" s="3">
        <v>45630</v>
      </c>
      <c r="E850" t="str">
        <f>VLOOKUP(B850,'PROCV GERENTES BD'!A:B,2,0)</f>
        <v>PRISCILA METZ</v>
      </c>
      <c r="F850" s="4" t="str">
        <f t="shared" si="69"/>
        <v>2024-12-1</v>
      </c>
      <c r="G850" t="str">
        <f t="shared" si="65"/>
        <v>PRISCILA METZ</v>
      </c>
      <c r="H850" t="str">
        <f t="shared" si="66"/>
        <v>FRANZAO COLCHOES LTDA EPP</v>
      </c>
      <c r="I850">
        <f t="shared" si="67"/>
        <v>0</v>
      </c>
      <c r="J850">
        <f t="shared" si="68"/>
        <v>1</v>
      </c>
    </row>
    <row r="851" spans="1:10" x14ac:dyDescent="0.25">
      <c r="A851" t="s">
        <v>384</v>
      </c>
      <c r="B851" t="s">
        <v>128</v>
      </c>
      <c r="C851" t="s">
        <v>56</v>
      </c>
      <c r="D851" s="3">
        <v>45630</v>
      </c>
      <c r="E851" t="str">
        <f>VLOOKUP(B851,'PROCV GERENTES BD'!A:B,2,0)</f>
        <v>PRISCILA METZ</v>
      </c>
      <c r="F851" s="4" t="str">
        <f t="shared" si="69"/>
        <v>2024-12-1</v>
      </c>
      <c r="G851" t="str">
        <f t="shared" si="65"/>
        <v>PRISCILA METZ</v>
      </c>
      <c r="H851" t="str">
        <f t="shared" si="66"/>
        <v>NOVA DISTRIBUIDORA E ATACADO DE LIMPEZA LTDA</v>
      </c>
      <c r="I851">
        <f t="shared" si="67"/>
        <v>0</v>
      </c>
      <c r="J851">
        <f t="shared" si="68"/>
        <v>1</v>
      </c>
    </row>
    <row r="852" spans="1:10" x14ac:dyDescent="0.25">
      <c r="A852" t="s">
        <v>439</v>
      </c>
      <c r="B852" t="s">
        <v>189</v>
      </c>
      <c r="C852" t="s">
        <v>72</v>
      </c>
      <c r="D852" s="3">
        <v>45630</v>
      </c>
      <c r="E852" t="s">
        <v>25</v>
      </c>
      <c r="F852" s="4" t="str">
        <f t="shared" si="69"/>
        <v>2024-12-1</v>
      </c>
      <c r="G852" t="str">
        <f t="shared" si="65"/>
        <v xml:space="preserve">ROGERIO </v>
      </c>
      <c r="H852" t="str">
        <f t="shared" si="66"/>
        <v>GRF JEANS WEAR LTDA ME</v>
      </c>
      <c r="I852">
        <f t="shared" si="67"/>
        <v>1</v>
      </c>
      <c r="J852">
        <f t="shared" si="68"/>
        <v>0</v>
      </c>
    </row>
    <row r="853" spans="1:10" x14ac:dyDescent="0.25">
      <c r="A853" t="s">
        <v>390</v>
      </c>
      <c r="B853" t="s">
        <v>136</v>
      </c>
      <c r="C853" t="s">
        <v>72</v>
      </c>
      <c r="D853" s="3">
        <v>45631</v>
      </c>
      <c r="E853" t="str">
        <f>VLOOKUP(B853,'PROCV GERENTES BD'!A:B,2,0)</f>
        <v>ADMINISTRAÇÃO</v>
      </c>
      <c r="F853" s="4" t="str">
        <f t="shared" si="69"/>
        <v>2024-12-1</v>
      </c>
      <c r="G853" t="str">
        <f t="shared" si="65"/>
        <v>ADMINISTRAÇÃO</v>
      </c>
      <c r="H853" t="str">
        <f t="shared" si="66"/>
        <v>XEQUE MATE BEBIDAS LTDA ME</v>
      </c>
      <c r="I853">
        <f t="shared" si="67"/>
        <v>1</v>
      </c>
      <c r="J853">
        <f t="shared" si="68"/>
        <v>0</v>
      </c>
    </row>
    <row r="854" spans="1:10" x14ac:dyDescent="0.25">
      <c r="A854" t="s">
        <v>311</v>
      </c>
      <c r="B854" t="s">
        <v>130</v>
      </c>
      <c r="C854" t="s">
        <v>72</v>
      </c>
      <c r="D854" s="3">
        <v>45631</v>
      </c>
      <c r="E854" t="str">
        <f>VLOOKUP(B854,'PROCV GERENTES BD'!A:B,2,0)</f>
        <v>ANTONIO CARLOS</v>
      </c>
      <c r="F854" s="4" t="str">
        <f t="shared" si="69"/>
        <v>2024-12-1</v>
      </c>
      <c r="G854" t="str">
        <f t="shared" si="65"/>
        <v>ANTONIO CARLOS</v>
      </c>
      <c r="H854" t="str">
        <f t="shared" si="66"/>
        <v>VIC LOGISTICA LTDA EM RECUPERACAO JUDICIAL</v>
      </c>
      <c r="I854">
        <f t="shared" si="67"/>
        <v>1</v>
      </c>
      <c r="J854">
        <f t="shared" si="68"/>
        <v>0</v>
      </c>
    </row>
    <row r="855" spans="1:10" x14ac:dyDescent="0.25">
      <c r="A855" t="s">
        <v>326</v>
      </c>
      <c r="B855" t="s">
        <v>86</v>
      </c>
      <c r="C855" t="s">
        <v>59</v>
      </c>
      <c r="D855" s="3">
        <v>45631</v>
      </c>
      <c r="E855" t="str">
        <f>VLOOKUP(B855,'PROCV GERENTES BD'!A:B,2,0)</f>
        <v>CELIO PIMENTA</v>
      </c>
      <c r="F855" s="4" t="str">
        <f t="shared" si="69"/>
        <v>2024-12-1</v>
      </c>
      <c r="G855" t="str">
        <f t="shared" si="65"/>
        <v>CELIO PIMENTA</v>
      </c>
      <c r="H855" t="str">
        <f t="shared" si="66"/>
        <v>IMPORTEXTIL COMERCIO DE TECIDOS LTDA</v>
      </c>
      <c r="I855">
        <f t="shared" si="67"/>
        <v>0</v>
      </c>
      <c r="J855">
        <f t="shared" si="68"/>
        <v>0</v>
      </c>
    </row>
    <row r="856" spans="1:10" x14ac:dyDescent="0.25">
      <c r="A856" t="s">
        <v>318</v>
      </c>
      <c r="B856" t="s">
        <v>87</v>
      </c>
      <c r="C856" t="s">
        <v>72</v>
      </c>
      <c r="D856" s="3">
        <v>45631</v>
      </c>
      <c r="E856" t="str">
        <f>VLOOKUP(B856,'PROCV GERENTES BD'!A:B,2,0)</f>
        <v>CELIO PIMENTA</v>
      </c>
      <c r="F856" s="4" t="str">
        <f t="shared" si="69"/>
        <v>2024-12-1</v>
      </c>
      <c r="G856" t="str">
        <f t="shared" si="65"/>
        <v>CELIO PIMENTA</v>
      </c>
      <c r="H856" t="str">
        <f t="shared" si="66"/>
        <v>MBIOLOG DIAGNOSTICOS LTDA</v>
      </c>
      <c r="I856">
        <f t="shared" si="67"/>
        <v>1</v>
      </c>
      <c r="J856">
        <f t="shared" si="68"/>
        <v>0</v>
      </c>
    </row>
    <row r="857" spans="1:10" x14ac:dyDescent="0.25">
      <c r="A857" t="s">
        <v>331</v>
      </c>
      <c r="B857" t="s">
        <v>126</v>
      </c>
      <c r="C857" t="s">
        <v>56</v>
      </c>
      <c r="D857" s="3">
        <v>45631</v>
      </c>
      <c r="E857" t="str">
        <f>VLOOKUP(B857,'PROCV GERENTES BD'!A:B,2,0)</f>
        <v>FITZ</v>
      </c>
      <c r="F857" s="4" t="str">
        <f t="shared" si="69"/>
        <v>2024-12-1</v>
      </c>
      <c r="G857" t="str">
        <f t="shared" si="65"/>
        <v>FITZ</v>
      </c>
      <c r="H857" t="str">
        <f t="shared" si="66"/>
        <v>TRANSHENRY TRANSPORTES LTDA</v>
      </c>
      <c r="I857">
        <f t="shared" si="67"/>
        <v>0</v>
      </c>
      <c r="J857">
        <f t="shared" si="68"/>
        <v>1</v>
      </c>
    </row>
    <row r="858" spans="1:10" x14ac:dyDescent="0.25">
      <c r="A858" t="s">
        <v>330</v>
      </c>
      <c r="B858" t="s">
        <v>116</v>
      </c>
      <c r="C858" t="s">
        <v>72</v>
      </c>
      <c r="D858" s="3">
        <v>45631</v>
      </c>
      <c r="E858" t="str">
        <f>VLOOKUP(B858,'PROCV GERENTES BD'!A:B,2,0)</f>
        <v>FITZ</v>
      </c>
      <c r="F858" s="4" t="str">
        <f t="shared" si="69"/>
        <v>2024-12-1</v>
      </c>
      <c r="G858" t="str">
        <f t="shared" si="65"/>
        <v>FITZ</v>
      </c>
      <c r="H858" t="str">
        <f t="shared" si="66"/>
        <v>SIAP COMERCIO DE PRODUTOS AGROPECUARIOS LTDA</v>
      </c>
      <c r="I858">
        <f t="shared" si="67"/>
        <v>1</v>
      </c>
      <c r="J858">
        <f t="shared" si="68"/>
        <v>0</v>
      </c>
    </row>
    <row r="859" spans="1:10" x14ac:dyDescent="0.25">
      <c r="A859" t="s">
        <v>66</v>
      </c>
      <c r="B859" t="s">
        <v>67</v>
      </c>
      <c r="C859" t="s">
        <v>56</v>
      </c>
      <c r="D859" s="3">
        <v>45631</v>
      </c>
      <c r="E859" t="str">
        <f>VLOOKUP(B859,'PROCV GERENTES BD'!A:B,2,0)</f>
        <v xml:space="preserve">MARCUS VINICIUS </v>
      </c>
      <c r="F859" s="4" t="str">
        <f t="shared" si="69"/>
        <v>2024-12-1</v>
      </c>
      <c r="G859" t="str">
        <f t="shared" si="65"/>
        <v xml:space="preserve">MARCUS VINICIUS </v>
      </c>
      <c r="H859" t="str">
        <f t="shared" si="66"/>
        <v>COM IND DE CEREAIS E TRANSPORTES MACIEL LTDA</v>
      </c>
      <c r="I859">
        <f t="shared" si="67"/>
        <v>0</v>
      </c>
      <c r="J859">
        <f t="shared" si="68"/>
        <v>1</v>
      </c>
    </row>
    <row r="860" spans="1:10" x14ac:dyDescent="0.25">
      <c r="A860" t="s">
        <v>436</v>
      </c>
      <c r="B860" t="s">
        <v>186</v>
      </c>
      <c r="C860" t="s">
        <v>56</v>
      </c>
      <c r="D860" s="3">
        <v>45631</v>
      </c>
      <c r="E860" t="str">
        <f>VLOOKUP(B860,'PROCV GERENTES BD'!A:B,2,0)</f>
        <v xml:space="preserve">MARCUS VINICIUS </v>
      </c>
      <c r="F860" s="4" t="str">
        <f t="shared" si="69"/>
        <v>2024-12-1</v>
      </c>
      <c r="G860" t="str">
        <f t="shared" si="65"/>
        <v xml:space="preserve">MARCUS VINICIUS </v>
      </c>
      <c r="H860" t="str">
        <f t="shared" si="66"/>
        <v>LABOR ELETRIC INDUSTRIA E COMERCIO UNIPESSOAL LTDA</v>
      </c>
      <c r="I860">
        <f t="shared" si="67"/>
        <v>0</v>
      </c>
      <c r="J860">
        <f t="shared" si="68"/>
        <v>1</v>
      </c>
    </row>
    <row r="861" spans="1:10" x14ac:dyDescent="0.25">
      <c r="A861" t="s">
        <v>347</v>
      </c>
      <c r="B861" t="s">
        <v>93</v>
      </c>
      <c r="C861" t="s">
        <v>56</v>
      </c>
      <c r="D861" s="3">
        <v>45631</v>
      </c>
      <c r="E861" t="str">
        <f>VLOOKUP(B861,'PROCV GERENTES BD'!A:B,2,0)</f>
        <v>NOELI SALETE</v>
      </c>
      <c r="F861" s="4" t="str">
        <f t="shared" si="69"/>
        <v>2024-12-1</v>
      </c>
      <c r="G861" t="str">
        <f t="shared" si="65"/>
        <v>NOELI SALETE</v>
      </c>
      <c r="H861" t="str">
        <f t="shared" si="66"/>
        <v>RODOBOX TRANSPORTES E ARMAZENAGEM DE CARGAS LTDA</v>
      </c>
      <c r="I861">
        <f t="shared" si="67"/>
        <v>0</v>
      </c>
      <c r="J861">
        <f t="shared" si="68"/>
        <v>1</v>
      </c>
    </row>
    <row r="862" spans="1:10" x14ac:dyDescent="0.25">
      <c r="A862" t="s">
        <v>397</v>
      </c>
      <c r="B862" t="s">
        <v>143</v>
      </c>
      <c r="C862" t="s">
        <v>72</v>
      </c>
      <c r="D862" s="3">
        <v>45631</v>
      </c>
      <c r="E862" t="str">
        <f>VLOOKUP(B862,'PROCV GERENTES BD'!A:B,2,0)</f>
        <v>POENATELA</v>
      </c>
      <c r="F862" s="4" t="str">
        <f t="shared" si="69"/>
        <v>2024-12-1</v>
      </c>
      <c r="G862" t="str">
        <f t="shared" si="65"/>
        <v>POENATELA</v>
      </c>
      <c r="H862" t="str">
        <f t="shared" si="66"/>
        <v>CONQUISTA INDUSTRIA DE MOVEIS S/A</v>
      </c>
      <c r="I862">
        <f t="shared" si="67"/>
        <v>1</v>
      </c>
      <c r="J862">
        <f t="shared" si="68"/>
        <v>0</v>
      </c>
    </row>
    <row r="863" spans="1:10" x14ac:dyDescent="0.25">
      <c r="A863" t="s">
        <v>354</v>
      </c>
      <c r="B863" t="s">
        <v>97</v>
      </c>
      <c r="C863" t="s">
        <v>72</v>
      </c>
      <c r="D863" s="3">
        <v>45631</v>
      </c>
      <c r="E863" t="str">
        <f>VLOOKUP(B863,'PROCV GERENTES BD'!A:B,2,0)</f>
        <v>POENATELA</v>
      </c>
      <c r="F863" s="4" t="str">
        <f t="shared" si="69"/>
        <v>2024-12-1</v>
      </c>
      <c r="G863" t="str">
        <f t="shared" si="65"/>
        <v>POENATELA</v>
      </c>
      <c r="H863" t="str">
        <f t="shared" si="66"/>
        <v>UBERTEC SERVICE USINAGEM LTDA EPP</v>
      </c>
      <c r="I863">
        <f t="shared" si="67"/>
        <v>1</v>
      </c>
      <c r="J863">
        <f t="shared" si="68"/>
        <v>0</v>
      </c>
    </row>
    <row r="864" spans="1:10" x14ac:dyDescent="0.25">
      <c r="A864" t="s">
        <v>361</v>
      </c>
      <c r="B864" t="s">
        <v>103</v>
      </c>
      <c r="C864" t="s">
        <v>56</v>
      </c>
      <c r="D864" s="3">
        <v>45631</v>
      </c>
      <c r="E864" t="str">
        <f>VLOOKUP(B864,'PROCV GERENTES BD'!A:B,2,0)</f>
        <v>PRISCILA METZ</v>
      </c>
      <c r="F864" s="4" t="str">
        <f t="shared" si="69"/>
        <v>2024-12-1</v>
      </c>
      <c r="G864" t="str">
        <f t="shared" si="65"/>
        <v>PRISCILA METZ</v>
      </c>
      <c r="H864" t="str">
        <f t="shared" si="66"/>
        <v>ESSENZA INDUSTRIA QUIMICA LTDA</v>
      </c>
      <c r="I864">
        <f t="shared" si="67"/>
        <v>0</v>
      </c>
      <c r="J864">
        <f t="shared" si="68"/>
        <v>1</v>
      </c>
    </row>
    <row r="865" spans="1:10" x14ac:dyDescent="0.25">
      <c r="A865" t="s">
        <v>384</v>
      </c>
      <c r="B865" t="s">
        <v>128</v>
      </c>
      <c r="C865" t="s">
        <v>72</v>
      </c>
      <c r="D865" s="3">
        <v>45631</v>
      </c>
      <c r="E865" t="str">
        <f>VLOOKUP(B865,'PROCV GERENTES BD'!A:B,2,0)</f>
        <v>PRISCILA METZ</v>
      </c>
      <c r="F865" s="4" t="str">
        <f t="shared" si="69"/>
        <v>2024-12-1</v>
      </c>
      <c r="G865" t="str">
        <f t="shared" si="65"/>
        <v>PRISCILA METZ</v>
      </c>
      <c r="H865" t="str">
        <f t="shared" si="66"/>
        <v>NOVA DISTRIBUIDORA E ATACADO DE LIMPEZA LTDA</v>
      </c>
      <c r="I865">
        <f t="shared" si="67"/>
        <v>1</v>
      </c>
      <c r="J865">
        <f t="shared" si="68"/>
        <v>0</v>
      </c>
    </row>
    <row r="866" spans="1:10" x14ac:dyDescent="0.25">
      <c r="A866" t="s">
        <v>326</v>
      </c>
      <c r="B866" t="s">
        <v>86</v>
      </c>
      <c r="C866" t="s">
        <v>56</v>
      </c>
      <c r="D866" s="3">
        <v>45632</v>
      </c>
      <c r="E866" t="str">
        <f>VLOOKUP(B866,'PROCV GERENTES BD'!A:B,2,0)</f>
        <v>CELIO PIMENTA</v>
      </c>
      <c r="F866" s="4" t="str">
        <f t="shared" si="69"/>
        <v>2024-12-1</v>
      </c>
      <c r="G866" t="str">
        <f t="shared" si="65"/>
        <v>CELIO PIMENTA</v>
      </c>
      <c r="H866" t="str">
        <f t="shared" si="66"/>
        <v>IMPORTEXTIL COMERCIO DE TECIDOS LTDA</v>
      </c>
      <c r="I866">
        <f t="shared" si="67"/>
        <v>0</v>
      </c>
      <c r="J866">
        <f t="shared" si="68"/>
        <v>1</v>
      </c>
    </row>
    <row r="867" spans="1:10" x14ac:dyDescent="0.25">
      <c r="A867" t="s">
        <v>366</v>
      </c>
      <c r="B867" t="s">
        <v>111</v>
      </c>
      <c r="C867" t="s">
        <v>72</v>
      </c>
      <c r="D867" s="3">
        <v>45632</v>
      </c>
      <c r="E867" t="str">
        <f>VLOOKUP(B867,'PROCV GERENTES BD'!A:B,2,0)</f>
        <v>DIOGO AZEVEDO</v>
      </c>
      <c r="F867" s="4" t="str">
        <f t="shared" si="69"/>
        <v>2024-12-1</v>
      </c>
      <c r="G867" t="str">
        <f t="shared" si="65"/>
        <v>DIOGO AZEVEDO</v>
      </c>
      <c r="H867" t="str">
        <f t="shared" si="66"/>
        <v>INDUSTRIA E CERVEJARIA ARTESANAL DE MINAS GERAIS L</v>
      </c>
      <c r="I867">
        <f t="shared" si="67"/>
        <v>1</v>
      </c>
      <c r="J867">
        <f t="shared" si="68"/>
        <v>0</v>
      </c>
    </row>
    <row r="868" spans="1:10" x14ac:dyDescent="0.25">
      <c r="A868" t="s">
        <v>423</v>
      </c>
      <c r="B868" t="s">
        <v>172</v>
      </c>
      <c r="C868" t="s">
        <v>56</v>
      </c>
      <c r="D868" s="3">
        <v>45632</v>
      </c>
      <c r="E868" t="str">
        <f>VLOOKUP(B868,'PROCV GERENTES BD'!A:B,2,0)</f>
        <v>FITZ</v>
      </c>
      <c r="F868" s="4" t="str">
        <f t="shared" si="69"/>
        <v>2024-12-1</v>
      </c>
      <c r="G868" t="str">
        <f t="shared" si="65"/>
        <v>FITZ</v>
      </c>
      <c r="H868" t="str">
        <f t="shared" si="66"/>
        <v>STA SERVICOS LTDA</v>
      </c>
      <c r="I868">
        <f t="shared" si="67"/>
        <v>0</v>
      </c>
      <c r="J868">
        <f t="shared" si="68"/>
        <v>1</v>
      </c>
    </row>
    <row r="869" spans="1:10" x14ac:dyDescent="0.25">
      <c r="A869" t="s">
        <v>330</v>
      </c>
      <c r="B869" t="s">
        <v>116</v>
      </c>
      <c r="C869" t="s">
        <v>72</v>
      </c>
      <c r="D869" s="3">
        <v>45632</v>
      </c>
      <c r="E869" t="str">
        <f>VLOOKUP(B869,'PROCV GERENTES BD'!A:B,2,0)</f>
        <v>FITZ</v>
      </c>
      <c r="F869" s="4" t="str">
        <f t="shared" si="69"/>
        <v>2024-12-1</v>
      </c>
      <c r="G869" t="str">
        <f t="shared" si="65"/>
        <v>FITZ</v>
      </c>
      <c r="H869" t="str">
        <f t="shared" si="66"/>
        <v>SIAP COMERCIO DE PRODUTOS AGROPECUARIOS LTDA</v>
      </c>
      <c r="I869">
        <f t="shared" si="67"/>
        <v>1</v>
      </c>
      <c r="J869">
        <f t="shared" si="68"/>
        <v>0</v>
      </c>
    </row>
    <row r="870" spans="1:10" x14ac:dyDescent="0.25">
      <c r="A870" t="s">
        <v>66</v>
      </c>
      <c r="B870" t="s">
        <v>67</v>
      </c>
      <c r="C870" t="s">
        <v>72</v>
      </c>
      <c r="D870" s="3">
        <v>45632</v>
      </c>
      <c r="E870" t="str">
        <f>VLOOKUP(B870,'PROCV GERENTES BD'!A:B,2,0)</f>
        <v xml:space="preserve">MARCUS VINICIUS </v>
      </c>
      <c r="F870" s="4" t="str">
        <f t="shared" si="69"/>
        <v>2024-12-1</v>
      </c>
      <c r="G870" t="str">
        <f t="shared" si="65"/>
        <v xml:space="preserve">MARCUS VINICIUS </v>
      </c>
      <c r="H870" t="str">
        <f t="shared" si="66"/>
        <v>COM IND DE CEREAIS E TRANSPORTES MACIEL LTDA</v>
      </c>
      <c r="I870">
        <f t="shared" si="67"/>
        <v>1</v>
      </c>
      <c r="J870">
        <f t="shared" si="68"/>
        <v>0</v>
      </c>
    </row>
    <row r="871" spans="1:10" x14ac:dyDescent="0.25">
      <c r="A871" t="s">
        <v>436</v>
      </c>
      <c r="B871" t="s">
        <v>186</v>
      </c>
      <c r="C871" t="s">
        <v>56</v>
      </c>
      <c r="D871" s="3">
        <v>45632</v>
      </c>
      <c r="E871" t="str">
        <f>VLOOKUP(B871,'PROCV GERENTES BD'!A:B,2,0)</f>
        <v xml:space="preserve">MARCUS VINICIUS </v>
      </c>
      <c r="F871" s="4" t="str">
        <f t="shared" si="69"/>
        <v>2024-12-1</v>
      </c>
      <c r="G871" t="str">
        <f t="shared" si="65"/>
        <v xml:space="preserve">MARCUS VINICIUS </v>
      </c>
      <c r="H871" t="str">
        <f t="shared" si="66"/>
        <v>LABOR ELETRIC INDUSTRIA E COMERCIO UNIPESSOAL LTDA</v>
      </c>
      <c r="I871">
        <f t="shared" si="67"/>
        <v>0</v>
      </c>
      <c r="J871">
        <f t="shared" si="68"/>
        <v>1</v>
      </c>
    </row>
    <row r="872" spans="1:10" x14ac:dyDescent="0.25">
      <c r="A872" t="s">
        <v>347</v>
      </c>
      <c r="B872" t="s">
        <v>93</v>
      </c>
      <c r="C872" t="s">
        <v>56</v>
      </c>
      <c r="D872" s="3">
        <v>45632</v>
      </c>
      <c r="E872" t="str">
        <f>VLOOKUP(B872,'PROCV GERENTES BD'!A:B,2,0)</f>
        <v>NOELI SALETE</v>
      </c>
      <c r="F872" s="4" t="str">
        <f t="shared" si="69"/>
        <v>2024-12-1</v>
      </c>
      <c r="G872" t="str">
        <f t="shared" si="65"/>
        <v>NOELI SALETE</v>
      </c>
      <c r="H872" t="str">
        <f t="shared" si="66"/>
        <v>RODOBOX TRANSPORTES E ARMAZENAGEM DE CARGAS LTDA</v>
      </c>
      <c r="I872">
        <f t="shared" si="67"/>
        <v>0</v>
      </c>
      <c r="J872">
        <f t="shared" si="68"/>
        <v>1</v>
      </c>
    </row>
    <row r="873" spans="1:10" x14ac:dyDescent="0.25">
      <c r="A873" t="s">
        <v>408</v>
      </c>
      <c r="B873" t="s">
        <v>157</v>
      </c>
      <c r="C873" t="s">
        <v>56</v>
      </c>
      <c r="D873" s="3">
        <v>45632</v>
      </c>
      <c r="E873" t="str">
        <f>VLOOKUP(B873,'PROCV GERENTES BD'!A:B,2,0)</f>
        <v>NOELI SALETE</v>
      </c>
      <c r="F873" s="4" t="str">
        <f t="shared" si="69"/>
        <v>2024-12-1</v>
      </c>
      <c r="G873" t="str">
        <f t="shared" si="65"/>
        <v>NOELI SALETE</v>
      </c>
      <c r="H873" t="str">
        <f t="shared" si="66"/>
        <v>POOLMAK SISTEMAS ESTRUTURAIS LTDA</v>
      </c>
      <c r="I873">
        <f t="shared" si="67"/>
        <v>0</v>
      </c>
      <c r="J873">
        <f t="shared" si="68"/>
        <v>1</v>
      </c>
    </row>
    <row r="874" spans="1:10" x14ac:dyDescent="0.25">
      <c r="A874" t="s">
        <v>397</v>
      </c>
      <c r="B874" t="s">
        <v>143</v>
      </c>
      <c r="C874" t="s">
        <v>72</v>
      </c>
      <c r="D874" s="3">
        <v>45632</v>
      </c>
      <c r="E874" t="str">
        <f>VLOOKUP(B874,'PROCV GERENTES BD'!A:B,2,0)</f>
        <v>POENATELA</v>
      </c>
      <c r="F874" s="4" t="str">
        <f t="shared" si="69"/>
        <v>2024-12-1</v>
      </c>
      <c r="G874" t="str">
        <f t="shared" si="65"/>
        <v>POENATELA</v>
      </c>
      <c r="H874" t="str">
        <f t="shared" si="66"/>
        <v>CONQUISTA INDUSTRIA DE MOVEIS S/A</v>
      </c>
      <c r="I874">
        <f t="shared" si="67"/>
        <v>1</v>
      </c>
      <c r="J874">
        <f t="shared" si="68"/>
        <v>0</v>
      </c>
    </row>
    <row r="875" spans="1:10" x14ac:dyDescent="0.25">
      <c r="A875" t="s">
        <v>354</v>
      </c>
      <c r="B875" t="s">
        <v>97</v>
      </c>
      <c r="C875" t="s">
        <v>56</v>
      </c>
      <c r="D875" s="3">
        <v>45632</v>
      </c>
      <c r="E875" t="str">
        <f>VLOOKUP(B875,'PROCV GERENTES BD'!A:B,2,0)</f>
        <v>POENATELA</v>
      </c>
      <c r="F875" s="4" t="str">
        <f t="shared" si="69"/>
        <v>2024-12-1</v>
      </c>
      <c r="G875" t="str">
        <f t="shared" si="65"/>
        <v>POENATELA</v>
      </c>
      <c r="H875" t="str">
        <f t="shared" si="66"/>
        <v>UBERTEC SERVICE USINAGEM LTDA EPP</v>
      </c>
      <c r="I875">
        <f t="shared" si="67"/>
        <v>0</v>
      </c>
      <c r="J875">
        <f t="shared" si="68"/>
        <v>1</v>
      </c>
    </row>
    <row r="876" spans="1:10" x14ac:dyDescent="0.25">
      <c r="A876" t="s">
        <v>437</v>
      </c>
      <c r="B876" t="s">
        <v>187</v>
      </c>
      <c r="C876" t="s">
        <v>56</v>
      </c>
      <c r="D876" s="3">
        <v>45632</v>
      </c>
      <c r="E876" t="s">
        <v>25</v>
      </c>
      <c r="F876" s="4" t="str">
        <f t="shared" si="69"/>
        <v>2024-12-1</v>
      </c>
      <c r="G876" t="str">
        <f t="shared" si="65"/>
        <v xml:space="preserve">ROGERIO </v>
      </c>
      <c r="H876" t="str">
        <f t="shared" si="66"/>
        <v>ENCADESP LTDA ME</v>
      </c>
      <c r="I876">
        <f t="shared" si="67"/>
        <v>0</v>
      </c>
      <c r="J876">
        <f t="shared" si="68"/>
        <v>1</v>
      </c>
    </row>
    <row r="877" spans="1:10" x14ac:dyDescent="0.25">
      <c r="A877" t="s">
        <v>447</v>
      </c>
      <c r="B877" t="s">
        <v>197</v>
      </c>
      <c r="C877" t="s">
        <v>56</v>
      </c>
      <c r="D877" s="3">
        <v>45633</v>
      </c>
      <c r="E877" t="str">
        <f>VLOOKUP(B877,'PROCV GERENTES BD'!A:B,2,0)</f>
        <v>ADMINISTRAÇÃO</v>
      </c>
      <c r="F877" s="4" t="str">
        <f t="shared" si="69"/>
        <v>2024-12-1</v>
      </c>
      <c r="G877" t="str">
        <f t="shared" si="65"/>
        <v>ADMINISTRAÇÃO</v>
      </c>
      <c r="H877" t="str">
        <f t="shared" si="66"/>
        <v>ELFRIG FRIGORIFICO ELDORADO LTDA ME</v>
      </c>
      <c r="I877">
        <f t="shared" si="67"/>
        <v>0</v>
      </c>
      <c r="J877">
        <f t="shared" si="68"/>
        <v>1</v>
      </c>
    </row>
    <row r="878" spans="1:10" x14ac:dyDescent="0.25">
      <c r="A878" t="s">
        <v>390</v>
      </c>
      <c r="B878" t="s">
        <v>136</v>
      </c>
      <c r="C878" t="s">
        <v>72</v>
      </c>
      <c r="D878" s="3">
        <v>45633</v>
      </c>
      <c r="E878" t="str">
        <f>VLOOKUP(B878,'PROCV GERENTES BD'!A:B,2,0)</f>
        <v>ADMINISTRAÇÃO</v>
      </c>
      <c r="F878" s="4" t="str">
        <f t="shared" si="69"/>
        <v>2024-12-1</v>
      </c>
      <c r="G878" t="str">
        <f t="shared" si="65"/>
        <v>ADMINISTRAÇÃO</v>
      </c>
      <c r="H878" t="str">
        <f t="shared" si="66"/>
        <v>XEQUE MATE BEBIDAS LTDA ME</v>
      </c>
      <c r="I878">
        <f t="shared" si="67"/>
        <v>1</v>
      </c>
      <c r="J878">
        <f t="shared" si="68"/>
        <v>0</v>
      </c>
    </row>
    <row r="879" spans="1:10" x14ac:dyDescent="0.25">
      <c r="A879" t="s">
        <v>326</v>
      </c>
      <c r="B879" t="s">
        <v>86</v>
      </c>
      <c r="C879" t="s">
        <v>59</v>
      </c>
      <c r="D879" s="3">
        <v>45633</v>
      </c>
      <c r="E879" t="str">
        <f>VLOOKUP(B879,'PROCV GERENTES BD'!A:B,2,0)</f>
        <v>CELIO PIMENTA</v>
      </c>
      <c r="F879" s="4" t="str">
        <f t="shared" si="69"/>
        <v>2024-12-1</v>
      </c>
      <c r="G879" t="str">
        <f t="shared" si="65"/>
        <v>CELIO PIMENTA</v>
      </c>
      <c r="H879" t="str">
        <f t="shared" si="66"/>
        <v>IMPORTEXTIL COMERCIO DE TECIDOS LTDA</v>
      </c>
      <c r="I879">
        <f t="shared" si="67"/>
        <v>0</v>
      </c>
      <c r="J879">
        <f t="shared" si="68"/>
        <v>0</v>
      </c>
    </row>
    <row r="880" spans="1:10" x14ac:dyDescent="0.25">
      <c r="A880" t="s">
        <v>331</v>
      </c>
      <c r="B880" t="s">
        <v>126</v>
      </c>
      <c r="C880" t="s">
        <v>72</v>
      </c>
      <c r="D880" s="3">
        <v>45633</v>
      </c>
      <c r="E880" t="str">
        <f>VLOOKUP(B880,'PROCV GERENTES BD'!A:B,2,0)</f>
        <v>FITZ</v>
      </c>
      <c r="F880" s="4" t="str">
        <f t="shared" si="69"/>
        <v>2024-12-1</v>
      </c>
      <c r="G880" t="str">
        <f t="shared" si="65"/>
        <v>FITZ</v>
      </c>
      <c r="H880" t="str">
        <f t="shared" si="66"/>
        <v>TRANSHENRY TRANSPORTES LTDA</v>
      </c>
      <c r="I880">
        <f t="shared" si="67"/>
        <v>1</v>
      </c>
      <c r="J880">
        <f t="shared" si="68"/>
        <v>0</v>
      </c>
    </row>
    <row r="881" spans="1:10" x14ac:dyDescent="0.25">
      <c r="A881" t="s">
        <v>436</v>
      </c>
      <c r="B881" t="s">
        <v>186</v>
      </c>
      <c r="C881" t="s">
        <v>56</v>
      </c>
      <c r="D881" s="3">
        <v>45633</v>
      </c>
      <c r="E881" t="str">
        <f>VLOOKUP(B881,'PROCV GERENTES BD'!A:B,2,0)</f>
        <v xml:space="preserve">MARCUS VINICIUS </v>
      </c>
      <c r="F881" s="4" t="str">
        <f t="shared" si="69"/>
        <v>2024-12-1</v>
      </c>
      <c r="G881" t="str">
        <f t="shared" si="65"/>
        <v xml:space="preserve">MARCUS VINICIUS </v>
      </c>
      <c r="H881" t="str">
        <f t="shared" si="66"/>
        <v>LABOR ELETRIC INDUSTRIA E COMERCIO UNIPESSOAL LTDA</v>
      </c>
      <c r="I881">
        <f t="shared" si="67"/>
        <v>0</v>
      </c>
      <c r="J881">
        <f t="shared" si="68"/>
        <v>1</v>
      </c>
    </row>
    <row r="882" spans="1:10" x14ac:dyDescent="0.25">
      <c r="A882" t="s">
        <v>427</v>
      </c>
      <c r="B882" t="s">
        <v>176</v>
      </c>
      <c r="C882" t="s">
        <v>56</v>
      </c>
      <c r="D882" s="3">
        <v>45633</v>
      </c>
      <c r="E882" t="str">
        <f>VLOOKUP(B882,'PROCV GERENTES BD'!A:B,2,0)</f>
        <v>NOELI SALETE</v>
      </c>
      <c r="F882" s="4" t="str">
        <f t="shared" si="69"/>
        <v>2024-12-1</v>
      </c>
      <c r="G882" t="str">
        <f t="shared" si="65"/>
        <v>NOELI SALETE</v>
      </c>
      <c r="H882" t="str">
        <f t="shared" si="66"/>
        <v>GLOBAL ACO SERVICOS E PRODUTOS SIDERURGICOS LTDA E</v>
      </c>
      <c r="I882">
        <f t="shared" si="67"/>
        <v>0</v>
      </c>
      <c r="J882">
        <f t="shared" si="68"/>
        <v>1</v>
      </c>
    </row>
    <row r="883" spans="1:10" x14ac:dyDescent="0.25">
      <c r="A883" t="s">
        <v>347</v>
      </c>
      <c r="B883" t="s">
        <v>93</v>
      </c>
      <c r="C883" t="s">
        <v>56</v>
      </c>
      <c r="D883" s="3">
        <v>45633</v>
      </c>
      <c r="E883" t="str">
        <f>VLOOKUP(B883,'PROCV GERENTES BD'!A:B,2,0)</f>
        <v>NOELI SALETE</v>
      </c>
      <c r="F883" s="4" t="str">
        <f t="shared" si="69"/>
        <v>2024-12-1</v>
      </c>
      <c r="G883" t="str">
        <f t="shared" si="65"/>
        <v>NOELI SALETE</v>
      </c>
      <c r="H883" t="str">
        <f t="shared" si="66"/>
        <v>RODOBOX TRANSPORTES E ARMAZENAGEM DE CARGAS LTDA</v>
      </c>
      <c r="I883">
        <f t="shared" si="67"/>
        <v>0</v>
      </c>
      <c r="J883">
        <f t="shared" si="68"/>
        <v>1</v>
      </c>
    </row>
    <row r="884" spans="1:10" x14ac:dyDescent="0.25">
      <c r="A884" t="s">
        <v>402</v>
      </c>
      <c r="B884" t="s">
        <v>150</v>
      </c>
      <c r="C884" t="s">
        <v>56</v>
      </c>
      <c r="D884" s="3">
        <v>45633</v>
      </c>
      <c r="E884" t="str">
        <f>VLOOKUP(B884,'PROCV GERENTES BD'!A:B,2,0)</f>
        <v>NOELI SALETE</v>
      </c>
      <c r="F884" s="4" t="str">
        <f t="shared" si="69"/>
        <v>2024-12-1</v>
      </c>
      <c r="G884" t="str">
        <f t="shared" si="65"/>
        <v>NOELI SALETE</v>
      </c>
      <c r="H884" t="str">
        <f t="shared" si="66"/>
        <v>ALBERTO H DA SILVA ME</v>
      </c>
      <c r="I884">
        <f t="shared" si="67"/>
        <v>0</v>
      </c>
      <c r="J884">
        <f t="shared" si="68"/>
        <v>1</v>
      </c>
    </row>
    <row r="885" spans="1:10" x14ac:dyDescent="0.25">
      <c r="A885" t="s">
        <v>397</v>
      </c>
      <c r="B885" t="s">
        <v>143</v>
      </c>
      <c r="C885" t="s">
        <v>72</v>
      </c>
      <c r="D885" s="3">
        <v>45633</v>
      </c>
      <c r="E885" t="str">
        <f>VLOOKUP(B885,'PROCV GERENTES BD'!A:B,2,0)</f>
        <v>POENATELA</v>
      </c>
      <c r="F885" s="4" t="str">
        <f t="shared" si="69"/>
        <v>2024-12-1</v>
      </c>
      <c r="G885" t="str">
        <f t="shared" si="65"/>
        <v>POENATELA</v>
      </c>
      <c r="H885" t="str">
        <f t="shared" si="66"/>
        <v>CONQUISTA INDUSTRIA DE MOVEIS S/A</v>
      </c>
      <c r="I885">
        <f t="shared" si="67"/>
        <v>1</v>
      </c>
      <c r="J885">
        <f t="shared" si="68"/>
        <v>0</v>
      </c>
    </row>
    <row r="886" spans="1:10" x14ac:dyDescent="0.25">
      <c r="A886" t="s">
        <v>354</v>
      </c>
      <c r="B886" t="s">
        <v>97</v>
      </c>
      <c r="C886" t="s">
        <v>56</v>
      </c>
      <c r="D886" s="3">
        <v>45633</v>
      </c>
      <c r="E886" t="str">
        <f>VLOOKUP(B886,'PROCV GERENTES BD'!A:B,2,0)</f>
        <v>POENATELA</v>
      </c>
      <c r="F886" s="4" t="str">
        <f t="shared" si="69"/>
        <v>2024-12-1</v>
      </c>
      <c r="G886" t="str">
        <f t="shared" si="65"/>
        <v>POENATELA</v>
      </c>
      <c r="H886" t="str">
        <f t="shared" si="66"/>
        <v>UBERTEC SERVICE USINAGEM LTDA EPP</v>
      </c>
      <c r="I886">
        <f t="shared" si="67"/>
        <v>0</v>
      </c>
      <c r="J886">
        <f t="shared" si="68"/>
        <v>1</v>
      </c>
    </row>
    <row r="887" spans="1:10" x14ac:dyDescent="0.25">
      <c r="A887" t="s">
        <v>441</v>
      </c>
      <c r="B887" t="s">
        <v>191</v>
      </c>
      <c r="C887" t="s">
        <v>72</v>
      </c>
      <c r="D887" s="3">
        <v>45633</v>
      </c>
      <c r="E887" t="str">
        <f>VLOOKUP(B887,'PROCV GERENTES BD'!A:B,2,0)</f>
        <v>PRISCILA METZ</v>
      </c>
      <c r="F887" s="4" t="str">
        <f t="shared" si="69"/>
        <v>2024-12-1</v>
      </c>
      <c r="G887" t="str">
        <f t="shared" si="65"/>
        <v>PRISCILA METZ</v>
      </c>
      <c r="H887" t="str">
        <f t="shared" si="66"/>
        <v>FRANZAO COLCHOES LTDA EPP</v>
      </c>
      <c r="I887">
        <f t="shared" si="67"/>
        <v>1</v>
      </c>
      <c r="J887">
        <f t="shared" si="68"/>
        <v>0</v>
      </c>
    </row>
    <row r="888" spans="1:10" x14ac:dyDescent="0.25">
      <c r="A888" t="s">
        <v>333</v>
      </c>
      <c r="B888" t="s">
        <v>129</v>
      </c>
      <c r="C888" t="s">
        <v>56</v>
      </c>
      <c r="D888" s="3">
        <v>45633</v>
      </c>
      <c r="E888" t="s">
        <v>25</v>
      </c>
      <c r="F888" s="4" t="str">
        <f t="shared" si="69"/>
        <v>2024-12-1</v>
      </c>
      <c r="G888" t="str">
        <f t="shared" si="65"/>
        <v xml:space="preserve">ROGERIO </v>
      </c>
      <c r="H888" t="str">
        <f t="shared" si="66"/>
        <v>BIBE PRODUTOS INFANTIS LTDA</v>
      </c>
      <c r="I888">
        <f t="shared" si="67"/>
        <v>0</v>
      </c>
      <c r="J888">
        <f t="shared" si="68"/>
        <v>1</v>
      </c>
    </row>
    <row r="889" spans="1:10" x14ac:dyDescent="0.25">
      <c r="A889" t="s">
        <v>339</v>
      </c>
      <c r="B889" t="s">
        <v>151</v>
      </c>
      <c r="C889" t="s">
        <v>56</v>
      </c>
      <c r="D889" s="3">
        <v>45636</v>
      </c>
      <c r="E889" t="str">
        <f>VLOOKUP(B889,'PROCV GERENTES BD'!A:B,2,0)</f>
        <v>ADMINISTRAÇÃO</v>
      </c>
      <c r="F889" s="4" t="str">
        <f t="shared" si="69"/>
        <v>2024-12-1</v>
      </c>
      <c r="G889" t="str">
        <f t="shared" si="65"/>
        <v>ADMINISTRAÇÃO</v>
      </c>
      <c r="H889" t="str">
        <f t="shared" si="66"/>
        <v>BOM PASTOR PAPEIS LTDA EM RECUPERACAO JUDICIAL</v>
      </c>
      <c r="I889">
        <f t="shared" si="67"/>
        <v>0</v>
      </c>
      <c r="J889">
        <f t="shared" si="68"/>
        <v>1</v>
      </c>
    </row>
    <row r="890" spans="1:10" x14ac:dyDescent="0.25">
      <c r="A890" t="s">
        <v>390</v>
      </c>
      <c r="B890" t="s">
        <v>136</v>
      </c>
      <c r="C890" t="s">
        <v>59</v>
      </c>
      <c r="D890" s="3">
        <v>45636</v>
      </c>
      <c r="E890" t="str">
        <f>VLOOKUP(B890,'PROCV GERENTES BD'!A:B,2,0)</f>
        <v>ADMINISTRAÇÃO</v>
      </c>
      <c r="F890" s="4" t="str">
        <f t="shared" si="69"/>
        <v>2024-12-1</v>
      </c>
      <c r="G890" t="str">
        <f t="shared" si="65"/>
        <v>ADMINISTRAÇÃO</v>
      </c>
      <c r="H890" t="str">
        <f t="shared" si="66"/>
        <v>XEQUE MATE BEBIDAS LTDA ME</v>
      </c>
      <c r="I890">
        <f t="shared" si="67"/>
        <v>0</v>
      </c>
      <c r="J890">
        <f t="shared" si="68"/>
        <v>0</v>
      </c>
    </row>
    <row r="891" spans="1:10" x14ac:dyDescent="0.25">
      <c r="A891" t="s">
        <v>380</v>
      </c>
      <c r="B891" t="s">
        <v>123</v>
      </c>
      <c r="C891" t="s">
        <v>72</v>
      </c>
      <c r="D891" s="3">
        <v>45636</v>
      </c>
      <c r="E891" t="str">
        <f>VLOOKUP(B891,'PROCV GERENTES BD'!A:B,2,0)</f>
        <v>ANTONIO CARLOS</v>
      </c>
      <c r="F891" s="4" t="str">
        <f t="shared" si="69"/>
        <v>2024-12-1</v>
      </c>
      <c r="G891" t="str">
        <f t="shared" si="65"/>
        <v>ANTONIO CARLOS</v>
      </c>
      <c r="H891" t="str">
        <f t="shared" si="66"/>
        <v>PREMOLDADOS MATOSINHOS LTDA EPP</v>
      </c>
      <c r="I891">
        <f t="shared" si="67"/>
        <v>1</v>
      </c>
      <c r="J891">
        <f t="shared" si="68"/>
        <v>0</v>
      </c>
    </row>
    <row r="892" spans="1:10" x14ac:dyDescent="0.25">
      <c r="A892" t="s">
        <v>311</v>
      </c>
      <c r="B892" t="s">
        <v>130</v>
      </c>
      <c r="C892" t="s">
        <v>56</v>
      </c>
      <c r="D892" s="3">
        <v>45636</v>
      </c>
      <c r="E892" t="str">
        <f>VLOOKUP(B892,'PROCV GERENTES BD'!A:B,2,0)</f>
        <v>ANTONIO CARLOS</v>
      </c>
      <c r="F892" s="4" t="str">
        <f t="shared" si="69"/>
        <v>2024-12-1</v>
      </c>
      <c r="G892" t="str">
        <f t="shared" si="65"/>
        <v>ANTONIO CARLOS</v>
      </c>
      <c r="H892" t="str">
        <f t="shared" si="66"/>
        <v>VIC LOGISTICA LTDA EM RECUPERACAO JUDICIAL</v>
      </c>
      <c r="I892">
        <f t="shared" si="67"/>
        <v>0</v>
      </c>
      <c r="J892">
        <f t="shared" si="68"/>
        <v>1</v>
      </c>
    </row>
    <row r="893" spans="1:10" x14ac:dyDescent="0.25">
      <c r="A893" t="s">
        <v>326</v>
      </c>
      <c r="B893" t="s">
        <v>86</v>
      </c>
      <c r="C893" t="s">
        <v>56</v>
      </c>
      <c r="D893" s="3">
        <v>45636</v>
      </c>
      <c r="E893" t="str">
        <f>VLOOKUP(B893,'PROCV GERENTES BD'!A:B,2,0)</f>
        <v>CELIO PIMENTA</v>
      </c>
      <c r="F893" s="4" t="str">
        <f t="shared" si="69"/>
        <v>2024-12-1</v>
      </c>
      <c r="G893" t="str">
        <f t="shared" si="65"/>
        <v>CELIO PIMENTA</v>
      </c>
      <c r="H893" t="str">
        <f t="shared" si="66"/>
        <v>IMPORTEXTIL COMERCIO DE TECIDOS LTDA</v>
      </c>
      <c r="I893">
        <f t="shared" si="67"/>
        <v>0</v>
      </c>
      <c r="J893">
        <f t="shared" si="68"/>
        <v>1</v>
      </c>
    </row>
    <row r="894" spans="1:10" x14ac:dyDescent="0.25">
      <c r="A894" t="s">
        <v>391</v>
      </c>
      <c r="B894" t="s">
        <v>137</v>
      </c>
      <c r="C894" t="s">
        <v>56</v>
      </c>
      <c r="D894" s="3">
        <v>45636</v>
      </c>
      <c r="E894" t="str">
        <f>VLOOKUP(B894,'PROCV GERENTES BD'!A:B,2,0)</f>
        <v>CELIO PIMENTA</v>
      </c>
      <c r="F894" s="4" t="str">
        <f t="shared" si="69"/>
        <v>2024-12-1</v>
      </c>
      <c r="G894" t="str">
        <f t="shared" si="65"/>
        <v>CELIO PIMENTA</v>
      </c>
      <c r="H894" t="str">
        <f t="shared" si="66"/>
        <v>JR X IMPORT LTDA EPP</v>
      </c>
      <c r="I894">
        <f t="shared" si="67"/>
        <v>0</v>
      </c>
      <c r="J894">
        <f t="shared" si="68"/>
        <v>1</v>
      </c>
    </row>
    <row r="895" spans="1:10" x14ac:dyDescent="0.25">
      <c r="A895" t="s">
        <v>318</v>
      </c>
      <c r="B895" t="s">
        <v>87</v>
      </c>
      <c r="C895" t="s">
        <v>56</v>
      </c>
      <c r="D895" s="3">
        <v>45636</v>
      </c>
      <c r="E895" t="str">
        <f>VLOOKUP(B895,'PROCV GERENTES BD'!A:B,2,0)</f>
        <v>CELIO PIMENTA</v>
      </c>
      <c r="F895" s="4" t="str">
        <f t="shared" si="69"/>
        <v>2024-12-1</v>
      </c>
      <c r="G895" t="str">
        <f t="shared" si="65"/>
        <v>CELIO PIMENTA</v>
      </c>
      <c r="H895" t="str">
        <f t="shared" si="66"/>
        <v>MBIOLOG DIAGNOSTICOS LTDA</v>
      </c>
      <c r="I895">
        <f t="shared" si="67"/>
        <v>0</v>
      </c>
      <c r="J895">
        <f t="shared" si="68"/>
        <v>1</v>
      </c>
    </row>
    <row r="896" spans="1:10" x14ac:dyDescent="0.25">
      <c r="A896" t="s">
        <v>366</v>
      </c>
      <c r="B896" t="s">
        <v>111</v>
      </c>
      <c r="C896" t="s">
        <v>56</v>
      </c>
      <c r="D896" s="3">
        <v>45636</v>
      </c>
      <c r="E896" t="str">
        <f>VLOOKUP(B896,'PROCV GERENTES BD'!A:B,2,0)</f>
        <v>DIOGO AZEVEDO</v>
      </c>
      <c r="F896" s="4" t="str">
        <f t="shared" si="69"/>
        <v>2024-12-1</v>
      </c>
      <c r="G896" t="str">
        <f t="shared" si="65"/>
        <v>DIOGO AZEVEDO</v>
      </c>
      <c r="H896" t="str">
        <f t="shared" si="66"/>
        <v>INDUSTRIA E CERVEJARIA ARTESANAL DE MINAS GERAIS L</v>
      </c>
      <c r="I896">
        <f t="shared" si="67"/>
        <v>0</v>
      </c>
      <c r="J896">
        <f t="shared" si="68"/>
        <v>1</v>
      </c>
    </row>
    <row r="897" spans="1:10" x14ac:dyDescent="0.25">
      <c r="A897" t="s">
        <v>385</v>
      </c>
      <c r="B897" t="s">
        <v>131</v>
      </c>
      <c r="C897" t="s">
        <v>56</v>
      </c>
      <c r="D897" s="3">
        <v>45636</v>
      </c>
      <c r="E897" t="str">
        <f>VLOOKUP(B897,'PROCV GERENTES BD'!A:B,2,0)</f>
        <v>EDUARDO MATOSO</v>
      </c>
      <c r="F897" s="4" t="str">
        <f t="shared" si="69"/>
        <v>2024-12-1</v>
      </c>
      <c r="G897" t="str">
        <f t="shared" si="65"/>
        <v>EDUARDO MATOSO</v>
      </c>
      <c r="H897" t="str">
        <f t="shared" si="66"/>
        <v>STONE ENGENHARIA E MONTAGENS INDUSTRIAIS LTDA</v>
      </c>
      <c r="I897">
        <f t="shared" si="67"/>
        <v>0</v>
      </c>
      <c r="J897">
        <f t="shared" si="68"/>
        <v>1</v>
      </c>
    </row>
    <row r="898" spans="1:10" x14ac:dyDescent="0.25">
      <c r="A898" t="s">
        <v>448</v>
      </c>
      <c r="B898" t="s">
        <v>198</v>
      </c>
      <c r="C898" t="s">
        <v>56</v>
      </c>
      <c r="D898" s="3">
        <v>45636</v>
      </c>
      <c r="E898" t="str">
        <f>VLOOKUP(B898,'PROCV GERENTES BD'!A:B,2,0)</f>
        <v>FITZ</v>
      </c>
      <c r="F898" s="4" t="str">
        <f t="shared" si="69"/>
        <v>2024-12-1</v>
      </c>
      <c r="G898" t="str">
        <f t="shared" ref="G898:G961" si="70">E898</f>
        <v>FITZ</v>
      </c>
      <c r="H898" t="str">
        <f t="shared" ref="H898:H961" si="71">B898</f>
        <v>SAFRA OURO AGRONEGOCIOS LTDA EPP</v>
      </c>
      <c r="I898">
        <f t="shared" ref="I898:I961" si="72">IF(C898="EXCLUSAO  ANOT.INADIMPLENCIA",1,0)</f>
        <v>0</v>
      </c>
      <c r="J898">
        <f t="shared" ref="J898:J961" si="73">IF(C898="INCLUSAO  ANOT.INADIMPLENCIA",1,0)</f>
        <v>1</v>
      </c>
    </row>
    <row r="899" spans="1:10" x14ac:dyDescent="0.25">
      <c r="A899" t="s">
        <v>377</v>
      </c>
      <c r="B899" t="s">
        <v>120</v>
      </c>
      <c r="C899" t="s">
        <v>72</v>
      </c>
      <c r="D899" s="3">
        <v>45636</v>
      </c>
      <c r="E899" t="str">
        <f>VLOOKUP(B899,'PROCV GERENTES BD'!A:B,2,0)</f>
        <v xml:space="preserve">MARCUS VINICIUS </v>
      </c>
      <c r="F899" s="4" t="str">
        <f t="shared" ref="F899:F962" si="74">YEAR(D899)&amp;"-"&amp;TEXT(MONTH(D899),"00")&amp;"-"&amp;IF(DAY(D899)&lt;=15,"1",IF(DAY(D899)&gt;15,"2",""))</f>
        <v>2024-12-1</v>
      </c>
      <c r="G899" t="str">
        <f t="shared" si="70"/>
        <v xml:space="preserve">MARCUS VINICIUS </v>
      </c>
      <c r="H899" t="str">
        <f t="shared" si="71"/>
        <v>ISOBASE POLIESTIRENO LTDA EPP</v>
      </c>
      <c r="I899">
        <f t="shared" si="72"/>
        <v>1</v>
      </c>
      <c r="J899">
        <f t="shared" si="73"/>
        <v>0</v>
      </c>
    </row>
    <row r="900" spans="1:10" x14ac:dyDescent="0.25">
      <c r="A900" t="s">
        <v>436</v>
      </c>
      <c r="B900" t="s">
        <v>186</v>
      </c>
      <c r="C900" t="s">
        <v>56</v>
      </c>
      <c r="D900" s="3">
        <v>45636</v>
      </c>
      <c r="E900" t="str">
        <f>VLOOKUP(B900,'PROCV GERENTES BD'!A:B,2,0)</f>
        <v xml:space="preserve">MARCUS VINICIUS </v>
      </c>
      <c r="F900" s="4" t="str">
        <f t="shared" si="74"/>
        <v>2024-12-1</v>
      </c>
      <c r="G900" t="str">
        <f t="shared" si="70"/>
        <v xml:space="preserve">MARCUS VINICIUS </v>
      </c>
      <c r="H900" t="str">
        <f t="shared" si="71"/>
        <v>LABOR ELETRIC INDUSTRIA E COMERCIO UNIPESSOAL LTDA</v>
      </c>
      <c r="I900">
        <f t="shared" si="72"/>
        <v>0</v>
      </c>
      <c r="J900">
        <f t="shared" si="73"/>
        <v>1</v>
      </c>
    </row>
    <row r="901" spans="1:10" x14ac:dyDescent="0.25">
      <c r="A901" t="s">
        <v>427</v>
      </c>
      <c r="B901" t="s">
        <v>176</v>
      </c>
      <c r="C901" t="s">
        <v>56</v>
      </c>
      <c r="D901" s="3">
        <v>45636</v>
      </c>
      <c r="E901" t="str">
        <f>VLOOKUP(B901,'PROCV GERENTES BD'!A:B,2,0)</f>
        <v>NOELI SALETE</v>
      </c>
      <c r="F901" s="4" t="str">
        <f t="shared" si="74"/>
        <v>2024-12-1</v>
      </c>
      <c r="G901" t="str">
        <f t="shared" si="70"/>
        <v>NOELI SALETE</v>
      </c>
      <c r="H901" t="str">
        <f t="shared" si="71"/>
        <v>GLOBAL ACO SERVICOS E PRODUTOS SIDERURGICOS LTDA E</v>
      </c>
      <c r="I901">
        <f t="shared" si="72"/>
        <v>0</v>
      </c>
      <c r="J901">
        <f t="shared" si="73"/>
        <v>1</v>
      </c>
    </row>
    <row r="902" spans="1:10" x14ac:dyDescent="0.25">
      <c r="A902" t="s">
        <v>347</v>
      </c>
      <c r="B902" t="s">
        <v>93</v>
      </c>
      <c r="C902" t="s">
        <v>56</v>
      </c>
      <c r="D902" s="3">
        <v>45636</v>
      </c>
      <c r="E902" t="str">
        <f>VLOOKUP(B902,'PROCV GERENTES BD'!A:B,2,0)</f>
        <v>NOELI SALETE</v>
      </c>
      <c r="F902" s="4" t="str">
        <f t="shared" si="74"/>
        <v>2024-12-1</v>
      </c>
      <c r="G902" t="str">
        <f t="shared" si="70"/>
        <v>NOELI SALETE</v>
      </c>
      <c r="H902" t="str">
        <f t="shared" si="71"/>
        <v>RODOBOX TRANSPORTES E ARMAZENAGEM DE CARGAS LTDA</v>
      </c>
      <c r="I902">
        <f t="shared" si="72"/>
        <v>0</v>
      </c>
      <c r="J902">
        <f t="shared" si="73"/>
        <v>1</v>
      </c>
    </row>
    <row r="903" spans="1:10" x14ac:dyDescent="0.25">
      <c r="A903" t="s">
        <v>408</v>
      </c>
      <c r="B903" t="s">
        <v>157</v>
      </c>
      <c r="C903" t="s">
        <v>56</v>
      </c>
      <c r="D903" s="3">
        <v>45636</v>
      </c>
      <c r="E903" t="str">
        <f>VLOOKUP(B903,'PROCV GERENTES BD'!A:B,2,0)</f>
        <v>NOELI SALETE</v>
      </c>
      <c r="F903" s="4" t="str">
        <f t="shared" si="74"/>
        <v>2024-12-1</v>
      </c>
      <c r="G903" t="str">
        <f t="shared" si="70"/>
        <v>NOELI SALETE</v>
      </c>
      <c r="H903" t="str">
        <f t="shared" si="71"/>
        <v>POOLMAK SISTEMAS ESTRUTURAIS LTDA</v>
      </c>
      <c r="I903">
        <f t="shared" si="72"/>
        <v>0</v>
      </c>
      <c r="J903">
        <f t="shared" si="73"/>
        <v>1</v>
      </c>
    </row>
    <row r="904" spans="1:10" x14ac:dyDescent="0.25">
      <c r="A904" t="s">
        <v>397</v>
      </c>
      <c r="B904" t="s">
        <v>143</v>
      </c>
      <c r="C904" t="s">
        <v>72</v>
      </c>
      <c r="D904" s="3">
        <v>45636</v>
      </c>
      <c r="E904" t="str">
        <f>VLOOKUP(B904,'PROCV GERENTES BD'!A:B,2,0)</f>
        <v>POENATELA</v>
      </c>
      <c r="F904" s="4" t="str">
        <f t="shared" si="74"/>
        <v>2024-12-1</v>
      </c>
      <c r="G904" t="str">
        <f t="shared" si="70"/>
        <v>POENATELA</v>
      </c>
      <c r="H904" t="str">
        <f t="shared" si="71"/>
        <v>CONQUISTA INDUSTRIA DE MOVEIS S/A</v>
      </c>
      <c r="I904">
        <f t="shared" si="72"/>
        <v>1</v>
      </c>
      <c r="J904">
        <f t="shared" si="73"/>
        <v>0</v>
      </c>
    </row>
    <row r="905" spans="1:10" x14ac:dyDescent="0.25">
      <c r="A905" t="s">
        <v>354</v>
      </c>
      <c r="B905" t="s">
        <v>97</v>
      </c>
      <c r="C905" t="s">
        <v>56</v>
      </c>
      <c r="D905" s="3">
        <v>45636</v>
      </c>
      <c r="E905" t="str">
        <f>VLOOKUP(B905,'PROCV GERENTES BD'!A:B,2,0)</f>
        <v>POENATELA</v>
      </c>
      <c r="F905" s="4" t="str">
        <f t="shared" si="74"/>
        <v>2024-12-1</v>
      </c>
      <c r="G905" t="str">
        <f t="shared" si="70"/>
        <v>POENATELA</v>
      </c>
      <c r="H905" t="str">
        <f t="shared" si="71"/>
        <v>UBERTEC SERVICE USINAGEM LTDA EPP</v>
      </c>
      <c r="I905">
        <f t="shared" si="72"/>
        <v>0</v>
      </c>
      <c r="J905">
        <f t="shared" si="73"/>
        <v>1</v>
      </c>
    </row>
    <row r="906" spans="1:10" x14ac:dyDescent="0.25">
      <c r="A906" t="s">
        <v>361</v>
      </c>
      <c r="B906" t="s">
        <v>103</v>
      </c>
      <c r="C906" t="s">
        <v>56</v>
      </c>
      <c r="D906" s="3">
        <v>45636</v>
      </c>
      <c r="E906" t="str">
        <f>VLOOKUP(B906,'PROCV GERENTES BD'!A:B,2,0)</f>
        <v>PRISCILA METZ</v>
      </c>
      <c r="F906" s="4" t="str">
        <f t="shared" si="74"/>
        <v>2024-12-1</v>
      </c>
      <c r="G906" t="str">
        <f t="shared" si="70"/>
        <v>PRISCILA METZ</v>
      </c>
      <c r="H906" t="str">
        <f t="shared" si="71"/>
        <v>ESSENZA INDUSTRIA QUIMICA LTDA</v>
      </c>
      <c r="I906">
        <f t="shared" si="72"/>
        <v>0</v>
      </c>
      <c r="J906">
        <f t="shared" si="73"/>
        <v>1</v>
      </c>
    </row>
    <row r="907" spans="1:10" x14ac:dyDescent="0.25">
      <c r="A907" t="s">
        <v>441</v>
      </c>
      <c r="B907" t="s">
        <v>191</v>
      </c>
      <c r="C907" t="s">
        <v>56</v>
      </c>
      <c r="D907" s="3">
        <v>45636</v>
      </c>
      <c r="E907" t="str">
        <f>VLOOKUP(B907,'PROCV GERENTES BD'!A:B,2,0)</f>
        <v>PRISCILA METZ</v>
      </c>
      <c r="F907" s="4" t="str">
        <f t="shared" si="74"/>
        <v>2024-12-1</v>
      </c>
      <c r="G907" t="str">
        <f t="shared" si="70"/>
        <v>PRISCILA METZ</v>
      </c>
      <c r="H907" t="str">
        <f t="shared" si="71"/>
        <v>FRANZAO COLCHOES LTDA EPP</v>
      </c>
      <c r="I907">
        <f t="shared" si="72"/>
        <v>0</v>
      </c>
      <c r="J907">
        <f t="shared" si="73"/>
        <v>1</v>
      </c>
    </row>
    <row r="908" spans="1:10" x14ac:dyDescent="0.25">
      <c r="A908" t="s">
        <v>384</v>
      </c>
      <c r="B908" t="s">
        <v>128</v>
      </c>
      <c r="C908" t="s">
        <v>56</v>
      </c>
      <c r="D908" s="3">
        <v>45636</v>
      </c>
      <c r="E908" t="str">
        <f>VLOOKUP(B908,'PROCV GERENTES BD'!A:B,2,0)</f>
        <v>PRISCILA METZ</v>
      </c>
      <c r="F908" s="4" t="str">
        <f t="shared" si="74"/>
        <v>2024-12-1</v>
      </c>
      <c r="G908" t="str">
        <f t="shared" si="70"/>
        <v>PRISCILA METZ</v>
      </c>
      <c r="H908" t="str">
        <f t="shared" si="71"/>
        <v>NOVA DISTRIBUIDORA E ATACADO DE LIMPEZA LTDA</v>
      </c>
      <c r="I908">
        <f t="shared" si="72"/>
        <v>0</v>
      </c>
      <c r="J908">
        <f t="shared" si="73"/>
        <v>1</v>
      </c>
    </row>
    <row r="909" spans="1:10" x14ac:dyDescent="0.25">
      <c r="A909" t="s">
        <v>412</v>
      </c>
      <c r="B909" t="s">
        <v>161</v>
      </c>
      <c r="C909" t="s">
        <v>56</v>
      </c>
      <c r="D909" s="3">
        <v>45637</v>
      </c>
      <c r="E909" t="str">
        <f>VLOOKUP(B909,'PROCV GERENTES BD'!A:B,2,0)</f>
        <v>ADMINISTRAÇÃO</v>
      </c>
      <c r="F909" s="4" t="str">
        <f t="shared" si="74"/>
        <v>2024-12-1</v>
      </c>
      <c r="G909" t="str">
        <f t="shared" si="70"/>
        <v>ADMINISTRAÇÃO</v>
      </c>
      <c r="H909" t="str">
        <f t="shared" si="71"/>
        <v>PRIVILEGIO CONFECCOES CAMA MESA E BANHO LTDA EPP</v>
      </c>
      <c r="I909">
        <f t="shared" si="72"/>
        <v>0</v>
      </c>
      <c r="J909">
        <f t="shared" si="73"/>
        <v>1</v>
      </c>
    </row>
    <row r="910" spans="1:10" x14ac:dyDescent="0.25">
      <c r="A910" t="s">
        <v>318</v>
      </c>
      <c r="B910" t="s">
        <v>87</v>
      </c>
      <c r="C910" t="s">
        <v>72</v>
      </c>
      <c r="D910" s="3">
        <v>45637</v>
      </c>
      <c r="E910" t="str">
        <f>VLOOKUP(B910,'PROCV GERENTES BD'!A:B,2,0)</f>
        <v>CELIO PIMENTA</v>
      </c>
      <c r="F910" s="4" t="str">
        <f t="shared" si="74"/>
        <v>2024-12-1</v>
      </c>
      <c r="G910" t="str">
        <f t="shared" si="70"/>
        <v>CELIO PIMENTA</v>
      </c>
      <c r="H910" t="str">
        <f t="shared" si="71"/>
        <v>MBIOLOG DIAGNOSTICOS LTDA</v>
      </c>
      <c r="I910">
        <f t="shared" si="72"/>
        <v>1</v>
      </c>
      <c r="J910">
        <f t="shared" si="73"/>
        <v>0</v>
      </c>
    </row>
    <row r="911" spans="1:10" x14ac:dyDescent="0.25">
      <c r="A911" t="s">
        <v>331</v>
      </c>
      <c r="B911" t="s">
        <v>126</v>
      </c>
      <c r="C911" t="s">
        <v>72</v>
      </c>
      <c r="D911" s="3">
        <v>45637</v>
      </c>
      <c r="E911" t="str">
        <f>VLOOKUP(B911,'PROCV GERENTES BD'!A:B,2,0)</f>
        <v>FITZ</v>
      </c>
      <c r="F911" s="4" t="str">
        <f t="shared" si="74"/>
        <v>2024-12-1</v>
      </c>
      <c r="G911" t="str">
        <f t="shared" si="70"/>
        <v>FITZ</v>
      </c>
      <c r="H911" t="str">
        <f t="shared" si="71"/>
        <v>TRANSHENRY TRANSPORTES LTDA</v>
      </c>
      <c r="I911">
        <f t="shared" si="72"/>
        <v>1</v>
      </c>
      <c r="J911">
        <f t="shared" si="73"/>
        <v>0</v>
      </c>
    </row>
    <row r="912" spans="1:10" x14ac:dyDescent="0.25">
      <c r="A912" t="s">
        <v>403</v>
      </c>
      <c r="B912" t="s">
        <v>152</v>
      </c>
      <c r="C912" t="s">
        <v>56</v>
      </c>
      <c r="D912" s="3">
        <v>45637</v>
      </c>
      <c r="E912" t="str">
        <f>VLOOKUP(B912,'PROCV GERENTES BD'!A:B,2,0)</f>
        <v>MARCIO LEONEL</v>
      </c>
      <c r="F912" s="4" t="str">
        <f t="shared" si="74"/>
        <v>2024-12-1</v>
      </c>
      <c r="G912" t="str">
        <f t="shared" si="70"/>
        <v>MARCIO LEONEL</v>
      </c>
      <c r="H912" t="str">
        <f t="shared" si="71"/>
        <v>MEDICAL PRIME IMP EXPORT DISTRIB PRODUTOS MEDICOS</v>
      </c>
      <c r="I912">
        <f t="shared" si="72"/>
        <v>0</v>
      </c>
      <c r="J912">
        <f t="shared" si="73"/>
        <v>1</v>
      </c>
    </row>
    <row r="913" spans="1:10" x14ac:dyDescent="0.25">
      <c r="A913" t="s">
        <v>377</v>
      </c>
      <c r="B913" t="s">
        <v>120</v>
      </c>
      <c r="C913" t="s">
        <v>56</v>
      </c>
      <c r="D913" s="3">
        <v>45637</v>
      </c>
      <c r="E913" t="str">
        <f>VLOOKUP(B913,'PROCV GERENTES BD'!A:B,2,0)</f>
        <v xml:space="preserve">MARCUS VINICIUS </v>
      </c>
      <c r="F913" s="4" t="str">
        <f t="shared" si="74"/>
        <v>2024-12-1</v>
      </c>
      <c r="G913" t="str">
        <f t="shared" si="70"/>
        <v xml:space="preserve">MARCUS VINICIUS </v>
      </c>
      <c r="H913" t="str">
        <f t="shared" si="71"/>
        <v>ISOBASE POLIESTIRENO LTDA EPP</v>
      </c>
      <c r="I913">
        <f t="shared" si="72"/>
        <v>0</v>
      </c>
      <c r="J913">
        <f t="shared" si="73"/>
        <v>1</v>
      </c>
    </row>
    <row r="914" spans="1:10" x14ac:dyDescent="0.25">
      <c r="A914" t="s">
        <v>436</v>
      </c>
      <c r="B914" t="s">
        <v>186</v>
      </c>
      <c r="C914" t="s">
        <v>56</v>
      </c>
      <c r="D914" s="3">
        <v>45637</v>
      </c>
      <c r="E914" t="str">
        <f>VLOOKUP(B914,'PROCV GERENTES BD'!A:B,2,0)</f>
        <v xml:space="preserve">MARCUS VINICIUS </v>
      </c>
      <c r="F914" s="4" t="str">
        <f t="shared" si="74"/>
        <v>2024-12-1</v>
      </c>
      <c r="G914" t="str">
        <f t="shared" si="70"/>
        <v xml:space="preserve">MARCUS VINICIUS </v>
      </c>
      <c r="H914" t="str">
        <f t="shared" si="71"/>
        <v>LABOR ELETRIC INDUSTRIA E COMERCIO UNIPESSOAL LTDA</v>
      </c>
      <c r="I914">
        <f t="shared" si="72"/>
        <v>0</v>
      </c>
      <c r="J914">
        <f t="shared" si="73"/>
        <v>1</v>
      </c>
    </row>
    <row r="915" spans="1:10" x14ac:dyDescent="0.25">
      <c r="A915" t="s">
        <v>446</v>
      </c>
      <c r="B915" t="s">
        <v>196</v>
      </c>
      <c r="C915" t="s">
        <v>56</v>
      </c>
      <c r="D915" s="3">
        <v>45637</v>
      </c>
      <c r="E915" t="str">
        <f>VLOOKUP(B915,'PROCV GERENTES BD'!A:B,2,0)</f>
        <v>NOELI SALETE</v>
      </c>
      <c r="F915" s="4" t="str">
        <f t="shared" si="74"/>
        <v>2024-12-1</v>
      </c>
      <c r="G915" t="str">
        <f t="shared" si="70"/>
        <v>NOELI SALETE</v>
      </c>
      <c r="H915" t="str">
        <f t="shared" si="71"/>
        <v>AGRO INDUSTRIAL LAZZERI LTDA</v>
      </c>
      <c r="I915">
        <f t="shared" si="72"/>
        <v>0</v>
      </c>
      <c r="J915">
        <f t="shared" si="73"/>
        <v>1</v>
      </c>
    </row>
    <row r="916" spans="1:10" x14ac:dyDescent="0.25">
      <c r="A916" t="s">
        <v>402</v>
      </c>
      <c r="B916" t="s">
        <v>150</v>
      </c>
      <c r="C916" t="s">
        <v>56</v>
      </c>
      <c r="D916" s="3">
        <v>45637</v>
      </c>
      <c r="E916" t="str">
        <f>VLOOKUP(B916,'PROCV GERENTES BD'!A:B,2,0)</f>
        <v>NOELI SALETE</v>
      </c>
      <c r="F916" s="4" t="str">
        <f t="shared" si="74"/>
        <v>2024-12-1</v>
      </c>
      <c r="G916" t="str">
        <f t="shared" si="70"/>
        <v>NOELI SALETE</v>
      </c>
      <c r="H916" t="str">
        <f t="shared" si="71"/>
        <v>ALBERTO H DA SILVA ME</v>
      </c>
      <c r="I916">
        <f t="shared" si="72"/>
        <v>0</v>
      </c>
      <c r="J916">
        <f t="shared" si="73"/>
        <v>1</v>
      </c>
    </row>
    <row r="917" spans="1:10" x14ac:dyDescent="0.25">
      <c r="A917" t="s">
        <v>397</v>
      </c>
      <c r="B917" t="s">
        <v>143</v>
      </c>
      <c r="C917" t="s">
        <v>72</v>
      </c>
      <c r="D917" s="3">
        <v>45637</v>
      </c>
      <c r="E917" t="str">
        <f>VLOOKUP(B917,'PROCV GERENTES BD'!A:B,2,0)</f>
        <v>POENATELA</v>
      </c>
      <c r="F917" s="4" t="str">
        <f t="shared" si="74"/>
        <v>2024-12-1</v>
      </c>
      <c r="G917" t="str">
        <f t="shared" si="70"/>
        <v>POENATELA</v>
      </c>
      <c r="H917" t="str">
        <f t="shared" si="71"/>
        <v>CONQUISTA INDUSTRIA DE MOVEIS S/A</v>
      </c>
      <c r="I917">
        <f t="shared" si="72"/>
        <v>1</v>
      </c>
      <c r="J917">
        <f t="shared" si="73"/>
        <v>0</v>
      </c>
    </row>
    <row r="918" spans="1:10" x14ac:dyDescent="0.25">
      <c r="A918" t="s">
        <v>354</v>
      </c>
      <c r="B918" t="s">
        <v>97</v>
      </c>
      <c r="C918" t="s">
        <v>59</v>
      </c>
      <c r="D918" s="3">
        <v>45637</v>
      </c>
      <c r="E918" t="str">
        <f>VLOOKUP(B918,'PROCV GERENTES BD'!A:B,2,0)</f>
        <v>POENATELA</v>
      </c>
      <c r="F918" s="4" t="str">
        <f t="shared" si="74"/>
        <v>2024-12-1</v>
      </c>
      <c r="G918" t="str">
        <f t="shared" si="70"/>
        <v>POENATELA</v>
      </c>
      <c r="H918" t="str">
        <f t="shared" si="71"/>
        <v>UBERTEC SERVICE USINAGEM LTDA EPP</v>
      </c>
      <c r="I918">
        <f t="shared" si="72"/>
        <v>0</v>
      </c>
      <c r="J918">
        <f t="shared" si="73"/>
        <v>0</v>
      </c>
    </row>
    <row r="919" spans="1:10" x14ac:dyDescent="0.25">
      <c r="A919" t="s">
        <v>444</v>
      </c>
      <c r="B919" t="s">
        <v>194</v>
      </c>
      <c r="C919" t="s">
        <v>56</v>
      </c>
      <c r="D919" s="3">
        <v>45637</v>
      </c>
      <c r="E919" t="str">
        <f>VLOOKUP(B919,'PROCV GERENTES BD'!A:B,2,0)</f>
        <v>PRISCILA METZ</v>
      </c>
      <c r="F919" s="4" t="str">
        <f t="shared" si="74"/>
        <v>2024-12-1</v>
      </c>
      <c r="G919" t="str">
        <f t="shared" si="70"/>
        <v>PRISCILA METZ</v>
      </c>
      <c r="H919" t="str">
        <f t="shared" si="71"/>
        <v>BIO HEALTH COLCHOES LTDA EPP</v>
      </c>
      <c r="I919">
        <f t="shared" si="72"/>
        <v>0</v>
      </c>
      <c r="J919">
        <f t="shared" si="73"/>
        <v>1</v>
      </c>
    </row>
    <row r="920" spans="1:10" x14ac:dyDescent="0.25">
      <c r="A920" t="s">
        <v>361</v>
      </c>
      <c r="B920" t="s">
        <v>103</v>
      </c>
      <c r="C920" t="s">
        <v>56</v>
      </c>
      <c r="D920" s="3">
        <v>45637</v>
      </c>
      <c r="E920" t="str">
        <f>VLOOKUP(B920,'PROCV GERENTES BD'!A:B,2,0)</f>
        <v>PRISCILA METZ</v>
      </c>
      <c r="F920" s="4" t="str">
        <f t="shared" si="74"/>
        <v>2024-12-1</v>
      </c>
      <c r="G920" t="str">
        <f t="shared" si="70"/>
        <v>PRISCILA METZ</v>
      </c>
      <c r="H920" t="str">
        <f t="shared" si="71"/>
        <v>ESSENZA INDUSTRIA QUIMICA LTDA</v>
      </c>
      <c r="I920">
        <f t="shared" si="72"/>
        <v>0</v>
      </c>
      <c r="J920">
        <f t="shared" si="73"/>
        <v>1</v>
      </c>
    </row>
    <row r="921" spans="1:10" x14ac:dyDescent="0.25">
      <c r="A921" t="s">
        <v>441</v>
      </c>
      <c r="B921" t="s">
        <v>191</v>
      </c>
      <c r="C921" t="s">
        <v>59</v>
      </c>
      <c r="D921" s="3">
        <v>45637</v>
      </c>
      <c r="E921" t="str">
        <f>VLOOKUP(B921,'PROCV GERENTES BD'!A:B,2,0)</f>
        <v>PRISCILA METZ</v>
      </c>
      <c r="F921" s="4" t="str">
        <f t="shared" si="74"/>
        <v>2024-12-1</v>
      </c>
      <c r="G921" t="str">
        <f t="shared" si="70"/>
        <v>PRISCILA METZ</v>
      </c>
      <c r="H921" t="str">
        <f t="shared" si="71"/>
        <v>FRANZAO COLCHOES LTDA EPP</v>
      </c>
      <c r="I921">
        <f t="shared" si="72"/>
        <v>0</v>
      </c>
      <c r="J921">
        <f t="shared" si="73"/>
        <v>0</v>
      </c>
    </row>
    <row r="922" spans="1:10" x14ac:dyDescent="0.25">
      <c r="A922" t="s">
        <v>333</v>
      </c>
      <c r="B922" t="s">
        <v>129</v>
      </c>
      <c r="C922" t="s">
        <v>56</v>
      </c>
      <c r="D922" s="3">
        <v>45637</v>
      </c>
      <c r="E922" t="s">
        <v>25</v>
      </c>
      <c r="F922" s="4" t="str">
        <f t="shared" si="74"/>
        <v>2024-12-1</v>
      </c>
      <c r="G922" t="str">
        <f t="shared" si="70"/>
        <v xml:space="preserve">ROGERIO </v>
      </c>
      <c r="H922" t="str">
        <f t="shared" si="71"/>
        <v>BIBE PRODUTOS INFANTIS LTDA</v>
      </c>
      <c r="I922">
        <f t="shared" si="72"/>
        <v>0</v>
      </c>
      <c r="J922">
        <f t="shared" si="73"/>
        <v>1</v>
      </c>
    </row>
    <row r="923" spans="1:10" x14ac:dyDescent="0.25">
      <c r="A923" t="s">
        <v>439</v>
      </c>
      <c r="B923" t="s">
        <v>189</v>
      </c>
      <c r="C923" t="s">
        <v>56</v>
      </c>
      <c r="D923" s="3">
        <v>45637</v>
      </c>
      <c r="E923" t="s">
        <v>25</v>
      </c>
      <c r="F923" s="4" t="str">
        <f t="shared" si="74"/>
        <v>2024-12-1</v>
      </c>
      <c r="G923" t="str">
        <f t="shared" si="70"/>
        <v xml:space="preserve">ROGERIO </v>
      </c>
      <c r="H923" t="str">
        <f t="shared" si="71"/>
        <v>GRF JEANS WEAR LTDA ME</v>
      </c>
      <c r="I923">
        <f t="shared" si="72"/>
        <v>0</v>
      </c>
      <c r="J923">
        <f t="shared" si="73"/>
        <v>1</v>
      </c>
    </row>
    <row r="924" spans="1:10" x14ac:dyDescent="0.25">
      <c r="A924" t="s">
        <v>424</v>
      </c>
      <c r="B924" t="s">
        <v>173</v>
      </c>
      <c r="C924" t="s">
        <v>72</v>
      </c>
      <c r="D924" s="3">
        <v>45637</v>
      </c>
      <c r="E924" t="s">
        <v>25</v>
      </c>
      <c r="F924" s="4" t="str">
        <f t="shared" si="74"/>
        <v>2024-12-1</v>
      </c>
      <c r="G924" t="str">
        <f t="shared" si="70"/>
        <v xml:space="preserve">ROGERIO </v>
      </c>
      <c r="H924" t="str">
        <f t="shared" si="71"/>
        <v>LUCCI ILUMINACAO LTDA EPP</v>
      </c>
      <c r="I924">
        <f t="shared" si="72"/>
        <v>1</v>
      </c>
      <c r="J924">
        <f t="shared" si="73"/>
        <v>0</v>
      </c>
    </row>
    <row r="925" spans="1:10" x14ac:dyDescent="0.25">
      <c r="A925" t="s">
        <v>356</v>
      </c>
      <c r="B925" t="s">
        <v>99</v>
      </c>
      <c r="C925" t="s">
        <v>56</v>
      </c>
      <c r="D925" s="3">
        <v>45637</v>
      </c>
      <c r="E925" t="str">
        <f>VLOOKUP(B925,'PROCV GERENTES BD'!A:B,2,0)</f>
        <v>WHELKYA IRIS</v>
      </c>
      <c r="F925" s="4" t="str">
        <f t="shared" si="74"/>
        <v>2024-12-1</v>
      </c>
      <c r="G925" t="str">
        <f t="shared" si="70"/>
        <v>WHELKYA IRIS</v>
      </c>
      <c r="H925" t="str">
        <f t="shared" si="71"/>
        <v>DIVINA INDUSTRIA DE COURO LTDA</v>
      </c>
      <c r="I925">
        <f t="shared" si="72"/>
        <v>0</v>
      </c>
      <c r="J925">
        <f t="shared" si="73"/>
        <v>1</v>
      </c>
    </row>
    <row r="926" spans="1:10" x14ac:dyDescent="0.25">
      <c r="A926" t="s">
        <v>326</v>
      </c>
      <c r="B926" t="s">
        <v>86</v>
      </c>
      <c r="C926" t="s">
        <v>56</v>
      </c>
      <c r="D926" s="3">
        <v>45638</v>
      </c>
      <c r="E926" t="str">
        <f>VLOOKUP(B926,'PROCV GERENTES BD'!A:B,2,0)</f>
        <v>CELIO PIMENTA</v>
      </c>
      <c r="F926" s="4" t="str">
        <f t="shared" si="74"/>
        <v>2024-12-1</v>
      </c>
      <c r="G926" t="str">
        <f t="shared" si="70"/>
        <v>CELIO PIMENTA</v>
      </c>
      <c r="H926" t="str">
        <f t="shared" si="71"/>
        <v>IMPORTEXTIL COMERCIO DE TECIDOS LTDA</v>
      </c>
      <c r="I926">
        <f t="shared" si="72"/>
        <v>0</v>
      </c>
      <c r="J926">
        <f t="shared" si="73"/>
        <v>1</v>
      </c>
    </row>
    <row r="927" spans="1:10" x14ac:dyDescent="0.25">
      <c r="A927" t="s">
        <v>366</v>
      </c>
      <c r="B927" t="s">
        <v>111</v>
      </c>
      <c r="C927" t="s">
        <v>72</v>
      </c>
      <c r="D927" s="3">
        <v>45638</v>
      </c>
      <c r="E927" t="str">
        <f>VLOOKUP(B927,'PROCV GERENTES BD'!A:B,2,0)</f>
        <v>DIOGO AZEVEDO</v>
      </c>
      <c r="F927" s="4" t="str">
        <f t="shared" si="74"/>
        <v>2024-12-1</v>
      </c>
      <c r="G927" t="str">
        <f t="shared" si="70"/>
        <v>DIOGO AZEVEDO</v>
      </c>
      <c r="H927" t="str">
        <f t="shared" si="71"/>
        <v>INDUSTRIA E CERVEJARIA ARTESANAL DE MINAS GERAIS L</v>
      </c>
      <c r="I927">
        <f t="shared" si="72"/>
        <v>1</v>
      </c>
      <c r="J927">
        <f t="shared" si="73"/>
        <v>0</v>
      </c>
    </row>
    <row r="928" spans="1:10" x14ac:dyDescent="0.25">
      <c r="A928" t="s">
        <v>403</v>
      </c>
      <c r="B928" t="s">
        <v>152</v>
      </c>
      <c r="C928" t="s">
        <v>56</v>
      </c>
      <c r="D928" s="3">
        <v>45638</v>
      </c>
      <c r="E928" t="str">
        <f>VLOOKUP(B928,'PROCV GERENTES BD'!A:B,2,0)</f>
        <v>MARCIO LEONEL</v>
      </c>
      <c r="F928" s="4" t="str">
        <f t="shared" si="74"/>
        <v>2024-12-1</v>
      </c>
      <c r="G928" t="str">
        <f t="shared" si="70"/>
        <v>MARCIO LEONEL</v>
      </c>
      <c r="H928" t="str">
        <f t="shared" si="71"/>
        <v>MEDICAL PRIME IMP EXPORT DISTRIB PRODUTOS MEDICOS</v>
      </c>
      <c r="I928">
        <f t="shared" si="72"/>
        <v>0</v>
      </c>
      <c r="J928">
        <f t="shared" si="73"/>
        <v>1</v>
      </c>
    </row>
    <row r="929" spans="1:10" x14ac:dyDescent="0.25">
      <c r="A929" t="s">
        <v>436</v>
      </c>
      <c r="B929" t="s">
        <v>186</v>
      </c>
      <c r="C929" t="s">
        <v>56</v>
      </c>
      <c r="D929" s="3">
        <v>45638</v>
      </c>
      <c r="E929" t="str">
        <f>VLOOKUP(B929,'PROCV GERENTES BD'!A:B,2,0)</f>
        <v xml:space="preserve">MARCUS VINICIUS </v>
      </c>
      <c r="F929" s="4" t="str">
        <f t="shared" si="74"/>
        <v>2024-12-1</v>
      </c>
      <c r="G929" t="str">
        <f t="shared" si="70"/>
        <v xml:space="preserve">MARCUS VINICIUS </v>
      </c>
      <c r="H929" t="str">
        <f t="shared" si="71"/>
        <v>LABOR ELETRIC INDUSTRIA E COMERCIO UNIPESSOAL LTDA</v>
      </c>
      <c r="I929">
        <f t="shared" si="72"/>
        <v>0</v>
      </c>
      <c r="J929">
        <f t="shared" si="73"/>
        <v>1</v>
      </c>
    </row>
    <row r="930" spans="1:10" x14ac:dyDescent="0.25">
      <c r="A930" t="s">
        <v>347</v>
      </c>
      <c r="B930" t="s">
        <v>93</v>
      </c>
      <c r="C930" t="s">
        <v>56</v>
      </c>
      <c r="D930" s="3">
        <v>45638</v>
      </c>
      <c r="E930" t="str">
        <f>VLOOKUP(B930,'PROCV GERENTES BD'!A:B,2,0)</f>
        <v>NOELI SALETE</v>
      </c>
      <c r="F930" s="4" t="str">
        <f t="shared" si="74"/>
        <v>2024-12-1</v>
      </c>
      <c r="G930" t="str">
        <f t="shared" si="70"/>
        <v>NOELI SALETE</v>
      </c>
      <c r="H930" t="str">
        <f t="shared" si="71"/>
        <v>RODOBOX TRANSPORTES E ARMAZENAGEM DE CARGAS LTDA</v>
      </c>
      <c r="I930">
        <f t="shared" si="72"/>
        <v>0</v>
      </c>
      <c r="J930">
        <f t="shared" si="73"/>
        <v>1</v>
      </c>
    </row>
    <row r="931" spans="1:10" x14ac:dyDescent="0.25">
      <c r="A931" t="s">
        <v>397</v>
      </c>
      <c r="B931" t="s">
        <v>143</v>
      </c>
      <c r="C931" t="s">
        <v>72</v>
      </c>
      <c r="D931" s="3">
        <v>45638</v>
      </c>
      <c r="E931" t="str">
        <f>VLOOKUP(B931,'PROCV GERENTES BD'!A:B,2,0)</f>
        <v>POENATELA</v>
      </c>
      <c r="F931" s="4" t="str">
        <f t="shared" si="74"/>
        <v>2024-12-1</v>
      </c>
      <c r="G931" t="str">
        <f t="shared" si="70"/>
        <v>POENATELA</v>
      </c>
      <c r="H931" t="str">
        <f t="shared" si="71"/>
        <v>CONQUISTA INDUSTRIA DE MOVEIS S/A</v>
      </c>
      <c r="I931">
        <f t="shared" si="72"/>
        <v>1</v>
      </c>
      <c r="J931">
        <f t="shared" si="73"/>
        <v>0</v>
      </c>
    </row>
    <row r="932" spans="1:10" x14ac:dyDescent="0.25">
      <c r="A932" t="s">
        <v>354</v>
      </c>
      <c r="B932" t="s">
        <v>97</v>
      </c>
      <c r="C932" t="s">
        <v>56</v>
      </c>
      <c r="D932" s="3">
        <v>45638</v>
      </c>
      <c r="E932" t="str">
        <f>VLOOKUP(B932,'PROCV GERENTES BD'!A:B,2,0)</f>
        <v>POENATELA</v>
      </c>
      <c r="F932" s="4" t="str">
        <f t="shared" si="74"/>
        <v>2024-12-1</v>
      </c>
      <c r="G932" t="str">
        <f t="shared" si="70"/>
        <v>POENATELA</v>
      </c>
      <c r="H932" t="str">
        <f t="shared" si="71"/>
        <v>UBERTEC SERVICE USINAGEM LTDA EPP</v>
      </c>
      <c r="I932">
        <f t="shared" si="72"/>
        <v>0</v>
      </c>
      <c r="J932">
        <f t="shared" si="73"/>
        <v>1</v>
      </c>
    </row>
    <row r="933" spans="1:10" x14ac:dyDescent="0.25">
      <c r="A933" t="s">
        <v>449</v>
      </c>
      <c r="B933" t="s">
        <v>199</v>
      </c>
      <c r="C933" t="s">
        <v>56</v>
      </c>
      <c r="D933" s="3">
        <v>45638</v>
      </c>
      <c r="E933" t="s">
        <v>25</v>
      </c>
      <c r="F933" s="4" t="str">
        <f t="shared" si="74"/>
        <v>2024-12-1</v>
      </c>
      <c r="G933" t="str">
        <f t="shared" si="70"/>
        <v xml:space="preserve">ROGERIO </v>
      </c>
      <c r="H933" t="str">
        <f t="shared" si="71"/>
        <v>FRUIT INDUSTRIA E COMERCIO LTDA ME</v>
      </c>
      <c r="I933">
        <f t="shared" si="72"/>
        <v>0</v>
      </c>
      <c r="J933">
        <f t="shared" si="73"/>
        <v>1</v>
      </c>
    </row>
    <row r="934" spans="1:10" x14ac:dyDescent="0.25">
      <c r="A934" t="s">
        <v>321</v>
      </c>
      <c r="B934" t="s">
        <v>104</v>
      </c>
      <c r="C934" t="s">
        <v>56</v>
      </c>
      <c r="D934" s="3">
        <v>45638</v>
      </c>
      <c r="E934" t="str">
        <f>VLOOKUP(B934,'PROCV GERENTES BD'!A:B,2,0)</f>
        <v>THAYNA/COMERCIAL</v>
      </c>
      <c r="F934" s="4" t="str">
        <f t="shared" si="74"/>
        <v>2024-12-1</v>
      </c>
      <c r="G934" t="str">
        <f t="shared" si="70"/>
        <v>THAYNA/COMERCIAL</v>
      </c>
      <c r="H934" t="str">
        <f t="shared" si="71"/>
        <v>MUTCD CENTRO DISTRIBUICAO IND FABRICANTE COSMETICO</v>
      </c>
      <c r="I934">
        <f t="shared" si="72"/>
        <v>0</v>
      </c>
      <c r="J934">
        <f t="shared" si="73"/>
        <v>1</v>
      </c>
    </row>
    <row r="935" spans="1:10" x14ac:dyDescent="0.25">
      <c r="A935" t="s">
        <v>326</v>
      </c>
      <c r="B935" t="s">
        <v>86</v>
      </c>
      <c r="C935" t="s">
        <v>56</v>
      </c>
      <c r="D935" s="3">
        <v>45639</v>
      </c>
      <c r="E935" t="str">
        <f>VLOOKUP(B935,'PROCV GERENTES BD'!A:B,2,0)</f>
        <v>CELIO PIMENTA</v>
      </c>
      <c r="F935" s="4" t="str">
        <f t="shared" si="74"/>
        <v>2024-12-1</v>
      </c>
      <c r="G935" t="str">
        <f t="shared" si="70"/>
        <v>CELIO PIMENTA</v>
      </c>
      <c r="H935" t="str">
        <f t="shared" si="71"/>
        <v>IMPORTEXTIL COMERCIO DE TECIDOS LTDA</v>
      </c>
      <c r="I935">
        <f t="shared" si="72"/>
        <v>0</v>
      </c>
      <c r="J935">
        <f t="shared" si="73"/>
        <v>1</v>
      </c>
    </row>
    <row r="936" spans="1:10" x14ac:dyDescent="0.25">
      <c r="A936" t="s">
        <v>436</v>
      </c>
      <c r="B936" t="s">
        <v>186</v>
      </c>
      <c r="C936" t="s">
        <v>56</v>
      </c>
      <c r="D936" s="3">
        <v>45639</v>
      </c>
      <c r="E936" t="str">
        <f>VLOOKUP(B936,'PROCV GERENTES BD'!A:B,2,0)</f>
        <v xml:space="preserve">MARCUS VINICIUS </v>
      </c>
      <c r="F936" s="4" t="str">
        <f t="shared" si="74"/>
        <v>2024-12-1</v>
      </c>
      <c r="G936" t="str">
        <f t="shared" si="70"/>
        <v xml:space="preserve">MARCUS VINICIUS </v>
      </c>
      <c r="H936" t="str">
        <f t="shared" si="71"/>
        <v>LABOR ELETRIC INDUSTRIA E COMERCIO UNIPESSOAL LTDA</v>
      </c>
      <c r="I936">
        <f t="shared" si="72"/>
        <v>0</v>
      </c>
      <c r="J936">
        <f t="shared" si="73"/>
        <v>1</v>
      </c>
    </row>
    <row r="937" spans="1:10" x14ac:dyDescent="0.25">
      <c r="A937" t="s">
        <v>347</v>
      </c>
      <c r="B937" t="s">
        <v>93</v>
      </c>
      <c r="C937" t="s">
        <v>56</v>
      </c>
      <c r="D937" s="3">
        <v>45639</v>
      </c>
      <c r="E937" t="str">
        <f>VLOOKUP(B937,'PROCV GERENTES BD'!A:B,2,0)</f>
        <v>NOELI SALETE</v>
      </c>
      <c r="F937" s="4" t="str">
        <f t="shared" si="74"/>
        <v>2024-12-1</v>
      </c>
      <c r="G937" t="str">
        <f t="shared" si="70"/>
        <v>NOELI SALETE</v>
      </c>
      <c r="H937" t="str">
        <f t="shared" si="71"/>
        <v>RODOBOX TRANSPORTES E ARMAZENAGEM DE CARGAS LTDA</v>
      </c>
      <c r="I937">
        <f t="shared" si="72"/>
        <v>0</v>
      </c>
      <c r="J937">
        <f t="shared" si="73"/>
        <v>1</v>
      </c>
    </row>
    <row r="938" spans="1:10" x14ac:dyDescent="0.25">
      <c r="A938" t="s">
        <v>402</v>
      </c>
      <c r="B938" t="s">
        <v>150</v>
      </c>
      <c r="C938" t="s">
        <v>56</v>
      </c>
      <c r="D938" s="3">
        <v>45639</v>
      </c>
      <c r="E938" t="str">
        <f>VLOOKUP(B938,'PROCV GERENTES BD'!A:B,2,0)</f>
        <v>NOELI SALETE</v>
      </c>
      <c r="F938" s="4" t="str">
        <f t="shared" si="74"/>
        <v>2024-12-1</v>
      </c>
      <c r="G938" t="str">
        <f t="shared" si="70"/>
        <v>NOELI SALETE</v>
      </c>
      <c r="H938" t="str">
        <f t="shared" si="71"/>
        <v>ALBERTO H DA SILVA ME</v>
      </c>
      <c r="I938">
        <f t="shared" si="72"/>
        <v>0</v>
      </c>
      <c r="J938">
        <f t="shared" si="73"/>
        <v>1</v>
      </c>
    </row>
    <row r="939" spans="1:10" x14ac:dyDescent="0.25">
      <c r="A939" t="s">
        <v>397</v>
      </c>
      <c r="B939" t="s">
        <v>143</v>
      </c>
      <c r="C939" t="s">
        <v>72</v>
      </c>
      <c r="D939" s="3">
        <v>45639</v>
      </c>
      <c r="E939" t="str">
        <f>VLOOKUP(B939,'PROCV GERENTES BD'!A:B,2,0)</f>
        <v>POENATELA</v>
      </c>
      <c r="F939" s="4" t="str">
        <f t="shared" si="74"/>
        <v>2024-12-1</v>
      </c>
      <c r="G939" t="str">
        <f t="shared" si="70"/>
        <v>POENATELA</v>
      </c>
      <c r="H939" t="str">
        <f t="shared" si="71"/>
        <v>CONQUISTA INDUSTRIA DE MOVEIS S/A</v>
      </c>
      <c r="I939">
        <f t="shared" si="72"/>
        <v>1</v>
      </c>
      <c r="J939">
        <f t="shared" si="73"/>
        <v>0</v>
      </c>
    </row>
    <row r="940" spans="1:10" x14ac:dyDescent="0.25">
      <c r="A940" t="s">
        <v>354</v>
      </c>
      <c r="B940" t="s">
        <v>97</v>
      </c>
      <c r="C940" t="s">
        <v>56</v>
      </c>
      <c r="D940" s="3">
        <v>45639</v>
      </c>
      <c r="E940" t="str">
        <f>VLOOKUP(B940,'PROCV GERENTES BD'!A:B,2,0)</f>
        <v>POENATELA</v>
      </c>
      <c r="F940" s="4" t="str">
        <f t="shared" si="74"/>
        <v>2024-12-1</v>
      </c>
      <c r="G940" t="str">
        <f t="shared" si="70"/>
        <v>POENATELA</v>
      </c>
      <c r="H940" t="str">
        <f t="shared" si="71"/>
        <v>UBERTEC SERVICE USINAGEM LTDA EPP</v>
      </c>
      <c r="I940">
        <f t="shared" si="72"/>
        <v>0</v>
      </c>
      <c r="J940">
        <f t="shared" si="73"/>
        <v>1</v>
      </c>
    </row>
    <row r="941" spans="1:10" x14ac:dyDescent="0.25">
      <c r="A941" t="s">
        <v>444</v>
      </c>
      <c r="B941" t="s">
        <v>194</v>
      </c>
      <c r="C941" t="s">
        <v>72</v>
      </c>
      <c r="D941" s="3">
        <v>45639</v>
      </c>
      <c r="E941" t="str">
        <f>VLOOKUP(B941,'PROCV GERENTES BD'!A:B,2,0)</f>
        <v>PRISCILA METZ</v>
      </c>
      <c r="F941" s="4" t="str">
        <f t="shared" si="74"/>
        <v>2024-12-1</v>
      </c>
      <c r="G941" t="str">
        <f t="shared" si="70"/>
        <v>PRISCILA METZ</v>
      </c>
      <c r="H941" t="str">
        <f t="shared" si="71"/>
        <v>BIO HEALTH COLCHOES LTDA EPP</v>
      </c>
      <c r="I941">
        <f t="shared" si="72"/>
        <v>1</v>
      </c>
      <c r="J941">
        <f t="shared" si="73"/>
        <v>0</v>
      </c>
    </row>
    <row r="942" spans="1:10" x14ac:dyDescent="0.25">
      <c r="A942" t="s">
        <v>441</v>
      </c>
      <c r="B942" t="s">
        <v>191</v>
      </c>
      <c r="C942" t="s">
        <v>72</v>
      </c>
      <c r="D942" s="3">
        <v>45639</v>
      </c>
      <c r="E942" t="str">
        <f>VLOOKUP(B942,'PROCV GERENTES BD'!A:B,2,0)</f>
        <v>PRISCILA METZ</v>
      </c>
      <c r="F942" s="4" t="str">
        <f t="shared" si="74"/>
        <v>2024-12-1</v>
      </c>
      <c r="G942" t="str">
        <f t="shared" si="70"/>
        <v>PRISCILA METZ</v>
      </c>
      <c r="H942" t="str">
        <f t="shared" si="71"/>
        <v>FRANZAO COLCHOES LTDA EPP</v>
      </c>
      <c r="I942">
        <f t="shared" si="72"/>
        <v>1</v>
      </c>
      <c r="J942">
        <f t="shared" si="73"/>
        <v>0</v>
      </c>
    </row>
    <row r="943" spans="1:10" x14ac:dyDescent="0.25">
      <c r="A943" t="s">
        <v>333</v>
      </c>
      <c r="B943" t="s">
        <v>129</v>
      </c>
      <c r="C943" t="s">
        <v>59</v>
      </c>
      <c r="D943" s="3">
        <v>45639</v>
      </c>
      <c r="E943" t="s">
        <v>25</v>
      </c>
      <c r="F943" s="4" t="str">
        <f t="shared" si="74"/>
        <v>2024-12-1</v>
      </c>
      <c r="G943" t="str">
        <f t="shared" si="70"/>
        <v xml:space="preserve">ROGERIO </v>
      </c>
      <c r="H943" t="str">
        <f t="shared" si="71"/>
        <v>BIBE PRODUTOS INFANTIS LTDA</v>
      </c>
      <c r="I943">
        <f t="shared" si="72"/>
        <v>0</v>
      </c>
      <c r="J943">
        <f t="shared" si="73"/>
        <v>0</v>
      </c>
    </row>
    <row r="944" spans="1:10" x14ac:dyDescent="0.25">
      <c r="A944" t="s">
        <v>437</v>
      </c>
      <c r="B944" t="s">
        <v>187</v>
      </c>
      <c r="C944" t="s">
        <v>72</v>
      </c>
      <c r="D944" s="3">
        <v>45639</v>
      </c>
      <c r="E944" t="s">
        <v>25</v>
      </c>
      <c r="F944" s="4" t="str">
        <f t="shared" si="74"/>
        <v>2024-12-1</v>
      </c>
      <c r="G944" t="str">
        <f t="shared" si="70"/>
        <v xml:space="preserve">ROGERIO </v>
      </c>
      <c r="H944" t="str">
        <f t="shared" si="71"/>
        <v>ENCADESP LTDA ME</v>
      </c>
      <c r="I944">
        <f t="shared" si="72"/>
        <v>1</v>
      </c>
      <c r="J944">
        <f t="shared" si="73"/>
        <v>0</v>
      </c>
    </row>
    <row r="945" spans="1:10" x14ac:dyDescent="0.25">
      <c r="A945" t="s">
        <v>434</v>
      </c>
      <c r="B945" t="s">
        <v>184</v>
      </c>
      <c r="C945" t="s">
        <v>56</v>
      </c>
      <c r="D945" s="3">
        <v>45639</v>
      </c>
      <c r="E945" t="str">
        <f>VLOOKUP(B945,'PROCV GERENTES BD'!A:B,2,0)</f>
        <v>WHELKYA IRIS</v>
      </c>
      <c r="F945" s="4" t="str">
        <f t="shared" si="74"/>
        <v>2024-12-1</v>
      </c>
      <c r="G945" t="str">
        <f t="shared" si="70"/>
        <v>WHELKYA IRIS</v>
      </c>
      <c r="H945" t="str">
        <f t="shared" si="71"/>
        <v>JFIX INDUSTRIA QUIMICA LTDA ME</v>
      </c>
      <c r="I945">
        <f t="shared" si="72"/>
        <v>0</v>
      </c>
      <c r="J945">
        <f t="shared" si="73"/>
        <v>1</v>
      </c>
    </row>
    <row r="946" spans="1:10" x14ac:dyDescent="0.25">
      <c r="A946" t="s">
        <v>326</v>
      </c>
      <c r="B946" t="s">
        <v>86</v>
      </c>
      <c r="C946" t="s">
        <v>56</v>
      </c>
      <c r="D946" s="3">
        <v>45640</v>
      </c>
      <c r="E946" t="str">
        <f>VLOOKUP(B946,'PROCV GERENTES BD'!A:B,2,0)</f>
        <v>CELIO PIMENTA</v>
      </c>
      <c r="F946" s="4" t="str">
        <f t="shared" si="74"/>
        <v>2024-12-1</v>
      </c>
      <c r="G946" t="str">
        <f t="shared" si="70"/>
        <v>CELIO PIMENTA</v>
      </c>
      <c r="H946" t="str">
        <f t="shared" si="71"/>
        <v>IMPORTEXTIL COMERCIO DE TECIDOS LTDA</v>
      </c>
      <c r="I946">
        <f t="shared" si="72"/>
        <v>0</v>
      </c>
      <c r="J946">
        <f t="shared" si="73"/>
        <v>1</v>
      </c>
    </row>
    <row r="947" spans="1:10" x14ac:dyDescent="0.25">
      <c r="A947" t="s">
        <v>366</v>
      </c>
      <c r="B947" t="s">
        <v>111</v>
      </c>
      <c r="C947" t="s">
        <v>72</v>
      </c>
      <c r="D947" s="3">
        <v>45640</v>
      </c>
      <c r="E947" t="str">
        <f>VLOOKUP(B947,'PROCV GERENTES BD'!A:B,2,0)</f>
        <v>DIOGO AZEVEDO</v>
      </c>
      <c r="F947" s="4" t="str">
        <f t="shared" si="74"/>
        <v>2024-12-1</v>
      </c>
      <c r="G947" t="str">
        <f t="shared" si="70"/>
        <v>DIOGO AZEVEDO</v>
      </c>
      <c r="H947" t="str">
        <f t="shared" si="71"/>
        <v>INDUSTRIA E CERVEJARIA ARTESANAL DE MINAS GERAIS L</v>
      </c>
      <c r="I947">
        <f t="shared" si="72"/>
        <v>1</v>
      </c>
      <c r="J947">
        <f t="shared" si="73"/>
        <v>0</v>
      </c>
    </row>
    <row r="948" spans="1:10" x14ac:dyDescent="0.25">
      <c r="A948" t="s">
        <v>448</v>
      </c>
      <c r="B948" t="s">
        <v>198</v>
      </c>
      <c r="C948" t="s">
        <v>56</v>
      </c>
      <c r="D948" s="3">
        <v>45640</v>
      </c>
      <c r="E948" t="str">
        <f>VLOOKUP(B948,'PROCV GERENTES BD'!A:B,2,0)</f>
        <v>FITZ</v>
      </c>
      <c r="F948" s="4" t="str">
        <f t="shared" si="74"/>
        <v>2024-12-1</v>
      </c>
      <c r="G948" t="str">
        <f t="shared" si="70"/>
        <v>FITZ</v>
      </c>
      <c r="H948" t="str">
        <f t="shared" si="71"/>
        <v>SAFRA OURO AGRONEGOCIOS LTDA EPP</v>
      </c>
      <c r="I948">
        <f t="shared" si="72"/>
        <v>0</v>
      </c>
      <c r="J948">
        <f t="shared" si="73"/>
        <v>1</v>
      </c>
    </row>
    <row r="949" spans="1:10" x14ac:dyDescent="0.25">
      <c r="A949" t="s">
        <v>436</v>
      </c>
      <c r="B949" t="s">
        <v>186</v>
      </c>
      <c r="C949" t="s">
        <v>59</v>
      </c>
      <c r="D949" s="3">
        <v>45640</v>
      </c>
      <c r="E949" t="str">
        <f>VLOOKUP(B949,'PROCV GERENTES BD'!A:B,2,0)</f>
        <v xml:space="preserve">MARCUS VINICIUS </v>
      </c>
      <c r="F949" s="4" t="str">
        <f t="shared" si="74"/>
        <v>2024-12-1</v>
      </c>
      <c r="G949" t="str">
        <f t="shared" si="70"/>
        <v xml:space="preserve">MARCUS VINICIUS </v>
      </c>
      <c r="H949" t="str">
        <f t="shared" si="71"/>
        <v>LABOR ELETRIC INDUSTRIA E COMERCIO UNIPESSOAL LTDA</v>
      </c>
      <c r="I949">
        <f t="shared" si="72"/>
        <v>0</v>
      </c>
      <c r="J949">
        <f t="shared" si="73"/>
        <v>0</v>
      </c>
    </row>
    <row r="950" spans="1:10" x14ac:dyDescent="0.25">
      <c r="A950" t="s">
        <v>427</v>
      </c>
      <c r="B950" t="s">
        <v>176</v>
      </c>
      <c r="C950" t="s">
        <v>56</v>
      </c>
      <c r="D950" s="3">
        <v>45640</v>
      </c>
      <c r="E950" t="str">
        <f>VLOOKUP(B950,'PROCV GERENTES BD'!A:B,2,0)</f>
        <v>NOELI SALETE</v>
      </c>
      <c r="F950" s="4" t="str">
        <f t="shared" si="74"/>
        <v>2024-12-1</v>
      </c>
      <c r="G950" t="str">
        <f t="shared" si="70"/>
        <v>NOELI SALETE</v>
      </c>
      <c r="H950" t="str">
        <f t="shared" si="71"/>
        <v>GLOBAL ACO SERVICOS E PRODUTOS SIDERURGICOS LTDA E</v>
      </c>
      <c r="I950">
        <f t="shared" si="72"/>
        <v>0</v>
      </c>
      <c r="J950">
        <f t="shared" si="73"/>
        <v>1</v>
      </c>
    </row>
    <row r="951" spans="1:10" x14ac:dyDescent="0.25">
      <c r="A951" t="s">
        <v>347</v>
      </c>
      <c r="B951" t="s">
        <v>93</v>
      </c>
      <c r="C951" t="s">
        <v>72</v>
      </c>
      <c r="D951" s="3">
        <v>45640</v>
      </c>
      <c r="E951" t="str">
        <f>VLOOKUP(B951,'PROCV GERENTES BD'!A:B,2,0)</f>
        <v>NOELI SALETE</v>
      </c>
      <c r="F951" s="4" t="str">
        <f t="shared" si="74"/>
        <v>2024-12-1</v>
      </c>
      <c r="G951" t="str">
        <f t="shared" si="70"/>
        <v>NOELI SALETE</v>
      </c>
      <c r="H951" t="str">
        <f t="shared" si="71"/>
        <v>RODOBOX TRANSPORTES E ARMAZENAGEM DE CARGAS LTDA</v>
      </c>
      <c r="I951">
        <f t="shared" si="72"/>
        <v>1</v>
      </c>
      <c r="J951">
        <f t="shared" si="73"/>
        <v>0</v>
      </c>
    </row>
    <row r="952" spans="1:10" x14ac:dyDescent="0.25">
      <c r="A952" t="s">
        <v>402</v>
      </c>
      <c r="B952" t="s">
        <v>150</v>
      </c>
      <c r="C952" t="s">
        <v>56</v>
      </c>
      <c r="D952" s="3">
        <v>45640</v>
      </c>
      <c r="E952" t="str">
        <f>VLOOKUP(B952,'PROCV GERENTES BD'!A:B,2,0)</f>
        <v>NOELI SALETE</v>
      </c>
      <c r="F952" s="4" t="str">
        <f t="shared" si="74"/>
        <v>2024-12-1</v>
      </c>
      <c r="G952" t="str">
        <f t="shared" si="70"/>
        <v>NOELI SALETE</v>
      </c>
      <c r="H952" t="str">
        <f t="shared" si="71"/>
        <v>ALBERTO H DA SILVA ME</v>
      </c>
      <c r="I952">
        <f t="shared" si="72"/>
        <v>0</v>
      </c>
      <c r="J952">
        <f t="shared" si="73"/>
        <v>1</v>
      </c>
    </row>
    <row r="953" spans="1:10" x14ac:dyDescent="0.25">
      <c r="A953" t="s">
        <v>408</v>
      </c>
      <c r="B953" t="s">
        <v>157</v>
      </c>
      <c r="C953" t="s">
        <v>56</v>
      </c>
      <c r="D953" s="3">
        <v>45640</v>
      </c>
      <c r="E953" t="str">
        <f>VLOOKUP(B953,'PROCV GERENTES BD'!A:B,2,0)</f>
        <v>NOELI SALETE</v>
      </c>
      <c r="F953" s="4" t="str">
        <f t="shared" si="74"/>
        <v>2024-12-1</v>
      </c>
      <c r="G953" t="str">
        <f t="shared" si="70"/>
        <v>NOELI SALETE</v>
      </c>
      <c r="H953" t="str">
        <f t="shared" si="71"/>
        <v>POOLMAK SISTEMAS ESTRUTURAIS LTDA</v>
      </c>
      <c r="I953">
        <f t="shared" si="72"/>
        <v>0</v>
      </c>
      <c r="J953">
        <f t="shared" si="73"/>
        <v>1</v>
      </c>
    </row>
    <row r="954" spans="1:10" x14ac:dyDescent="0.25">
      <c r="A954" t="s">
        <v>397</v>
      </c>
      <c r="B954" t="s">
        <v>143</v>
      </c>
      <c r="C954" t="s">
        <v>72</v>
      </c>
      <c r="D954" s="3">
        <v>45640</v>
      </c>
      <c r="E954" t="str">
        <f>VLOOKUP(B954,'PROCV GERENTES BD'!A:B,2,0)</f>
        <v>POENATELA</v>
      </c>
      <c r="F954" s="4" t="str">
        <f t="shared" si="74"/>
        <v>2024-12-1</v>
      </c>
      <c r="G954" t="str">
        <f t="shared" si="70"/>
        <v>POENATELA</v>
      </c>
      <c r="H954" t="str">
        <f t="shared" si="71"/>
        <v>CONQUISTA INDUSTRIA DE MOVEIS S/A</v>
      </c>
      <c r="I954">
        <f t="shared" si="72"/>
        <v>1</v>
      </c>
      <c r="J954">
        <f t="shared" si="73"/>
        <v>0</v>
      </c>
    </row>
    <row r="955" spans="1:10" x14ac:dyDescent="0.25">
      <c r="A955" t="s">
        <v>354</v>
      </c>
      <c r="B955" t="s">
        <v>97</v>
      </c>
      <c r="C955" t="s">
        <v>56</v>
      </c>
      <c r="D955" s="3">
        <v>45640</v>
      </c>
      <c r="E955" t="str">
        <f>VLOOKUP(B955,'PROCV GERENTES BD'!A:B,2,0)</f>
        <v>POENATELA</v>
      </c>
      <c r="F955" s="4" t="str">
        <f t="shared" si="74"/>
        <v>2024-12-1</v>
      </c>
      <c r="G955" t="str">
        <f t="shared" si="70"/>
        <v>POENATELA</v>
      </c>
      <c r="H955" t="str">
        <f t="shared" si="71"/>
        <v>UBERTEC SERVICE USINAGEM LTDA EPP</v>
      </c>
      <c r="I955">
        <f t="shared" si="72"/>
        <v>0</v>
      </c>
      <c r="J955">
        <f t="shared" si="73"/>
        <v>1</v>
      </c>
    </row>
    <row r="956" spans="1:10" x14ac:dyDescent="0.25">
      <c r="A956" t="s">
        <v>384</v>
      </c>
      <c r="B956" t="s">
        <v>128</v>
      </c>
      <c r="C956" t="s">
        <v>56</v>
      </c>
      <c r="D956" s="3">
        <v>45640</v>
      </c>
      <c r="E956" t="str">
        <f>VLOOKUP(B956,'PROCV GERENTES BD'!A:B,2,0)</f>
        <v>PRISCILA METZ</v>
      </c>
      <c r="F956" s="4" t="str">
        <f t="shared" si="74"/>
        <v>2024-12-1</v>
      </c>
      <c r="G956" t="str">
        <f t="shared" si="70"/>
        <v>PRISCILA METZ</v>
      </c>
      <c r="H956" t="str">
        <f t="shared" si="71"/>
        <v>NOVA DISTRIBUIDORA E ATACADO DE LIMPEZA LTDA</v>
      </c>
      <c r="I956">
        <f t="shared" si="72"/>
        <v>0</v>
      </c>
      <c r="J956">
        <f t="shared" si="73"/>
        <v>1</v>
      </c>
    </row>
    <row r="957" spans="1:10" x14ac:dyDescent="0.25">
      <c r="A957" t="s">
        <v>332</v>
      </c>
      <c r="B957" t="s">
        <v>145</v>
      </c>
      <c r="C957" t="s">
        <v>72</v>
      </c>
      <c r="D957" s="3">
        <v>45640</v>
      </c>
      <c r="E957" t="str">
        <f>VLOOKUP(B957,'PROCV GERENTES BD'!A:B,2,0)</f>
        <v>SEM GERENTE</v>
      </c>
      <c r="F957" s="4" t="str">
        <f t="shared" si="74"/>
        <v>2024-12-1</v>
      </c>
      <c r="G957" t="str">
        <f t="shared" si="70"/>
        <v>SEM GERENTE</v>
      </c>
      <c r="H957" t="str">
        <f t="shared" si="71"/>
        <v>ALLIAGE S A INDUSTRIAS MEDICO ODONTOLOGICA</v>
      </c>
      <c r="I957">
        <f t="shared" si="72"/>
        <v>1</v>
      </c>
      <c r="J957">
        <f t="shared" si="73"/>
        <v>0</v>
      </c>
    </row>
    <row r="958" spans="1:10" x14ac:dyDescent="0.25">
      <c r="A958" t="s">
        <v>390</v>
      </c>
      <c r="B958" t="s">
        <v>136</v>
      </c>
      <c r="C958" t="s">
        <v>59</v>
      </c>
      <c r="D958" s="3">
        <v>45643</v>
      </c>
      <c r="E958" t="str">
        <f>VLOOKUP(B958,'PROCV GERENTES BD'!A:B,2,0)</f>
        <v>ADMINISTRAÇÃO</v>
      </c>
      <c r="F958" s="4" t="str">
        <f t="shared" si="74"/>
        <v>2024-12-2</v>
      </c>
      <c r="G958" t="str">
        <f t="shared" si="70"/>
        <v>ADMINISTRAÇÃO</v>
      </c>
      <c r="H958" t="str">
        <f t="shared" si="71"/>
        <v>XEQUE MATE BEBIDAS LTDA ME</v>
      </c>
      <c r="I958">
        <f t="shared" si="72"/>
        <v>0</v>
      </c>
      <c r="J958">
        <f t="shared" si="73"/>
        <v>0</v>
      </c>
    </row>
    <row r="959" spans="1:10" x14ac:dyDescent="0.25">
      <c r="A959" t="s">
        <v>380</v>
      </c>
      <c r="B959" t="s">
        <v>123</v>
      </c>
      <c r="C959" t="s">
        <v>56</v>
      </c>
      <c r="D959" s="3">
        <v>45643</v>
      </c>
      <c r="E959" t="str">
        <f>VLOOKUP(B959,'PROCV GERENTES BD'!A:B,2,0)</f>
        <v>ANTONIO CARLOS</v>
      </c>
      <c r="F959" s="4" t="str">
        <f t="shared" si="74"/>
        <v>2024-12-2</v>
      </c>
      <c r="G959" t="str">
        <f t="shared" si="70"/>
        <v>ANTONIO CARLOS</v>
      </c>
      <c r="H959" t="str">
        <f t="shared" si="71"/>
        <v>PREMOLDADOS MATOSINHOS LTDA EPP</v>
      </c>
      <c r="I959">
        <f t="shared" si="72"/>
        <v>0</v>
      </c>
      <c r="J959">
        <f t="shared" si="73"/>
        <v>1</v>
      </c>
    </row>
    <row r="960" spans="1:10" x14ac:dyDescent="0.25">
      <c r="A960" t="s">
        <v>311</v>
      </c>
      <c r="B960" t="s">
        <v>130</v>
      </c>
      <c r="C960" t="s">
        <v>59</v>
      </c>
      <c r="D960" s="3">
        <v>45643</v>
      </c>
      <c r="E960" t="str">
        <f>VLOOKUP(B960,'PROCV GERENTES BD'!A:B,2,0)</f>
        <v>ANTONIO CARLOS</v>
      </c>
      <c r="F960" s="4" t="str">
        <f t="shared" si="74"/>
        <v>2024-12-2</v>
      </c>
      <c r="G960" t="str">
        <f t="shared" si="70"/>
        <v>ANTONIO CARLOS</v>
      </c>
      <c r="H960" t="str">
        <f t="shared" si="71"/>
        <v>VIC LOGISTICA LTDA EM RECUPERACAO JUDICIAL</v>
      </c>
      <c r="I960">
        <f t="shared" si="72"/>
        <v>0</v>
      </c>
      <c r="J960">
        <f t="shared" si="73"/>
        <v>0</v>
      </c>
    </row>
    <row r="961" spans="1:10" x14ac:dyDescent="0.25">
      <c r="A961" t="s">
        <v>326</v>
      </c>
      <c r="B961" t="s">
        <v>86</v>
      </c>
      <c r="C961" t="s">
        <v>56</v>
      </c>
      <c r="D961" s="3">
        <v>45643</v>
      </c>
      <c r="E961" t="str">
        <f>VLOOKUP(B961,'PROCV GERENTES BD'!A:B,2,0)</f>
        <v>CELIO PIMENTA</v>
      </c>
      <c r="F961" s="4" t="str">
        <f t="shared" si="74"/>
        <v>2024-12-2</v>
      </c>
      <c r="G961" t="str">
        <f t="shared" si="70"/>
        <v>CELIO PIMENTA</v>
      </c>
      <c r="H961" t="str">
        <f t="shared" si="71"/>
        <v>IMPORTEXTIL COMERCIO DE TECIDOS LTDA</v>
      </c>
      <c r="I961">
        <f t="shared" si="72"/>
        <v>0</v>
      </c>
      <c r="J961">
        <f t="shared" si="73"/>
        <v>1</v>
      </c>
    </row>
    <row r="962" spans="1:10" x14ac:dyDescent="0.25">
      <c r="A962" t="s">
        <v>60</v>
      </c>
      <c r="B962" t="s">
        <v>61</v>
      </c>
      <c r="C962" t="s">
        <v>56</v>
      </c>
      <c r="D962" s="3">
        <v>45643</v>
      </c>
      <c r="E962" t="str">
        <f>VLOOKUP(B962,'PROCV GERENTES BD'!A:B,2,0)</f>
        <v>CELIO PIMENTA</v>
      </c>
      <c r="F962" s="4" t="str">
        <f t="shared" si="74"/>
        <v>2024-12-2</v>
      </c>
      <c r="G962" t="str">
        <f t="shared" ref="G962:G1025" si="75">E962</f>
        <v>CELIO PIMENTA</v>
      </c>
      <c r="H962" t="str">
        <f t="shared" ref="H962:H1025" si="76">B962</f>
        <v>WJ CALDEIRARIA INDUSTRIA E COMERCIO LTDA ME</v>
      </c>
      <c r="I962">
        <f t="shared" ref="I962:I1025" si="77">IF(C962="EXCLUSAO  ANOT.INADIMPLENCIA",1,0)</f>
        <v>0</v>
      </c>
      <c r="J962">
        <f t="shared" ref="J962:J1025" si="78">IF(C962="INCLUSAO  ANOT.INADIMPLENCIA",1,0)</f>
        <v>1</v>
      </c>
    </row>
    <row r="963" spans="1:10" x14ac:dyDescent="0.25">
      <c r="A963" t="s">
        <v>366</v>
      </c>
      <c r="B963" t="s">
        <v>111</v>
      </c>
      <c r="C963" t="s">
        <v>56</v>
      </c>
      <c r="D963" s="3">
        <v>45643</v>
      </c>
      <c r="E963" t="str">
        <f>VLOOKUP(B963,'PROCV GERENTES BD'!A:B,2,0)</f>
        <v>DIOGO AZEVEDO</v>
      </c>
      <c r="F963" s="4" t="str">
        <f t="shared" ref="F963:F1026" si="79">YEAR(D963)&amp;"-"&amp;TEXT(MONTH(D963),"00")&amp;"-"&amp;IF(DAY(D963)&lt;=15,"1",IF(DAY(D963)&gt;15,"2",""))</f>
        <v>2024-12-2</v>
      </c>
      <c r="G963" t="str">
        <f t="shared" si="75"/>
        <v>DIOGO AZEVEDO</v>
      </c>
      <c r="H963" t="str">
        <f t="shared" si="76"/>
        <v>INDUSTRIA E CERVEJARIA ARTESANAL DE MINAS GERAIS L</v>
      </c>
      <c r="I963">
        <f t="shared" si="77"/>
        <v>0</v>
      </c>
      <c r="J963">
        <f t="shared" si="78"/>
        <v>1</v>
      </c>
    </row>
    <row r="964" spans="1:10" x14ac:dyDescent="0.25">
      <c r="A964" t="s">
        <v>438</v>
      </c>
      <c r="B964" t="s">
        <v>188</v>
      </c>
      <c r="C964" t="s">
        <v>56</v>
      </c>
      <c r="D964" s="3">
        <v>45643</v>
      </c>
      <c r="E964" t="str">
        <f>VLOOKUP(B964,'PROCV GERENTES BD'!A:B,2,0)</f>
        <v>FITZ</v>
      </c>
      <c r="F964" s="4" t="str">
        <f t="shared" si="79"/>
        <v>2024-12-2</v>
      </c>
      <c r="G964" t="str">
        <f t="shared" si="75"/>
        <v>FITZ</v>
      </c>
      <c r="H964" t="str">
        <f t="shared" si="76"/>
        <v>SIQUEIRA E GAIPO INDUSTRIA E MATERIAIS ESPORTIVOS</v>
      </c>
      <c r="I964">
        <f t="shared" si="77"/>
        <v>0</v>
      </c>
      <c r="J964">
        <f t="shared" si="78"/>
        <v>1</v>
      </c>
    </row>
    <row r="965" spans="1:10" x14ac:dyDescent="0.25">
      <c r="A965" t="s">
        <v>377</v>
      </c>
      <c r="B965" t="s">
        <v>120</v>
      </c>
      <c r="C965" t="s">
        <v>56</v>
      </c>
      <c r="D965" s="3">
        <v>45643</v>
      </c>
      <c r="E965" t="str">
        <f>VLOOKUP(B965,'PROCV GERENTES BD'!A:B,2,0)</f>
        <v xml:space="preserve">MARCUS VINICIUS </v>
      </c>
      <c r="F965" s="4" t="str">
        <f t="shared" si="79"/>
        <v>2024-12-2</v>
      </c>
      <c r="G965" t="str">
        <f t="shared" si="75"/>
        <v xml:space="preserve">MARCUS VINICIUS </v>
      </c>
      <c r="H965" t="str">
        <f t="shared" si="76"/>
        <v>ISOBASE POLIESTIRENO LTDA EPP</v>
      </c>
      <c r="I965">
        <f t="shared" si="77"/>
        <v>0</v>
      </c>
      <c r="J965">
        <f t="shared" si="78"/>
        <v>1</v>
      </c>
    </row>
    <row r="966" spans="1:10" x14ac:dyDescent="0.25">
      <c r="A966" t="s">
        <v>436</v>
      </c>
      <c r="B966" t="s">
        <v>186</v>
      </c>
      <c r="C966" t="s">
        <v>56</v>
      </c>
      <c r="D966" s="3">
        <v>45643</v>
      </c>
      <c r="E966" t="str">
        <f>VLOOKUP(B966,'PROCV GERENTES BD'!A:B,2,0)</f>
        <v xml:space="preserve">MARCUS VINICIUS </v>
      </c>
      <c r="F966" s="4" t="str">
        <f t="shared" si="79"/>
        <v>2024-12-2</v>
      </c>
      <c r="G966" t="str">
        <f t="shared" si="75"/>
        <v xml:space="preserve">MARCUS VINICIUS </v>
      </c>
      <c r="H966" t="str">
        <f t="shared" si="76"/>
        <v>LABOR ELETRIC INDUSTRIA E COMERCIO UNIPESSOAL LTDA</v>
      </c>
      <c r="I966">
        <f t="shared" si="77"/>
        <v>0</v>
      </c>
      <c r="J966">
        <f t="shared" si="78"/>
        <v>1</v>
      </c>
    </row>
    <row r="967" spans="1:10" x14ac:dyDescent="0.25">
      <c r="A967" t="s">
        <v>393</v>
      </c>
      <c r="B967" t="s">
        <v>139</v>
      </c>
      <c r="C967" t="s">
        <v>72</v>
      </c>
      <c r="D967" s="3">
        <v>45643</v>
      </c>
      <c r="E967" t="str">
        <f>VLOOKUP(B967,'PROCV GERENTES BD'!A:B,2,0)</f>
        <v xml:space="preserve">MARCUS VINICIUS </v>
      </c>
      <c r="F967" s="4" t="str">
        <f t="shared" si="79"/>
        <v>2024-12-2</v>
      </c>
      <c r="G967" t="str">
        <f t="shared" si="75"/>
        <v xml:space="preserve">MARCUS VINICIUS </v>
      </c>
      <c r="H967" t="str">
        <f t="shared" si="76"/>
        <v>RODOANEL REFORMADORA DE IMPLEMENTOS RODOVIARIOS LT</v>
      </c>
      <c r="I967">
        <f t="shared" si="77"/>
        <v>1</v>
      </c>
      <c r="J967">
        <f t="shared" si="78"/>
        <v>0</v>
      </c>
    </row>
    <row r="968" spans="1:10" x14ac:dyDescent="0.25">
      <c r="A968" t="s">
        <v>347</v>
      </c>
      <c r="B968" t="s">
        <v>93</v>
      </c>
      <c r="C968" t="s">
        <v>56</v>
      </c>
      <c r="D968" s="3">
        <v>45643</v>
      </c>
      <c r="E968" t="str">
        <f>VLOOKUP(B968,'PROCV GERENTES BD'!A:B,2,0)</f>
        <v>NOELI SALETE</v>
      </c>
      <c r="F968" s="4" t="str">
        <f t="shared" si="79"/>
        <v>2024-12-2</v>
      </c>
      <c r="G968" t="str">
        <f t="shared" si="75"/>
        <v>NOELI SALETE</v>
      </c>
      <c r="H968" t="str">
        <f t="shared" si="76"/>
        <v>RODOBOX TRANSPORTES E ARMAZENAGEM DE CARGAS LTDA</v>
      </c>
      <c r="I968">
        <f t="shared" si="77"/>
        <v>0</v>
      </c>
      <c r="J968">
        <f t="shared" si="78"/>
        <v>1</v>
      </c>
    </row>
    <row r="969" spans="1:10" x14ac:dyDescent="0.25">
      <c r="A969" t="s">
        <v>402</v>
      </c>
      <c r="B969" t="s">
        <v>150</v>
      </c>
      <c r="C969" t="s">
        <v>56</v>
      </c>
      <c r="D969" s="3">
        <v>45643</v>
      </c>
      <c r="E969" t="str">
        <f>VLOOKUP(B969,'PROCV GERENTES BD'!A:B,2,0)</f>
        <v>NOELI SALETE</v>
      </c>
      <c r="F969" s="4" t="str">
        <f t="shared" si="79"/>
        <v>2024-12-2</v>
      </c>
      <c r="G969" t="str">
        <f t="shared" si="75"/>
        <v>NOELI SALETE</v>
      </c>
      <c r="H969" t="str">
        <f t="shared" si="76"/>
        <v>ALBERTO H DA SILVA ME</v>
      </c>
      <c r="I969">
        <f t="shared" si="77"/>
        <v>0</v>
      </c>
      <c r="J969">
        <f t="shared" si="78"/>
        <v>1</v>
      </c>
    </row>
    <row r="970" spans="1:10" x14ac:dyDescent="0.25">
      <c r="A970" t="s">
        <v>397</v>
      </c>
      <c r="B970" t="s">
        <v>143</v>
      </c>
      <c r="C970" t="s">
        <v>72</v>
      </c>
      <c r="D970" s="3">
        <v>45643</v>
      </c>
      <c r="E970" t="str">
        <f>VLOOKUP(B970,'PROCV GERENTES BD'!A:B,2,0)</f>
        <v>POENATELA</v>
      </c>
      <c r="F970" s="4" t="str">
        <f t="shared" si="79"/>
        <v>2024-12-2</v>
      </c>
      <c r="G970" t="str">
        <f t="shared" si="75"/>
        <v>POENATELA</v>
      </c>
      <c r="H970" t="str">
        <f t="shared" si="76"/>
        <v>CONQUISTA INDUSTRIA DE MOVEIS S/A</v>
      </c>
      <c r="I970">
        <f t="shared" si="77"/>
        <v>1</v>
      </c>
      <c r="J970">
        <f t="shared" si="78"/>
        <v>0</v>
      </c>
    </row>
    <row r="971" spans="1:10" x14ac:dyDescent="0.25">
      <c r="A971" t="s">
        <v>428</v>
      </c>
      <c r="B971" t="s">
        <v>177</v>
      </c>
      <c r="C971" t="s">
        <v>56</v>
      </c>
      <c r="D971" s="3">
        <v>45643</v>
      </c>
      <c r="E971" t="str">
        <f>VLOOKUP(B971,'PROCV GERENTES BD'!A:B,2,0)</f>
        <v>POENATELA</v>
      </c>
      <c r="F971" s="4" t="str">
        <f t="shared" si="79"/>
        <v>2024-12-2</v>
      </c>
      <c r="G971" t="str">
        <f t="shared" si="75"/>
        <v>POENATELA</v>
      </c>
      <c r="H971" t="str">
        <f t="shared" si="76"/>
        <v>SAVIXX COMERCIO INTERNACIONAL S/A</v>
      </c>
      <c r="I971">
        <f t="shared" si="77"/>
        <v>0</v>
      </c>
      <c r="J971">
        <f t="shared" si="78"/>
        <v>1</v>
      </c>
    </row>
    <row r="972" spans="1:10" x14ac:dyDescent="0.25">
      <c r="A972" t="s">
        <v>354</v>
      </c>
      <c r="B972" t="s">
        <v>97</v>
      </c>
      <c r="C972" t="s">
        <v>56</v>
      </c>
      <c r="D972" s="3">
        <v>45643</v>
      </c>
      <c r="E972" t="str">
        <f>VLOOKUP(B972,'PROCV GERENTES BD'!A:B,2,0)</f>
        <v>POENATELA</v>
      </c>
      <c r="F972" s="4" t="str">
        <f t="shared" si="79"/>
        <v>2024-12-2</v>
      </c>
      <c r="G972" t="str">
        <f t="shared" si="75"/>
        <v>POENATELA</v>
      </c>
      <c r="H972" t="str">
        <f t="shared" si="76"/>
        <v>UBERTEC SERVICE USINAGEM LTDA EPP</v>
      </c>
      <c r="I972">
        <f t="shared" si="77"/>
        <v>0</v>
      </c>
      <c r="J972">
        <f t="shared" si="78"/>
        <v>1</v>
      </c>
    </row>
    <row r="973" spans="1:10" x14ac:dyDescent="0.25">
      <c r="A973" t="s">
        <v>361</v>
      </c>
      <c r="B973" t="s">
        <v>103</v>
      </c>
      <c r="C973" t="s">
        <v>56</v>
      </c>
      <c r="D973" s="3">
        <v>45643</v>
      </c>
      <c r="E973" t="str">
        <f>VLOOKUP(B973,'PROCV GERENTES BD'!A:B,2,0)</f>
        <v>PRISCILA METZ</v>
      </c>
      <c r="F973" s="4" t="str">
        <f t="shared" si="79"/>
        <v>2024-12-2</v>
      </c>
      <c r="G973" t="str">
        <f t="shared" si="75"/>
        <v>PRISCILA METZ</v>
      </c>
      <c r="H973" t="str">
        <f t="shared" si="76"/>
        <v>ESSENZA INDUSTRIA QUIMICA LTDA</v>
      </c>
      <c r="I973">
        <f t="shared" si="77"/>
        <v>0</v>
      </c>
      <c r="J973">
        <f t="shared" si="78"/>
        <v>1</v>
      </c>
    </row>
    <row r="974" spans="1:10" x14ac:dyDescent="0.25">
      <c r="A974" t="s">
        <v>384</v>
      </c>
      <c r="B974" t="s">
        <v>128</v>
      </c>
      <c r="C974" t="s">
        <v>56</v>
      </c>
      <c r="D974" s="3">
        <v>45643</v>
      </c>
      <c r="E974" t="str">
        <f>VLOOKUP(B974,'PROCV GERENTES BD'!A:B,2,0)</f>
        <v>PRISCILA METZ</v>
      </c>
      <c r="F974" s="4" t="str">
        <f t="shared" si="79"/>
        <v>2024-12-2</v>
      </c>
      <c r="G974" t="str">
        <f t="shared" si="75"/>
        <v>PRISCILA METZ</v>
      </c>
      <c r="H974" t="str">
        <f t="shared" si="76"/>
        <v>NOVA DISTRIBUIDORA E ATACADO DE LIMPEZA LTDA</v>
      </c>
      <c r="I974">
        <f t="shared" si="77"/>
        <v>0</v>
      </c>
      <c r="J974">
        <f t="shared" si="78"/>
        <v>1</v>
      </c>
    </row>
    <row r="975" spans="1:10" x14ac:dyDescent="0.25">
      <c r="A975" t="s">
        <v>442</v>
      </c>
      <c r="B975" t="s">
        <v>192</v>
      </c>
      <c r="C975" t="s">
        <v>56</v>
      </c>
      <c r="D975" s="3">
        <v>45643</v>
      </c>
      <c r="E975" t="str">
        <f>VLOOKUP(B975,'PROCV GERENTES BD'!A:B,2,0)</f>
        <v>RAFAEL PARISE</v>
      </c>
      <c r="F975" s="4" t="str">
        <f t="shared" si="79"/>
        <v>2024-12-2</v>
      </c>
      <c r="G975" t="str">
        <f t="shared" si="75"/>
        <v>RAFAEL PARISE</v>
      </c>
      <c r="H975" t="str">
        <f t="shared" si="76"/>
        <v>MARCAS COMERCIO LTDA ME</v>
      </c>
      <c r="I975">
        <f t="shared" si="77"/>
        <v>0</v>
      </c>
      <c r="J975">
        <f t="shared" si="78"/>
        <v>1</v>
      </c>
    </row>
    <row r="976" spans="1:10" x14ac:dyDescent="0.25">
      <c r="A976" t="s">
        <v>82</v>
      </c>
      <c r="B976" t="s">
        <v>83</v>
      </c>
      <c r="C976" t="s">
        <v>72</v>
      </c>
      <c r="D976" s="3">
        <v>45643</v>
      </c>
      <c r="E976" t="str">
        <f>VLOOKUP(B976,'PROCV GERENTES BD'!A:B,2,0)</f>
        <v>RAFAEL PARISE</v>
      </c>
      <c r="F976" s="4" t="str">
        <f t="shared" si="79"/>
        <v>2024-12-2</v>
      </c>
      <c r="G976" t="str">
        <f t="shared" si="75"/>
        <v>RAFAEL PARISE</v>
      </c>
      <c r="H976" t="str">
        <f t="shared" si="76"/>
        <v>UNITA AUTO PECAS LTDA EPP</v>
      </c>
      <c r="I976">
        <f t="shared" si="77"/>
        <v>1</v>
      </c>
      <c r="J976">
        <f t="shared" si="78"/>
        <v>0</v>
      </c>
    </row>
    <row r="977" spans="1:10" x14ac:dyDescent="0.25">
      <c r="A977" t="s">
        <v>333</v>
      </c>
      <c r="B977" t="s">
        <v>129</v>
      </c>
      <c r="C977" t="s">
        <v>72</v>
      </c>
      <c r="D977" s="3">
        <v>45643</v>
      </c>
      <c r="E977" t="s">
        <v>25</v>
      </c>
      <c r="F977" s="4" t="str">
        <f t="shared" si="79"/>
        <v>2024-12-2</v>
      </c>
      <c r="G977" t="str">
        <f t="shared" si="75"/>
        <v xml:space="preserve">ROGERIO </v>
      </c>
      <c r="H977" t="str">
        <f t="shared" si="76"/>
        <v>BIBE PRODUTOS INFANTIS LTDA</v>
      </c>
      <c r="I977">
        <f t="shared" si="77"/>
        <v>1</v>
      </c>
      <c r="J977">
        <f t="shared" si="78"/>
        <v>0</v>
      </c>
    </row>
    <row r="978" spans="1:10" x14ac:dyDescent="0.25">
      <c r="A978" t="s">
        <v>326</v>
      </c>
      <c r="B978" t="s">
        <v>86</v>
      </c>
      <c r="C978" t="s">
        <v>59</v>
      </c>
      <c r="D978" s="3">
        <v>45644</v>
      </c>
      <c r="E978" t="str">
        <f>VLOOKUP(B978,'PROCV GERENTES BD'!A:B,2,0)</f>
        <v>CELIO PIMENTA</v>
      </c>
      <c r="F978" s="4" t="str">
        <f t="shared" si="79"/>
        <v>2024-12-2</v>
      </c>
      <c r="G978" t="str">
        <f t="shared" si="75"/>
        <v>CELIO PIMENTA</v>
      </c>
      <c r="H978" t="str">
        <f t="shared" si="76"/>
        <v>IMPORTEXTIL COMERCIO DE TECIDOS LTDA</v>
      </c>
      <c r="I978">
        <f t="shared" si="77"/>
        <v>0</v>
      </c>
      <c r="J978">
        <f t="shared" si="78"/>
        <v>0</v>
      </c>
    </row>
    <row r="979" spans="1:10" x14ac:dyDescent="0.25">
      <c r="A979" t="s">
        <v>60</v>
      </c>
      <c r="B979" t="s">
        <v>61</v>
      </c>
      <c r="C979" t="s">
        <v>72</v>
      </c>
      <c r="D979" s="3">
        <v>45644</v>
      </c>
      <c r="E979" t="str">
        <f>VLOOKUP(B979,'PROCV GERENTES BD'!A:B,2,0)</f>
        <v>CELIO PIMENTA</v>
      </c>
      <c r="F979" s="4" t="str">
        <f t="shared" si="79"/>
        <v>2024-12-2</v>
      </c>
      <c r="G979" t="str">
        <f t="shared" si="75"/>
        <v>CELIO PIMENTA</v>
      </c>
      <c r="H979" t="str">
        <f t="shared" si="76"/>
        <v>WJ CALDEIRARIA INDUSTRIA E COMERCIO LTDA ME</v>
      </c>
      <c r="I979">
        <f t="shared" si="77"/>
        <v>1</v>
      </c>
      <c r="J979">
        <f t="shared" si="78"/>
        <v>0</v>
      </c>
    </row>
    <row r="980" spans="1:10" x14ac:dyDescent="0.25">
      <c r="A980" t="s">
        <v>423</v>
      </c>
      <c r="B980" t="s">
        <v>172</v>
      </c>
      <c r="C980" t="s">
        <v>72</v>
      </c>
      <c r="D980" s="3">
        <v>45644</v>
      </c>
      <c r="E980" t="str">
        <f>VLOOKUP(B980,'PROCV GERENTES BD'!A:B,2,0)</f>
        <v>FITZ</v>
      </c>
      <c r="F980" s="4" t="str">
        <f t="shared" si="79"/>
        <v>2024-12-2</v>
      </c>
      <c r="G980" t="str">
        <f t="shared" si="75"/>
        <v>FITZ</v>
      </c>
      <c r="H980" t="str">
        <f t="shared" si="76"/>
        <v>STA SERVICOS LTDA</v>
      </c>
      <c r="I980">
        <f t="shared" si="77"/>
        <v>1</v>
      </c>
      <c r="J980">
        <f t="shared" si="78"/>
        <v>0</v>
      </c>
    </row>
    <row r="981" spans="1:10" x14ac:dyDescent="0.25">
      <c r="A981" t="s">
        <v>331</v>
      </c>
      <c r="B981" t="s">
        <v>126</v>
      </c>
      <c r="C981" t="s">
        <v>72</v>
      </c>
      <c r="D981" s="3">
        <v>45644</v>
      </c>
      <c r="E981" t="str">
        <f>VLOOKUP(B981,'PROCV GERENTES BD'!A:B,2,0)</f>
        <v>FITZ</v>
      </c>
      <c r="F981" s="4" t="str">
        <f t="shared" si="79"/>
        <v>2024-12-2</v>
      </c>
      <c r="G981" t="str">
        <f t="shared" si="75"/>
        <v>FITZ</v>
      </c>
      <c r="H981" t="str">
        <f t="shared" si="76"/>
        <v>TRANSHENRY TRANSPORTES LTDA</v>
      </c>
      <c r="I981">
        <f t="shared" si="77"/>
        <v>1</v>
      </c>
      <c r="J981">
        <f t="shared" si="78"/>
        <v>0</v>
      </c>
    </row>
    <row r="982" spans="1:10" x14ac:dyDescent="0.25">
      <c r="A982" t="s">
        <v>436</v>
      </c>
      <c r="B982" t="s">
        <v>186</v>
      </c>
      <c r="C982" t="s">
        <v>56</v>
      </c>
      <c r="D982" s="3">
        <v>45644</v>
      </c>
      <c r="E982" t="str">
        <f>VLOOKUP(B982,'PROCV GERENTES BD'!A:B,2,0)</f>
        <v xml:space="preserve">MARCUS VINICIUS </v>
      </c>
      <c r="F982" s="4" t="str">
        <f t="shared" si="79"/>
        <v>2024-12-2</v>
      </c>
      <c r="G982" t="str">
        <f t="shared" si="75"/>
        <v xml:space="preserve">MARCUS VINICIUS </v>
      </c>
      <c r="H982" t="str">
        <f t="shared" si="76"/>
        <v>LABOR ELETRIC INDUSTRIA E COMERCIO UNIPESSOAL LTDA</v>
      </c>
      <c r="I982">
        <f t="shared" si="77"/>
        <v>0</v>
      </c>
      <c r="J982">
        <f t="shared" si="78"/>
        <v>1</v>
      </c>
    </row>
    <row r="983" spans="1:10" x14ac:dyDescent="0.25">
      <c r="A983" t="s">
        <v>347</v>
      </c>
      <c r="B983" t="s">
        <v>93</v>
      </c>
      <c r="C983" t="s">
        <v>335</v>
      </c>
      <c r="D983" s="3">
        <v>45644</v>
      </c>
      <c r="E983" t="str">
        <f>VLOOKUP(B983,'PROCV GERENTES BD'!A:B,2,0)</f>
        <v>NOELI SALETE</v>
      </c>
      <c r="F983" s="4" t="str">
        <f t="shared" si="79"/>
        <v>2024-12-2</v>
      </c>
      <c r="G983" t="str">
        <f t="shared" si="75"/>
        <v>NOELI SALETE</v>
      </c>
      <c r="H983" t="str">
        <f t="shared" si="76"/>
        <v>RODOBOX TRANSPORTES E ARMAZENAGEM DE CARGAS LTDA</v>
      </c>
      <c r="I983">
        <f t="shared" si="77"/>
        <v>0</v>
      </c>
      <c r="J983">
        <f t="shared" si="78"/>
        <v>0</v>
      </c>
    </row>
    <row r="984" spans="1:10" x14ac:dyDescent="0.25">
      <c r="A984" t="s">
        <v>347</v>
      </c>
      <c r="B984" t="s">
        <v>93</v>
      </c>
      <c r="C984" t="s">
        <v>337</v>
      </c>
      <c r="D984" s="3">
        <v>45644</v>
      </c>
      <c r="E984" t="str">
        <f>VLOOKUP(B984,'PROCV GERENTES BD'!A:B,2,0)</f>
        <v>NOELI SALETE</v>
      </c>
      <c r="F984" s="4" t="str">
        <f t="shared" si="79"/>
        <v>2024-12-2</v>
      </c>
      <c r="G984" t="str">
        <f t="shared" si="75"/>
        <v>NOELI SALETE</v>
      </c>
      <c r="H984" t="str">
        <f t="shared" si="76"/>
        <v>RODOBOX TRANSPORTES E ARMAZENAGEM DE CARGAS LTDA</v>
      </c>
      <c r="I984">
        <f t="shared" si="77"/>
        <v>0</v>
      </c>
      <c r="J984">
        <f t="shared" si="78"/>
        <v>0</v>
      </c>
    </row>
    <row r="985" spans="1:10" x14ac:dyDescent="0.25">
      <c r="A985" t="s">
        <v>446</v>
      </c>
      <c r="B985" t="s">
        <v>196</v>
      </c>
      <c r="C985" t="s">
        <v>59</v>
      </c>
      <c r="D985" s="3">
        <v>45644</v>
      </c>
      <c r="E985" t="str">
        <f>VLOOKUP(B985,'PROCV GERENTES BD'!A:B,2,0)</f>
        <v>NOELI SALETE</v>
      </c>
      <c r="F985" s="4" t="str">
        <f t="shared" si="79"/>
        <v>2024-12-2</v>
      </c>
      <c r="G985" t="str">
        <f t="shared" si="75"/>
        <v>NOELI SALETE</v>
      </c>
      <c r="H985" t="str">
        <f t="shared" si="76"/>
        <v>AGRO INDUSTRIAL LAZZERI LTDA</v>
      </c>
      <c r="I985">
        <f t="shared" si="77"/>
        <v>0</v>
      </c>
      <c r="J985">
        <f t="shared" si="78"/>
        <v>0</v>
      </c>
    </row>
    <row r="986" spans="1:10" x14ac:dyDescent="0.25">
      <c r="A986" t="s">
        <v>402</v>
      </c>
      <c r="B986" t="s">
        <v>150</v>
      </c>
      <c r="C986" t="s">
        <v>56</v>
      </c>
      <c r="D986" s="3">
        <v>45644</v>
      </c>
      <c r="E986" t="str">
        <f>VLOOKUP(B986,'PROCV GERENTES BD'!A:B,2,0)</f>
        <v>NOELI SALETE</v>
      </c>
      <c r="F986" s="4" t="str">
        <f t="shared" si="79"/>
        <v>2024-12-2</v>
      </c>
      <c r="G986" t="str">
        <f t="shared" si="75"/>
        <v>NOELI SALETE</v>
      </c>
      <c r="H986" t="str">
        <f t="shared" si="76"/>
        <v>ALBERTO H DA SILVA ME</v>
      </c>
      <c r="I986">
        <f t="shared" si="77"/>
        <v>0</v>
      </c>
      <c r="J986">
        <f t="shared" si="78"/>
        <v>1</v>
      </c>
    </row>
    <row r="987" spans="1:10" x14ac:dyDescent="0.25">
      <c r="A987" t="s">
        <v>397</v>
      </c>
      <c r="B987" t="s">
        <v>143</v>
      </c>
      <c r="C987" t="s">
        <v>72</v>
      </c>
      <c r="D987" s="3">
        <v>45644</v>
      </c>
      <c r="E987" t="str">
        <f>VLOOKUP(B987,'PROCV GERENTES BD'!A:B,2,0)</f>
        <v>POENATELA</v>
      </c>
      <c r="F987" s="4" t="str">
        <f t="shared" si="79"/>
        <v>2024-12-2</v>
      </c>
      <c r="G987" t="str">
        <f t="shared" si="75"/>
        <v>POENATELA</v>
      </c>
      <c r="H987" t="str">
        <f t="shared" si="76"/>
        <v>CONQUISTA INDUSTRIA DE MOVEIS S/A</v>
      </c>
      <c r="I987">
        <f t="shared" si="77"/>
        <v>1</v>
      </c>
      <c r="J987">
        <f t="shared" si="78"/>
        <v>0</v>
      </c>
    </row>
    <row r="988" spans="1:10" x14ac:dyDescent="0.25">
      <c r="A988" t="s">
        <v>361</v>
      </c>
      <c r="B988" t="s">
        <v>103</v>
      </c>
      <c r="C988" t="s">
        <v>56</v>
      </c>
      <c r="D988" s="3">
        <v>45644</v>
      </c>
      <c r="E988" t="str">
        <f>VLOOKUP(B988,'PROCV GERENTES BD'!A:B,2,0)</f>
        <v>PRISCILA METZ</v>
      </c>
      <c r="F988" s="4" t="str">
        <f t="shared" si="79"/>
        <v>2024-12-2</v>
      </c>
      <c r="G988" t="str">
        <f t="shared" si="75"/>
        <v>PRISCILA METZ</v>
      </c>
      <c r="H988" t="str">
        <f t="shared" si="76"/>
        <v>ESSENZA INDUSTRIA QUIMICA LTDA</v>
      </c>
      <c r="I988">
        <f t="shared" si="77"/>
        <v>0</v>
      </c>
      <c r="J988">
        <f t="shared" si="78"/>
        <v>1</v>
      </c>
    </row>
    <row r="989" spans="1:10" x14ac:dyDescent="0.25">
      <c r="A989" t="s">
        <v>442</v>
      </c>
      <c r="B989" t="s">
        <v>192</v>
      </c>
      <c r="C989" t="s">
        <v>56</v>
      </c>
      <c r="D989" s="3">
        <v>45644</v>
      </c>
      <c r="E989" t="str">
        <f>VLOOKUP(B989,'PROCV GERENTES BD'!A:B,2,0)</f>
        <v>RAFAEL PARISE</v>
      </c>
      <c r="F989" s="4" t="str">
        <f t="shared" si="79"/>
        <v>2024-12-2</v>
      </c>
      <c r="G989" t="str">
        <f t="shared" si="75"/>
        <v>RAFAEL PARISE</v>
      </c>
      <c r="H989" t="str">
        <f t="shared" si="76"/>
        <v>MARCAS COMERCIO LTDA ME</v>
      </c>
      <c r="I989">
        <f t="shared" si="77"/>
        <v>0</v>
      </c>
      <c r="J989">
        <f t="shared" si="78"/>
        <v>1</v>
      </c>
    </row>
    <row r="990" spans="1:10" x14ac:dyDescent="0.25">
      <c r="A990" t="s">
        <v>439</v>
      </c>
      <c r="B990" t="s">
        <v>189</v>
      </c>
      <c r="C990" t="s">
        <v>56</v>
      </c>
      <c r="D990" s="3">
        <v>45644</v>
      </c>
      <c r="E990" t="s">
        <v>25</v>
      </c>
      <c r="F990" s="4" t="str">
        <f t="shared" si="79"/>
        <v>2024-12-2</v>
      </c>
      <c r="G990" t="str">
        <f t="shared" si="75"/>
        <v xml:space="preserve">ROGERIO </v>
      </c>
      <c r="H990" t="str">
        <f t="shared" si="76"/>
        <v>GRF JEANS WEAR LTDA ME</v>
      </c>
      <c r="I990">
        <f t="shared" si="77"/>
        <v>0</v>
      </c>
      <c r="J990">
        <f t="shared" si="78"/>
        <v>1</v>
      </c>
    </row>
    <row r="991" spans="1:10" x14ac:dyDescent="0.25">
      <c r="A991" t="s">
        <v>412</v>
      </c>
      <c r="B991" t="s">
        <v>161</v>
      </c>
      <c r="C991" t="s">
        <v>72</v>
      </c>
      <c r="D991" s="3">
        <v>45645</v>
      </c>
      <c r="E991" t="str">
        <f>VLOOKUP(B991,'PROCV GERENTES BD'!A:B,2,0)</f>
        <v>ADMINISTRAÇÃO</v>
      </c>
      <c r="F991" s="4" t="str">
        <f t="shared" si="79"/>
        <v>2024-12-2</v>
      </c>
      <c r="G991" t="str">
        <f t="shared" si="75"/>
        <v>ADMINISTRAÇÃO</v>
      </c>
      <c r="H991" t="str">
        <f t="shared" si="76"/>
        <v>PRIVILEGIO CONFECCOES CAMA MESA E BANHO LTDA EPP</v>
      </c>
      <c r="I991">
        <f t="shared" si="77"/>
        <v>1</v>
      </c>
      <c r="J991">
        <f t="shared" si="78"/>
        <v>0</v>
      </c>
    </row>
    <row r="992" spans="1:10" x14ac:dyDescent="0.25">
      <c r="A992" t="s">
        <v>391</v>
      </c>
      <c r="B992" t="s">
        <v>137</v>
      </c>
      <c r="C992" t="s">
        <v>72</v>
      </c>
      <c r="D992" s="3">
        <v>45645</v>
      </c>
      <c r="E992" t="str">
        <f>VLOOKUP(B992,'PROCV GERENTES BD'!A:B,2,0)</f>
        <v>CELIO PIMENTA</v>
      </c>
      <c r="F992" s="4" t="str">
        <f t="shared" si="79"/>
        <v>2024-12-2</v>
      </c>
      <c r="G992" t="str">
        <f t="shared" si="75"/>
        <v>CELIO PIMENTA</v>
      </c>
      <c r="H992" t="str">
        <f t="shared" si="76"/>
        <v>JR X IMPORT LTDA EPP</v>
      </c>
      <c r="I992">
        <f t="shared" si="77"/>
        <v>1</v>
      </c>
      <c r="J992">
        <f t="shared" si="78"/>
        <v>0</v>
      </c>
    </row>
    <row r="993" spans="1:10" x14ac:dyDescent="0.25">
      <c r="A993" t="s">
        <v>60</v>
      </c>
      <c r="B993" t="s">
        <v>61</v>
      </c>
      <c r="C993" t="s">
        <v>72</v>
      </c>
      <c r="D993" s="3">
        <v>45645</v>
      </c>
      <c r="E993" t="str">
        <f>VLOOKUP(B993,'PROCV GERENTES BD'!A:B,2,0)</f>
        <v>CELIO PIMENTA</v>
      </c>
      <c r="F993" s="4" t="str">
        <f t="shared" si="79"/>
        <v>2024-12-2</v>
      </c>
      <c r="G993" t="str">
        <f t="shared" si="75"/>
        <v>CELIO PIMENTA</v>
      </c>
      <c r="H993" t="str">
        <f t="shared" si="76"/>
        <v>WJ CALDEIRARIA INDUSTRIA E COMERCIO LTDA ME</v>
      </c>
      <c r="I993">
        <f t="shared" si="77"/>
        <v>1</v>
      </c>
      <c r="J993">
        <f t="shared" si="78"/>
        <v>0</v>
      </c>
    </row>
    <row r="994" spans="1:10" x14ac:dyDescent="0.25">
      <c r="A994" t="s">
        <v>366</v>
      </c>
      <c r="B994" t="s">
        <v>111</v>
      </c>
      <c r="C994" t="s">
        <v>72</v>
      </c>
      <c r="D994" s="3">
        <v>45645</v>
      </c>
      <c r="E994" t="str">
        <f>VLOOKUP(B994,'PROCV GERENTES BD'!A:B,2,0)</f>
        <v>DIOGO AZEVEDO</v>
      </c>
      <c r="F994" s="4" t="str">
        <f t="shared" si="79"/>
        <v>2024-12-2</v>
      </c>
      <c r="G994" t="str">
        <f t="shared" si="75"/>
        <v>DIOGO AZEVEDO</v>
      </c>
      <c r="H994" t="str">
        <f t="shared" si="76"/>
        <v>INDUSTRIA E CERVEJARIA ARTESANAL DE MINAS GERAIS L</v>
      </c>
      <c r="I994">
        <f t="shared" si="77"/>
        <v>1</v>
      </c>
      <c r="J994">
        <f t="shared" si="78"/>
        <v>0</v>
      </c>
    </row>
    <row r="995" spans="1:10" x14ac:dyDescent="0.25">
      <c r="A995" t="s">
        <v>448</v>
      </c>
      <c r="B995" t="s">
        <v>198</v>
      </c>
      <c r="C995" t="s">
        <v>72</v>
      </c>
      <c r="D995" s="3">
        <v>45645</v>
      </c>
      <c r="E995" t="str">
        <f>VLOOKUP(B995,'PROCV GERENTES BD'!A:B,2,0)</f>
        <v>FITZ</v>
      </c>
      <c r="F995" s="4" t="str">
        <f t="shared" si="79"/>
        <v>2024-12-2</v>
      </c>
      <c r="G995" t="str">
        <f t="shared" si="75"/>
        <v>FITZ</v>
      </c>
      <c r="H995" t="str">
        <f t="shared" si="76"/>
        <v>SAFRA OURO AGRONEGOCIOS LTDA EPP</v>
      </c>
      <c r="I995">
        <f t="shared" si="77"/>
        <v>1</v>
      </c>
      <c r="J995">
        <f t="shared" si="78"/>
        <v>0</v>
      </c>
    </row>
    <row r="996" spans="1:10" x14ac:dyDescent="0.25">
      <c r="A996" t="s">
        <v>330</v>
      </c>
      <c r="B996" t="s">
        <v>116</v>
      </c>
      <c r="C996" t="s">
        <v>56</v>
      </c>
      <c r="D996" s="3">
        <v>45645</v>
      </c>
      <c r="E996" t="str">
        <f>VLOOKUP(B996,'PROCV GERENTES BD'!A:B,2,0)</f>
        <v>FITZ</v>
      </c>
      <c r="F996" s="4" t="str">
        <f t="shared" si="79"/>
        <v>2024-12-2</v>
      </c>
      <c r="G996" t="str">
        <f t="shared" si="75"/>
        <v>FITZ</v>
      </c>
      <c r="H996" t="str">
        <f t="shared" si="76"/>
        <v>SIAP COMERCIO DE PRODUTOS AGROPECUARIOS LTDA</v>
      </c>
      <c r="I996">
        <f t="shared" si="77"/>
        <v>0</v>
      </c>
      <c r="J996">
        <f t="shared" si="78"/>
        <v>1</v>
      </c>
    </row>
    <row r="997" spans="1:10" x14ac:dyDescent="0.25">
      <c r="A997" t="s">
        <v>436</v>
      </c>
      <c r="B997" t="s">
        <v>186</v>
      </c>
      <c r="C997" t="s">
        <v>56</v>
      </c>
      <c r="D997" s="3">
        <v>45645</v>
      </c>
      <c r="E997" t="str">
        <f>VLOOKUP(B997,'PROCV GERENTES BD'!A:B,2,0)</f>
        <v xml:space="preserve">MARCUS VINICIUS </v>
      </c>
      <c r="F997" s="4" t="str">
        <f t="shared" si="79"/>
        <v>2024-12-2</v>
      </c>
      <c r="G997" t="str">
        <f t="shared" si="75"/>
        <v xml:space="preserve">MARCUS VINICIUS </v>
      </c>
      <c r="H997" t="str">
        <f t="shared" si="76"/>
        <v>LABOR ELETRIC INDUSTRIA E COMERCIO UNIPESSOAL LTDA</v>
      </c>
      <c r="I997">
        <f t="shared" si="77"/>
        <v>0</v>
      </c>
      <c r="J997">
        <f t="shared" si="78"/>
        <v>1</v>
      </c>
    </row>
    <row r="998" spans="1:10" x14ac:dyDescent="0.25">
      <c r="A998" t="s">
        <v>446</v>
      </c>
      <c r="B998" t="s">
        <v>196</v>
      </c>
      <c r="C998" t="s">
        <v>72</v>
      </c>
      <c r="D998" s="3">
        <v>45645</v>
      </c>
      <c r="E998" t="str">
        <f>VLOOKUP(B998,'PROCV GERENTES BD'!A:B,2,0)</f>
        <v>NOELI SALETE</v>
      </c>
      <c r="F998" s="4" t="str">
        <f t="shared" si="79"/>
        <v>2024-12-2</v>
      </c>
      <c r="G998" t="str">
        <f t="shared" si="75"/>
        <v>NOELI SALETE</v>
      </c>
      <c r="H998" t="str">
        <f t="shared" si="76"/>
        <v>AGRO INDUSTRIAL LAZZERI LTDA</v>
      </c>
      <c r="I998">
        <f t="shared" si="77"/>
        <v>1</v>
      </c>
      <c r="J998">
        <f t="shared" si="78"/>
        <v>0</v>
      </c>
    </row>
    <row r="999" spans="1:10" x14ac:dyDescent="0.25">
      <c r="A999" t="s">
        <v>397</v>
      </c>
      <c r="B999" t="s">
        <v>143</v>
      </c>
      <c r="C999" t="s">
        <v>72</v>
      </c>
      <c r="D999" s="3">
        <v>45645</v>
      </c>
      <c r="E999" t="str">
        <f>VLOOKUP(B999,'PROCV GERENTES BD'!A:B,2,0)</f>
        <v>POENATELA</v>
      </c>
      <c r="F999" s="4" t="str">
        <f t="shared" si="79"/>
        <v>2024-12-2</v>
      </c>
      <c r="G999" t="str">
        <f t="shared" si="75"/>
        <v>POENATELA</v>
      </c>
      <c r="H999" t="str">
        <f t="shared" si="76"/>
        <v>CONQUISTA INDUSTRIA DE MOVEIS S/A</v>
      </c>
      <c r="I999">
        <f t="shared" si="77"/>
        <v>1</v>
      </c>
      <c r="J999">
        <f t="shared" si="78"/>
        <v>0</v>
      </c>
    </row>
    <row r="1000" spans="1:10" x14ac:dyDescent="0.25">
      <c r="A1000" t="s">
        <v>354</v>
      </c>
      <c r="B1000" t="s">
        <v>97</v>
      </c>
      <c r="C1000" t="s">
        <v>56</v>
      </c>
      <c r="D1000" s="3">
        <v>45645</v>
      </c>
      <c r="E1000" t="str">
        <f>VLOOKUP(B1000,'PROCV GERENTES BD'!A:B,2,0)</f>
        <v>POENATELA</v>
      </c>
      <c r="F1000" s="4" t="str">
        <f t="shared" si="79"/>
        <v>2024-12-2</v>
      </c>
      <c r="G1000" t="str">
        <f t="shared" si="75"/>
        <v>POENATELA</v>
      </c>
      <c r="H1000" t="str">
        <f t="shared" si="76"/>
        <v>UBERTEC SERVICE USINAGEM LTDA EPP</v>
      </c>
      <c r="I1000">
        <f t="shared" si="77"/>
        <v>0</v>
      </c>
      <c r="J1000">
        <f t="shared" si="78"/>
        <v>1</v>
      </c>
    </row>
    <row r="1001" spans="1:10" x14ac:dyDescent="0.25">
      <c r="A1001" t="s">
        <v>333</v>
      </c>
      <c r="B1001" t="s">
        <v>129</v>
      </c>
      <c r="C1001" t="s">
        <v>72</v>
      </c>
      <c r="D1001" s="3">
        <v>45645</v>
      </c>
      <c r="E1001" t="s">
        <v>25</v>
      </c>
      <c r="F1001" s="4" t="str">
        <f t="shared" si="79"/>
        <v>2024-12-2</v>
      </c>
      <c r="G1001" t="str">
        <f t="shared" si="75"/>
        <v xml:space="preserve">ROGERIO </v>
      </c>
      <c r="H1001" t="str">
        <f t="shared" si="76"/>
        <v>BIBE PRODUTOS INFANTIS LTDA</v>
      </c>
      <c r="I1001">
        <f t="shared" si="77"/>
        <v>1</v>
      </c>
      <c r="J1001">
        <f t="shared" si="78"/>
        <v>0</v>
      </c>
    </row>
    <row r="1002" spans="1:10" x14ac:dyDescent="0.25">
      <c r="A1002" t="s">
        <v>339</v>
      </c>
      <c r="B1002" t="s">
        <v>151</v>
      </c>
      <c r="C1002" t="s">
        <v>56</v>
      </c>
      <c r="D1002" s="3">
        <v>45646</v>
      </c>
      <c r="E1002" t="str">
        <f>VLOOKUP(B1002,'PROCV GERENTES BD'!A:B,2,0)</f>
        <v>ADMINISTRAÇÃO</v>
      </c>
      <c r="F1002" s="4" t="str">
        <f t="shared" si="79"/>
        <v>2024-12-2</v>
      </c>
      <c r="G1002" t="str">
        <f t="shared" si="75"/>
        <v>ADMINISTRAÇÃO</v>
      </c>
      <c r="H1002" t="str">
        <f t="shared" si="76"/>
        <v>BOM PASTOR PAPEIS LTDA EM RECUPERACAO JUDICIAL</v>
      </c>
      <c r="I1002">
        <f t="shared" si="77"/>
        <v>0</v>
      </c>
      <c r="J1002">
        <f t="shared" si="78"/>
        <v>1</v>
      </c>
    </row>
    <row r="1003" spans="1:10" x14ac:dyDescent="0.25">
      <c r="A1003" t="s">
        <v>390</v>
      </c>
      <c r="B1003" t="s">
        <v>136</v>
      </c>
      <c r="C1003" t="s">
        <v>59</v>
      </c>
      <c r="D1003" s="3">
        <v>45646</v>
      </c>
      <c r="E1003" t="str">
        <f>VLOOKUP(B1003,'PROCV GERENTES BD'!A:B,2,0)</f>
        <v>ADMINISTRAÇÃO</v>
      </c>
      <c r="F1003" s="4" t="str">
        <f t="shared" si="79"/>
        <v>2024-12-2</v>
      </c>
      <c r="G1003" t="str">
        <f t="shared" si="75"/>
        <v>ADMINISTRAÇÃO</v>
      </c>
      <c r="H1003" t="str">
        <f t="shared" si="76"/>
        <v>XEQUE MATE BEBIDAS LTDA ME</v>
      </c>
      <c r="I1003">
        <f t="shared" si="77"/>
        <v>0</v>
      </c>
      <c r="J1003">
        <f t="shared" si="78"/>
        <v>0</v>
      </c>
    </row>
    <row r="1004" spans="1:10" x14ac:dyDescent="0.25">
      <c r="A1004" t="s">
        <v>380</v>
      </c>
      <c r="B1004" t="s">
        <v>123</v>
      </c>
      <c r="C1004" t="s">
        <v>72</v>
      </c>
      <c r="D1004" s="3">
        <v>45646</v>
      </c>
      <c r="E1004" t="str">
        <f>VLOOKUP(B1004,'PROCV GERENTES BD'!A:B,2,0)</f>
        <v>ANTONIO CARLOS</v>
      </c>
      <c r="F1004" s="4" t="str">
        <f t="shared" si="79"/>
        <v>2024-12-2</v>
      </c>
      <c r="G1004" t="str">
        <f t="shared" si="75"/>
        <v>ANTONIO CARLOS</v>
      </c>
      <c r="H1004" t="str">
        <f t="shared" si="76"/>
        <v>PREMOLDADOS MATOSINHOS LTDA EPP</v>
      </c>
      <c r="I1004">
        <f t="shared" si="77"/>
        <v>1</v>
      </c>
      <c r="J1004">
        <f t="shared" si="78"/>
        <v>0</v>
      </c>
    </row>
    <row r="1005" spans="1:10" x14ac:dyDescent="0.25">
      <c r="A1005" t="s">
        <v>326</v>
      </c>
      <c r="B1005" t="s">
        <v>86</v>
      </c>
      <c r="C1005" t="s">
        <v>56</v>
      </c>
      <c r="D1005" s="3">
        <v>45646</v>
      </c>
      <c r="E1005" t="str">
        <f>VLOOKUP(B1005,'PROCV GERENTES BD'!A:B,2,0)</f>
        <v>CELIO PIMENTA</v>
      </c>
      <c r="F1005" s="4" t="str">
        <f t="shared" si="79"/>
        <v>2024-12-2</v>
      </c>
      <c r="G1005" t="str">
        <f t="shared" si="75"/>
        <v>CELIO PIMENTA</v>
      </c>
      <c r="H1005" t="str">
        <f t="shared" si="76"/>
        <v>IMPORTEXTIL COMERCIO DE TECIDOS LTDA</v>
      </c>
      <c r="I1005">
        <f t="shared" si="77"/>
        <v>0</v>
      </c>
      <c r="J1005">
        <f t="shared" si="78"/>
        <v>1</v>
      </c>
    </row>
    <row r="1006" spans="1:10" x14ac:dyDescent="0.25">
      <c r="A1006" t="s">
        <v>318</v>
      </c>
      <c r="B1006" t="s">
        <v>87</v>
      </c>
      <c r="C1006" t="s">
        <v>72</v>
      </c>
      <c r="D1006" s="3">
        <v>45646</v>
      </c>
      <c r="E1006" t="str">
        <f>VLOOKUP(B1006,'PROCV GERENTES BD'!A:B,2,0)</f>
        <v>CELIO PIMENTA</v>
      </c>
      <c r="F1006" s="4" t="str">
        <f t="shared" si="79"/>
        <v>2024-12-2</v>
      </c>
      <c r="G1006" t="str">
        <f t="shared" si="75"/>
        <v>CELIO PIMENTA</v>
      </c>
      <c r="H1006" t="str">
        <f t="shared" si="76"/>
        <v>MBIOLOG DIAGNOSTICOS LTDA</v>
      </c>
      <c r="I1006">
        <f t="shared" si="77"/>
        <v>1</v>
      </c>
      <c r="J1006">
        <f t="shared" si="78"/>
        <v>0</v>
      </c>
    </row>
    <row r="1007" spans="1:10" x14ac:dyDescent="0.25">
      <c r="A1007" t="s">
        <v>366</v>
      </c>
      <c r="B1007" t="s">
        <v>111</v>
      </c>
      <c r="C1007" t="s">
        <v>72</v>
      </c>
      <c r="D1007" s="3">
        <v>45646</v>
      </c>
      <c r="E1007" t="str">
        <f>VLOOKUP(B1007,'PROCV GERENTES BD'!A:B,2,0)</f>
        <v>DIOGO AZEVEDO</v>
      </c>
      <c r="F1007" s="4" t="str">
        <f t="shared" si="79"/>
        <v>2024-12-2</v>
      </c>
      <c r="G1007" t="str">
        <f t="shared" si="75"/>
        <v>DIOGO AZEVEDO</v>
      </c>
      <c r="H1007" t="str">
        <f t="shared" si="76"/>
        <v>INDUSTRIA E CERVEJARIA ARTESANAL DE MINAS GERAIS L</v>
      </c>
      <c r="I1007">
        <f t="shared" si="77"/>
        <v>1</v>
      </c>
      <c r="J1007">
        <f t="shared" si="78"/>
        <v>0</v>
      </c>
    </row>
    <row r="1008" spans="1:10" x14ac:dyDescent="0.25">
      <c r="A1008" t="s">
        <v>436</v>
      </c>
      <c r="B1008" t="s">
        <v>186</v>
      </c>
      <c r="C1008" t="s">
        <v>56</v>
      </c>
      <c r="D1008" s="3">
        <v>45646</v>
      </c>
      <c r="E1008" t="str">
        <f>VLOOKUP(B1008,'PROCV GERENTES BD'!A:B,2,0)</f>
        <v xml:space="preserve">MARCUS VINICIUS </v>
      </c>
      <c r="F1008" s="4" t="str">
        <f t="shared" si="79"/>
        <v>2024-12-2</v>
      </c>
      <c r="G1008" t="str">
        <f t="shared" si="75"/>
        <v xml:space="preserve">MARCUS VINICIUS </v>
      </c>
      <c r="H1008" t="str">
        <f t="shared" si="76"/>
        <v>LABOR ELETRIC INDUSTRIA E COMERCIO UNIPESSOAL LTDA</v>
      </c>
      <c r="I1008">
        <f t="shared" si="77"/>
        <v>0</v>
      </c>
      <c r="J1008">
        <f t="shared" si="78"/>
        <v>1</v>
      </c>
    </row>
    <row r="1009" spans="1:10" x14ac:dyDescent="0.25">
      <c r="A1009" t="s">
        <v>402</v>
      </c>
      <c r="B1009" t="s">
        <v>150</v>
      </c>
      <c r="C1009" t="s">
        <v>56</v>
      </c>
      <c r="D1009" s="3">
        <v>45646</v>
      </c>
      <c r="E1009" t="str">
        <f>VLOOKUP(B1009,'PROCV GERENTES BD'!A:B,2,0)</f>
        <v>NOELI SALETE</v>
      </c>
      <c r="F1009" s="4" t="str">
        <f t="shared" si="79"/>
        <v>2024-12-2</v>
      </c>
      <c r="G1009" t="str">
        <f t="shared" si="75"/>
        <v>NOELI SALETE</v>
      </c>
      <c r="H1009" t="str">
        <f t="shared" si="76"/>
        <v>ALBERTO H DA SILVA ME</v>
      </c>
      <c r="I1009">
        <f t="shared" si="77"/>
        <v>0</v>
      </c>
      <c r="J1009">
        <f t="shared" si="78"/>
        <v>1</v>
      </c>
    </row>
    <row r="1010" spans="1:10" x14ac:dyDescent="0.25">
      <c r="A1010" t="s">
        <v>397</v>
      </c>
      <c r="B1010" t="s">
        <v>143</v>
      </c>
      <c r="C1010" t="s">
        <v>72</v>
      </c>
      <c r="D1010" s="3">
        <v>45646</v>
      </c>
      <c r="E1010" t="str">
        <f>VLOOKUP(B1010,'PROCV GERENTES BD'!A:B,2,0)</f>
        <v>POENATELA</v>
      </c>
      <c r="F1010" s="4" t="str">
        <f t="shared" si="79"/>
        <v>2024-12-2</v>
      </c>
      <c r="G1010" t="str">
        <f t="shared" si="75"/>
        <v>POENATELA</v>
      </c>
      <c r="H1010" t="str">
        <f t="shared" si="76"/>
        <v>CONQUISTA INDUSTRIA DE MOVEIS S/A</v>
      </c>
      <c r="I1010">
        <f t="shared" si="77"/>
        <v>1</v>
      </c>
      <c r="J1010">
        <f t="shared" si="78"/>
        <v>0</v>
      </c>
    </row>
    <row r="1011" spans="1:10" x14ac:dyDescent="0.25">
      <c r="A1011" t="s">
        <v>431</v>
      </c>
      <c r="B1011" t="s">
        <v>181</v>
      </c>
      <c r="C1011" t="s">
        <v>72</v>
      </c>
      <c r="D1011" s="3">
        <v>45646</v>
      </c>
      <c r="E1011" t="str">
        <f>VLOOKUP(B1011,'PROCV GERENTES BD'!A:B,2,0)</f>
        <v>POENATELA</v>
      </c>
      <c r="F1011" s="4" t="str">
        <f t="shared" si="79"/>
        <v>2024-12-2</v>
      </c>
      <c r="G1011" t="str">
        <f t="shared" si="75"/>
        <v>POENATELA</v>
      </c>
      <c r="H1011" t="str">
        <f t="shared" si="76"/>
        <v>EXPRESSO PAV CONSTRUCOES E SERVICOS LTDA ME</v>
      </c>
      <c r="I1011">
        <f t="shared" si="77"/>
        <v>1</v>
      </c>
      <c r="J1011">
        <f t="shared" si="78"/>
        <v>0</v>
      </c>
    </row>
    <row r="1012" spans="1:10" x14ac:dyDescent="0.25">
      <c r="A1012" t="s">
        <v>354</v>
      </c>
      <c r="B1012" t="s">
        <v>97</v>
      </c>
      <c r="C1012" t="s">
        <v>56</v>
      </c>
      <c r="D1012" s="3">
        <v>45646</v>
      </c>
      <c r="E1012" t="str">
        <f>VLOOKUP(B1012,'PROCV GERENTES BD'!A:B,2,0)</f>
        <v>POENATELA</v>
      </c>
      <c r="F1012" s="4" t="str">
        <f t="shared" si="79"/>
        <v>2024-12-2</v>
      </c>
      <c r="G1012" t="str">
        <f t="shared" si="75"/>
        <v>POENATELA</v>
      </c>
      <c r="H1012" t="str">
        <f t="shared" si="76"/>
        <v>UBERTEC SERVICE USINAGEM LTDA EPP</v>
      </c>
      <c r="I1012">
        <f t="shared" si="77"/>
        <v>0</v>
      </c>
      <c r="J1012">
        <f t="shared" si="78"/>
        <v>1</v>
      </c>
    </row>
    <row r="1013" spans="1:10" x14ac:dyDescent="0.25">
      <c r="A1013" t="s">
        <v>442</v>
      </c>
      <c r="B1013" t="s">
        <v>192</v>
      </c>
      <c r="C1013" t="s">
        <v>72</v>
      </c>
      <c r="D1013" s="3">
        <v>45646</v>
      </c>
      <c r="E1013" t="str">
        <f>VLOOKUP(B1013,'PROCV GERENTES BD'!A:B,2,0)</f>
        <v>RAFAEL PARISE</v>
      </c>
      <c r="F1013" s="4" t="str">
        <f t="shared" si="79"/>
        <v>2024-12-2</v>
      </c>
      <c r="G1013" t="str">
        <f t="shared" si="75"/>
        <v>RAFAEL PARISE</v>
      </c>
      <c r="H1013" t="str">
        <f t="shared" si="76"/>
        <v>MARCAS COMERCIO LTDA ME</v>
      </c>
      <c r="I1013">
        <f t="shared" si="77"/>
        <v>1</v>
      </c>
      <c r="J1013">
        <f t="shared" si="78"/>
        <v>0</v>
      </c>
    </row>
    <row r="1014" spans="1:10" x14ac:dyDescent="0.25">
      <c r="A1014" t="s">
        <v>333</v>
      </c>
      <c r="B1014" t="s">
        <v>129</v>
      </c>
      <c r="C1014" t="s">
        <v>56</v>
      </c>
      <c r="D1014" s="3">
        <v>45646</v>
      </c>
      <c r="E1014" t="s">
        <v>25</v>
      </c>
      <c r="F1014" s="4" t="str">
        <f t="shared" si="79"/>
        <v>2024-12-2</v>
      </c>
      <c r="G1014" t="str">
        <f t="shared" si="75"/>
        <v xml:space="preserve">ROGERIO </v>
      </c>
      <c r="H1014" t="str">
        <f t="shared" si="76"/>
        <v>BIBE PRODUTOS INFANTIS LTDA</v>
      </c>
      <c r="I1014">
        <f t="shared" si="77"/>
        <v>0</v>
      </c>
      <c r="J1014">
        <f t="shared" si="78"/>
        <v>1</v>
      </c>
    </row>
    <row r="1015" spans="1:10" x14ac:dyDescent="0.25">
      <c r="A1015" t="s">
        <v>339</v>
      </c>
      <c r="B1015" t="s">
        <v>151</v>
      </c>
      <c r="C1015" t="s">
        <v>59</v>
      </c>
      <c r="D1015" s="3">
        <v>45647</v>
      </c>
      <c r="E1015" t="str">
        <f>VLOOKUP(B1015,'PROCV GERENTES BD'!A:B,2,0)</f>
        <v>ADMINISTRAÇÃO</v>
      </c>
      <c r="F1015" s="4" t="str">
        <f t="shared" si="79"/>
        <v>2024-12-2</v>
      </c>
      <c r="G1015" t="str">
        <f t="shared" si="75"/>
        <v>ADMINISTRAÇÃO</v>
      </c>
      <c r="H1015" t="str">
        <f t="shared" si="76"/>
        <v>BOM PASTOR PAPEIS LTDA EM RECUPERACAO JUDICIAL</v>
      </c>
      <c r="I1015">
        <f t="shared" si="77"/>
        <v>0</v>
      </c>
      <c r="J1015">
        <f t="shared" si="78"/>
        <v>0</v>
      </c>
    </row>
    <row r="1016" spans="1:10" x14ac:dyDescent="0.25">
      <c r="A1016" t="s">
        <v>390</v>
      </c>
      <c r="B1016" t="s">
        <v>136</v>
      </c>
      <c r="C1016" t="s">
        <v>56</v>
      </c>
      <c r="D1016" s="3">
        <v>45647</v>
      </c>
      <c r="E1016" t="str">
        <f>VLOOKUP(B1016,'PROCV GERENTES BD'!A:B,2,0)</f>
        <v>ADMINISTRAÇÃO</v>
      </c>
      <c r="F1016" s="4" t="str">
        <f t="shared" si="79"/>
        <v>2024-12-2</v>
      </c>
      <c r="G1016" t="str">
        <f t="shared" si="75"/>
        <v>ADMINISTRAÇÃO</v>
      </c>
      <c r="H1016" t="str">
        <f t="shared" si="76"/>
        <v>XEQUE MATE BEBIDAS LTDA ME</v>
      </c>
      <c r="I1016">
        <f t="shared" si="77"/>
        <v>0</v>
      </c>
      <c r="J1016">
        <f t="shared" si="78"/>
        <v>1</v>
      </c>
    </row>
    <row r="1017" spans="1:10" x14ac:dyDescent="0.25">
      <c r="A1017" t="s">
        <v>450</v>
      </c>
      <c r="B1017" t="s">
        <v>200</v>
      </c>
      <c r="C1017" t="s">
        <v>56</v>
      </c>
      <c r="D1017" s="3">
        <v>45647</v>
      </c>
      <c r="E1017" t="str">
        <f>VLOOKUP(B1017,'PROCV GERENTES BD'!A:B,2,0)</f>
        <v>CELIO PIMENTA</v>
      </c>
      <c r="F1017" s="4" t="str">
        <f t="shared" si="79"/>
        <v>2024-12-2</v>
      </c>
      <c r="G1017" t="str">
        <f t="shared" si="75"/>
        <v>CELIO PIMENTA</v>
      </c>
      <c r="H1017" t="str">
        <f t="shared" si="76"/>
        <v>CIA TEXTIL LTDA ME</v>
      </c>
      <c r="I1017">
        <f t="shared" si="77"/>
        <v>0</v>
      </c>
      <c r="J1017">
        <f t="shared" si="78"/>
        <v>1</v>
      </c>
    </row>
    <row r="1018" spans="1:10" x14ac:dyDescent="0.25">
      <c r="A1018" t="s">
        <v>60</v>
      </c>
      <c r="B1018" t="s">
        <v>61</v>
      </c>
      <c r="C1018" t="s">
        <v>56</v>
      </c>
      <c r="D1018" s="3">
        <v>45647</v>
      </c>
      <c r="E1018" t="str">
        <f>VLOOKUP(B1018,'PROCV GERENTES BD'!A:B,2,0)</f>
        <v>CELIO PIMENTA</v>
      </c>
      <c r="F1018" s="4" t="str">
        <f t="shared" si="79"/>
        <v>2024-12-2</v>
      </c>
      <c r="G1018" t="str">
        <f t="shared" si="75"/>
        <v>CELIO PIMENTA</v>
      </c>
      <c r="H1018" t="str">
        <f t="shared" si="76"/>
        <v>WJ CALDEIRARIA INDUSTRIA E COMERCIO LTDA ME</v>
      </c>
      <c r="I1018">
        <f t="shared" si="77"/>
        <v>0</v>
      </c>
      <c r="J1018">
        <f t="shared" si="78"/>
        <v>1</v>
      </c>
    </row>
    <row r="1019" spans="1:10" x14ac:dyDescent="0.25">
      <c r="A1019" t="s">
        <v>366</v>
      </c>
      <c r="B1019" t="s">
        <v>111</v>
      </c>
      <c r="C1019" t="s">
        <v>72</v>
      </c>
      <c r="D1019" s="3">
        <v>45647</v>
      </c>
      <c r="E1019" t="str">
        <f>VLOOKUP(B1019,'PROCV GERENTES BD'!A:B,2,0)</f>
        <v>DIOGO AZEVEDO</v>
      </c>
      <c r="F1019" s="4" t="str">
        <f t="shared" si="79"/>
        <v>2024-12-2</v>
      </c>
      <c r="G1019" t="str">
        <f t="shared" si="75"/>
        <v>DIOGO AZEVEDO</v>
      </c>
      <c r="H1019" t="str">
        <f t="shared" si="76"/>
        <v>INDUSTRIA E CERVEJARIA ARTESANAL DE MINAS GERAIS L</v>
      </c>
      <c r="I1019">
        <f t="shared" si="77"/>
        <v>1</v>
      </c>
      <c r="J1019">
        <f t="shared" si="78"/>
        <v>0</v>
      </c>
    </row>
    <row r="1020" spans="1:10" x14ac:dyDescent="0.25">
      <c r="A1020" t="s">
        <v>451</v>
      </c>
      <c r="B1020" t="s">
        <v>201</v>
      </c>
      <c r="C1020" t="s">
        <v>56</v>
      </c>
      <c r="D1020" s="3">
        <v>45647</v>
      </c>
      <c r="E1020" t="str">
        <f>VLOOKUP(B1020,'PROCV GERENTES BD'!A:B,2,0)</f>
        <v>FITZ</v>
      </c>
      <c r="F1020" s="4" t="str">
        <f t="shared" si="79"/>
        <v>2024-12-2</v>
      </c>
      <c r="G1020" t="str">
        <f t="shared" si="75"/>
        <v>FITZ</v>
      </c>
      <c r="H1020" t="str">
        <f t="shared" si="76"/>
        <v>ALPLAST ATACADISTA E APOIO ADMINISTRATIVO LTDA EPP</v>
      </c>
      <c r="I1020">
        <f t="shared" si="77"/>
        <v>0</v>
      </c>
      <c r="J1020">
        <f t="shared" si="78"/>
        <v>1</v>
      </c>
    </row>
    <row r="1021" spans="1:10" x14ac:dyDescent="0.25">
      <c r="A1021" t="s">
        <v>436</v>
      </c>
      <c r="B1021" t="s">
        <v>186</v>
      </c>
      <c r="C1021" t="s">
        <v>56</v>
      </c>
      <c r="D1021" s="3">
        <v>45647</v>
      </c>
      <c r="E1021" t="str">
        <f>VLOOKUP(B1021,'PROCV GERENTES BD'!A:B,2,0)</f>
        <v xml:space="preserve">MARCUS VINICIUS </v>
      </c>
      <c r="F1021" s="4" t="str">
        <f t="shared" si="79"/>
        <v>2024-12-2</v>
      </c>
      <c r="G1021" t="str">
        <f t="shared" si="75"/>
        <v xml:space="preserve">MARCUS VINICIUS </v>
      </c>
      <c r="H1021" t="str">
        <f t="shared" si="76"/>
        <v>LABOR ELETRIC INDUSTRIA E COMERCIO UNIPESSOAL LTDA</v>
      </c>
      <c r="I1021">
        <f t="shared" si="77"/>
        <v>0</v>
      </c>
      <c r="J1021">
        <f t="shared" si="78"/>
        <v>1</v>
      </c>
    </row>
    <row r="1022" spans="1:10" x14ac:dyDescent="0.25">
      <c r="A1022" t="s">
        <v>430</v>
      </c>
      <c r="B1022" t="s">
        <v>180</v>
      </c>
      <c r="C1022" t="s">
        <v>56</v>
      </c>
      <c r="D1022" s="3">
        <v>45647</v>
      </c>
      <c r="E1022" t="str">
        <f>VLOOKUP(B1022,'PROCV GERENTES BD'!A:B,2,0)</f>
        <v>NOELI SALETE</v>
      </c>
      <c r="F1022" s="4" t="str">
        <f t="shared" si="79"/>
        <v>2024-12-2</v>
      </c>
      <c r="G1022" t="str">
        <f t="shared" si="75"/>
        <v>NOELI SALETE</v>
      </c>
      <c r="H1022" t="str">
        <f t="shared" si="76"/>
        <v>COMGROUP AGROINDUSTRIAL LTDA</v>
      </c>
      <c r="I1022">
        <f t="shared" si="77"/>
        <v>0</v>
      </c>
      <c r="J1022">
        <f t="shared" si="78"/>
        <v>1</v>
      </c>
    </row>
    <row r="1023" spans="1:10" x14ac:dyDescent="0.25">
      <c r="A1023" t="s">
        <v>402</v>
      </c>
      <c r="B1023" t="s">
        <v>150</v>
      </c>
      <c r="C1023" t="s">
        <v>56</v>
      </c>
      <c r="D1023" s="3">
        <v>45647</v>
      </c>
      <c r="E1023" t="str">
        <f>VLOOKUP(B1023,'PROCV GERENTES BD'!A:B,2,0)</f>
        <v>NOELI SALETE</v>
      </c>
      <c r="F1023" s="4" t="str">
        <f t="shared" si="79"/>
        <v>2024-12-2</v>
      </c>
      <c r="G1023" t="str">
        <f t="shared" si="75"/>
        <v>NOELI SALETE</v>
      </c>
      <c r="H1023" t="str">
        <f t="shared" si="76"/>
        <v>ALBERTO H DA SILVA ME</v>
      </c>
      <c r="I1023">
        <f t="shared" si="77"/>
        <v>0</v>
      </c>
      <c r="J1023">
        <f t="shared" si="78"/>
        <v>1</v>
      </c>
    </row>
    <row r="1024" spans="1:10" x14ac:dyDescent="0.25">
      <c r="A1024" t="s">
        <v>408</v>
      </c>
      <c r="B1024" t="s">
        <v>157</v>
      </c>
      <c r="C1024" t="s">
        <v>56</v>
      </c>
      <c r="D1024" s="3">
        <v>45647</v>
      </c>
      <c r="E1024" t="str">
        <f>VLOOKUP(B1024,'PROCV GERENTES BD'!A:B,2,0)</f>
        <v>NOELI SALETE</v>
      </c>
      <c r="F1024" s="4" t="str">
        <f t="shared" si="79"/>
        <v>2024-12-2</v>
      </c>
      <c r="G1024" t="str">
        <f t="shared" si="75"/>
        <v>NOELI SALETE</v>
      </c>
      <c r="H1024" t="str">
        <f t="shared" si="76"/>
        <v>POOLMAK SISTEMAS ESTRUTURAIS LTDA</v>
      </c>
      <c r="I1024">
        <f t="shared" si="77"/>
        <v>0</v>
      </c>
      <c r="J1024">
        <f t="shared" si="78"/>
        <v>1</v>
      </c>
    </row>
    <row r="1025" spans="1:10" x14ac:dyDescent="0.25">
      <c r="A1025" t="s">
        <v>397</v>
      </c>
      <c r="B1025" t="s">
        <v>143</v>
      </c>
      <c r="C1025" t="s">
        <v>72</v>
      </c>
      <c r="D1025" s="3">
        <v>45647</v>
      </c>
      <c r="E1025" t="str">
        <f>VLOOKUP(B1025,'PROCV GERENTES BD'!A:B,2,0)</f>
        <v>POENATELA</v>
      </c>
      <c r="F1025" s="4" t="str">
        <f t="shared" si="79"/>
        <v>2024-12-2</v>
      </c>
      <c r="G1025" t="str">
        <f t="shared" si="75"/>
        <v>POENATELA</v>
      </c>
      <c r="H1025" t="str">
        <f t="shared" si="76"/>
        <v>CONQUISTA INDUSTRIA DE MOVEIS S/A</v>
      </c>
      <c r="I1025">
        <f t="shared" si="77"/>
        <v>1</v>
      </c>
      <c r="J1025">
        <f t="shared" si="78"/>
        <v>0</v>
      </c>
    </row>
    <row r="1026" spans="1:10" x14ac:dyDescent="0.25">
      <c r="A1026" t="s">
        <v>354</v>
      </c>
      <c r="B1026" t="s">
        <v>97</v>
      </c>
      <c r="C1026" t="s">
        <v>56</v>
      </c>
      <c r="D1026" s="3">
        <v>45647</v>
      </c>
      <c r="E1026" t="str">
        <f>VLOOKUP(B1026,'PROCV GERENTES BD'!A:B,2,0)</f>
        <v>POENATELA</v>
      </c>
      <c r="F1026" s="4" t="str">
        <f t="shared" si="79"/>
        <v>2024-12-2</v>
      </c>
      <c r="G1026" t="str">
        <f t="shared" ref="G1026:G1089" si="80">E1026</f>
        <v>POENATELA</v>
      </c>
      <c r="H1026" t="str">
        <f t="shared" ref="H1026:H1089" si="81">B1026</f>
        <v>UBERTEC SERVICE USINAGEM LTDA EPP</v>
      </c>
      <c r="I1026">
        <f t="shared" ref="I1026:I1089" si="82">IF(C1026="EXCLUSAO  ANOT.INADIMPLENCIA",1,0)</f>
        <v>0</v>
      </c>
      <c r="J1026">
        <f t="shared" ref="J1026:J1089" si="83">IF(C1026="INCLUSAO  ANOT.INADIMPLENCIA",1,0)</f>
        <v>1</v>
      </c>
    </row>
    <row r="1027" spans="1:10" x14ac:dyDescent="0.25">
      <c r="A1027" t="s">
        <v>339</v>
      </c>
      <c r="B1027" t="s">
        <v>151</v>
      </c>
      <c r="C1027" t="s">
        <v>56</v>
      </c>
      <c r="D1027" s="3">
        <v>45650</v>
      </c>
      <c r="E1027" t="str">
        <f>VLOOKUP(B1027,'PROCV GERENTES BD'!A:B,2,0)</f>
        <v>ADMINISTRAÇÃO</v>
      </c>
      <c r="F1027" s="4" t="str">
        <f t="shared" ref="F1027:F1090" si="84">YEAR(D1027)&amp;"-"&amp;TEXT(MONTH(D1027),"00")&amp;"-"&amp;IF(DAY(D1027)&lt;=15,"1",IF(DAY(D1027)&gt;15,"2",""))</f>
        <v>2024-12-2</v>
      </c>
      <c r="G1027" t="str">
        <f t="shared" si="80"/>
        <v>ADMINISTRAÇÃO</v>
      </c>
      <c r="H1027" t="str">
        <f t="shared" si="81"/>
        <v>BOM PASTOR PAPEIS LTDA EM RECUPERACAO JUDICIAL</v>
      </c>
      <c r="I1027">
        <f t="shared" si="82"/>
        <v>0</v>
      </c>
      <c r="J1027">
        <f t="shared" si="83"/>
        <v>1</v>
      </c>
    </row>
    <row r="1028" spans="1:10" x14ac:dyDescent="0.25">
      <c r="A1028" t="s">
        <v>390</v>
      </c>
      <c r="B1028" t="s">
        <v>136</v>
      </c>
      <c r="C1028" t="s">
        <v>56</v>
      </c>
      <c r="D1028" s="3">
        <v>45650</v>
      </c>
      <c r="E1028" t="str">
        <f>VLOOKUP(B1028,'PROCV GERENTES BD'!A:B,2,0)</f>
        <v>ADMINISTRAÇÃO</v>
      </c>
      <c r="F1028" s="4" t="str">
        <f t="shared" si="84"/>
        <v>2024-12-2</v>
      </c>
      <c r="G1028" t="str">
        <f t="shared" si="80"/>
        <v>ADMINISTRAÇÃO</v>
      </c>
      <c r="H1028" t="str">
        <f t="shared" si="81"/>
        <v>XEQUE MATE BEBIDAS LTDA ME</v>
      </c>
      <c r="I1028">
        <f t="shared" si="82"/>
        <v>0</v>
      </c>
      <c r="J1028">
        <f t="shared" si="83"/>
        <v>1</v>
      </c>
    </row>
    <row r="1029" spans="1:10" x14ac:dyDescent="0.25">
      <c r="A1029" t="s">
        <v>326</v>
      </c>
      <c r="B1029" t="s">
        <v>86</v>
      </c>
      <c r="C1029" t="s">
        <v>72</v>
      </c>
      <c r="D1029" s="3">
        <v>45650</v>
      </c>
      <c r="E1029" t="str">
        <f>VLOOKUP(B1029,'PROCV GERENTES BD'!A:B,2,0)</f>
        <v>CELIO PIMENTA</v>
      </c>
      <c r="F1029" s="4" t="str">
        <f t="shared" si="84"/>
        <v>2024-12-2</v>
      </c>
      <c r="G1029" t="str">
        <f t="shared" si="80"/>
        <v>CELIO PIMENTA</v>
      </c>
      <c r="H1029" t="str">
        <f t="shared" si="81"/>
        <v>IMPORTEXTIL COMERCIO DE TECIDOS LTDA</v>
      </c>
      <c r="I1029">
        <f t="shared" si="82"/>
        <v>1</v>
      </c>
      <c r="J1029">
        <f t="shared" si="83"/>
        <v>0</v>
      </c>
    </row>
    <row r="1030" spans="1:10" x14ac:dyDescent="0.25">
      <c r="A1030" t="s">
        <v>318</v>
      </c>
      <c r="B1030" t="s">
        <v>87</v>
      </c>
      <c r="C1030" t="s">
        <v>59</v>
      </c>
      <c r="D1030" s="3">
        <v>45650</v>
      </c>
      <c r="E1030" t="str">
        <f>VLOOKUP(B1030,'PROCV GERENTES BD'!A:B,2,0)</f>
        <v>CELIO PIMENTA</v>
      </c>
      <c r="F1030" s="4" t="str">
        <f t="shared" si="84"/>
        <v>2024-12-2</v>
      </c>
      <c r="G1030" t="str">
        <f t="shared" si="80"/>
        <v>CELIO PIMENTA</v>
      </c>
      <c r="H1030" t="str">
        <f t="shared" si="81"/>
        <v>MBIOLOG DIAGNOSTICOS LTDA</v>
      </c>
      <c r="I1030">
        <f t="shared" si="82"/>
        <v>0</v>
      </c>
      <c r="J1030">
        <f t="shared" si="83"/>
        <v>0</v>
      </c>
    </row>
    <row r="1031" spans="1:10" x14ac:dyDescent="0.25">
      <c r="A1031" t="s">
        <v>366</v>
      </c>
      <c r="B1031" t="s">
        <v>111</v>
      </c>
      <c r="C1031" t="s">
        <v>72</v>
      </c>
      <c r="D1031" s="3">
        <v>45650</v>
      </c>
      <c r="E1031" t="str">
        <f>VLOOKUP(B1031,'PROCV GERENTES BD'!A:B,2,0)</f>
        <v>DIOGO AZEVEDO</v>
      </c>
      <c r="F1031" s="4" t="str">
        <f t="shared" si="84"/>
        <v>2024-12-2</v>
      </c>
      <c r="G1031" t="str">
        <f t="shared" si="80"/>
        <v>DIOGO AZEVEDO</v>
      </c>
      <c r="H1031" t="str">
        <f t="shared" si="81"/>
        <v>INDUSTRIA E CERVEJARIA ARTESANAL DE MINAS GERAIS L</v>
      </c>
      <c r="I1031">
        <f t="shared" si="82"/>
        <v>1</v>
      </c>
      <c r="J1031">
        <f t="shared" si="83"/>
        <v>0</v>
      </c>
    </row>
    <row r="1032" spans="1:10" x14ac:dyDescent="0.25">
      <c r="A1032" t="s">
        <v>331</v>
      </c>
      <c r="B1032" t="s">
        <v>126</v>
      </c>
      <c r="C1032" t="s">
        <v>56</v>
      </c>
      <c r="D1032" s="3">
        <v>45650</v>
      </c>
      <c r="E1032" t="str">
        <f>VLOOKUP(B1032,'PROCV GERENTES BD'!A:B,2,0)</f>
        <v>FITZ</v>
      </c>
      <c r="F1032" s="4" t="str">
        <f t="shared" si="84"/>
        <v>2024-12-2</v>
      </c>
      <c r="G1032" t="str">
        <f t="shared" si="80"/>
        <v>FITZ</v>
      </c>
      <c r="H1032" t="str">
        <f t="shared" si="81"/>
        <v>TRANSHENRY TRANSPORTES LTDA</v>
      </c>
      <c r="I1032">
        <f t="shared" si="82"/>
        <v>0</v>
      </c>
      <c r="J1032">
        <f t="shared" si="83"/>
        <v>1</v>
      </c>
    </row>
    <row r="1033" spans="1:10" x14ac:dyDescent="0.25">
      <c r="A1033" t="s">
        <v>330</v>
      </c>
      <c r="B1033" t="s">
        <v>116</v>
      </c>
      <c r="C1033" t="s">
        <v>56</v>
      </c>
      <c r="D1033" s="3">
        <v>45650</v>
      </c>
      <c r="E1033" t="str">
        <f>VLOOKUP(B1033,'PROCV GERENTES BD'!A:B,2,0)</f>
        <v>FITZ</v>
      </c>
      <c r="F1033" s="4" t="str">
        <f t="shared" si="84"/>
        <v>2024-12-2</v>
      </c>
      <c r="G1033" t="str">
        <f t="shared" si="80"/>
        <v>FITZ</v>
      </c>
      <c r="H1033" t="str">
        <f t="shared" si="81"/>
        <v>SIAP COMERCIO DE PRODUTOS AGROPECUARIOS LTDA</v>
      </c>
      <c r="I1033">
        <f t="shared" si="82"/>
        <v>0</v>
      </c>
      <c r="J1033">
        <f t="shared" si="83"/>
        <v>1</v>
      </c>
    </row>
    <row r="1034" spans="1:10" x14ac:dyDescent="0.25">
      <c r="A1034" t="s">
        <v>403</v>
      </c>
      <c r="B1034" t="s">
        <v>152</v>
      </c>
      <c r="C1034" t="s">
        <v>56</v>
      </c>
      <c r="D1034" s="3">
        <v>45650</v>
      </c>
      <c r="E1034" t="str">
        <f>VLOOKUP(B1034,'PROCV GERENTES BD'!A:B,2,0)</f>
        <v>MARCIO LEONEL</v>
      </c>
      <c r="F1034" s="4" t="str">
        <f t="shared" si="84"/>
        <v>2024-12-2</v>
      </c>
      <c r="G1034" t="str">
        <f t="shared" si="80"/>
        <v>MARCIO LEONEL</v>
      </c>
      <c r="H1034" t="str">
        <f t="shared" si="81"/>
        <v>MEDICAL PRIME IMP EXPORT DISTRIB PRODUTOS MEDICOS</v>
      </c>
      <c r="I1034">
        <f t="shared" si="82"/>
        <v>0</v>
      </c>
      <c r="J1034">
        <f t="shared" si="83"/>
        <v>1</v>
      </c>
    </row>
    <row r="1035" spans="1:10" x14ac:dyDescent="0.25">
      <c r="A1035" t="s">
        <v>436</v>
      </c>
      <c r="B1035" t="s">
        <v>186</v>
      </c>
      <c r="C1035" t="s">
        <v>56</v>
      </c>
      <c r="D1035" s="3">
        <v>45650</v>
      </c>
      <c r="E1035" t="str">
        <f>VLOOKUP(B1035,'PROCV GERENTES BD'!A:B,2,0)</f>
        <v xml:space="preserve">MARCUS VINICIUS </v>
      </c>
      <c r="F1035" s="4" t="str">
        <f t="shared" si="84"/>
        <v>2024-12-2</v>
      </c>
      <c r="G1035" t="str">
        <f t="shared" si="80"/>
        <v xml:space="preserve">MARCUS VINICIUS </v>
      </c>
      <c r="H1035" t="str">
        <f t="shared" si="81"/>
        <v>LABOR ELETRIC INDUSTRIA E COMERCIO UNIPESSOAL LTDA</v>
      </c>
      <c r="I1035">
        <f t="shared" si="82"/>
        <v>0</v>
      </c>
      <c r="J1035">
        <f t="shared" si="83"/>
        <v>1</v>
      </c>
    </row>
    <row r="1036" spans="1:10" x14ac:dyDescent="0.25">
      <c r="A1036" t="s">
        <v>402</v>
      </c>
      <c r="B1036" t="s">
        <v>150</v>
      </c>
      <c r="C1036" t="s">
        <v>56</v>
      </c>
      <c r="D1036" s="3">
        <v>45650</v>
      </c>
      <c r="E1036" t="str">
        <f>VLOOKUP(B1036,'PROCV GERENTES BD'!A:B,2,0)</f>
        <v>NOELI SALETE</v>
      </c>
      <c r="F1036" s="4" t="str">
        <f t="shared" si="84"/>
        <v>2024-12-2</v>
      </c>
      <c r="G1036" t="str">
        <f t="shared" si="80"/>
        <v>NOELI SALETE</v>
      </c>
      <c r="H1036" t="str">
        <f t="shared" si="81"/>
        <v>ALBERTO H DA SILVA ME</v>
      </c>
      <c r="I1036">
        <f t="shared" si="82"/>
        <v>0</v>
      </c>
      <c r="J1036">
        <f t="shared" si="83"/>
        <v>1</v>
      </c>
    </row>
    <row r="1037" spans="1:10" x14ac:dyDescent="0.25">
      <c r="A1037" t="s">
        <v>397</v>
      </c>
      <c r="B1037" t="s">
        <v>143</v>
      </c>
      <c r="C1037" t="s">
        <v>72</v>
      </c>
      <c r="D1037" s="3">
        <v>45650</v>
      </c>
      <c r="E1037" t="str">
        <f>VLOOKUP(B1037,'PROCV GERENTES BD'!A:B,2,0)</f>
        <v>POENATELA</v>
      </c>
      <c r="F1037" s="4" t="str">
        <f t="shared" si="84"/>
        <v>2024-12-2</v>
      </c>
      <c r="G1037" t="str">
        <f t="shared" si="80"/>
        <v>POENATELA</v>
      </c>
      <c r="H1037" t="str">
        <f t="shared" si="81"/>
        <v>CONQUISTA INDUSTRIA DE MOVEIS S/A</v>
      </c>
      <c r="I1037">
        <f t="shared" si="82"/>
        <v>1</v>
      </c>
      <c r="J1037">
        <f t="shared" si="83"/>
        <v>0</v>
      </c>
    </row>
    <row r="1038" spans="1:10" x14ac:dyDescent="0.25">
      <c r="A1038" t="s">
        <v>378</v>
      </c>
      <c r="B1038" t="s">
        <v>121</v>
      </c>
      <c r="C1038" t="s">
        <v>334</v>
      </c>
      <c r="D1038" s="3">
        <v>45650</v>
      </c>
      <c r="E1038" t="str">
        <f>VLOOKUP(B1038,'PROCV GERENTES BD'!A:B,2,0)</f>
        <v>POENATELA</v>
      </c>
      <c r="F1038" s="4" t="str">
        <f t="shared" si="84"/>
        <v>2024-12-2</v>
      </c>
      <c r="G1038" t="str">
        <f t="shared" si="80"/>
        <v>POENATELA</v>
      </c>
      <c r="H1038" t="str">
        <f t="shared" si="81"/>
        <v>COOPERATIVA TRANSP AUTON CARGAS PASSAG SERVICOS LO</v>
      </c>
      <c r="I1038">
        <f t="shared" si="82"/>
        <v>0</v>
      </c>
      <c r="J1038">
        <f t="shared" si="83"/>
        <v>0</v>
      </c>
    </row>
    <row r="1039" spans="1:10" x14ac:dyDescent="0.25">
      <c r="A1039" t="s">
        <v>428</v>
      </c>
      <c r="B1039" t="s">
        <v>177</v>
      </c>
      <c r="C1039" t="s">
        <v>72</v>
      </c>
      <c r="D1039" s="3">
        <v>45650</v>
      </c>
      <c r="E1039" t="str">
        <f>VLOOKUP(B1039,'PROCV GERENTES BD'!A:B,2,0)</f>
        <v>POENATELA</v>
      </c>
      <c r="F1039" s="4" t="str">
        <f t="shared" si="84"/>
        <v>2024-12-2</v>
      </c>
      <c r="G1039" t="str">
        <f t="shared" si="80"/>
        <v>POENATELA</v>
      </c>
      <c r="H1039" t="str">
        <f t="shared" si="81"/>
        <v>SAVIXX COMERCIO INTERNACIONAL S/A</v>
      </c>
      <c r="I1039">
        <f t="shared" si="82"/>
        <v>1</v>
      </c>
      <c r="J1039">
        <f t="shared" si="83"/>
        <v>0</v>
      </c>
    </row>
    <row r="1040" spans="1:10" x14ac:dyDescent="0.25">
      <c r="A1040" t="s">
        <v>354</v>
      </c>
      <c r="B1040" t="s">
        <v>97</v>
      </c>
      <c r="C1040" t="s">
        <v>56</v>
      </c>
      <c r="D1040" s="3">
        <v>45650</v>
      </c>
      <c r="E1040" t="str">
        <f>VLOOKUP(B1040,'PROCV GERENTES BD'!A:B,2,0)</f>
        <v>POENATELA</v>
      </c>
      <c r="F1040" s="4" t="str">
        <f t="shared" si="84"/>
        <v>2024-12-2</v>
      </c>
      <c r="G1040" t="str">
        <f t="shared" si="80"/>
        <v>POENATELA</v>
      </c>
      <c r="H1040" t="str">
        <f t="shared" si="81"/>
        <v>UBERTEC SERVICE USINAGEM LTDA EPP</v>
      </c>
      <c r="I1040">
        <f t="shared" si="82"/>
        <v>0</v>
      </c>
      <c r="J1040">
        <f t="shared" si="83"/>
        <v>1</v>
      </c>
    </row>
    <row r="1041" spans="1:10" x14ac:dyDescent="0.25">
      <c r="A1041" t="s">
        <v>361</v>
      </c>
      <c r="B1041" t="s">
        <v>103</v>
      </c>
      <c r="C1041" t="s">
        <v>56</v>
      </c>
      <c r="D1041" s="3">
        <v>45650</v>
      </c>
      <c r="E1041" t="str">
        <f>VLOOKUP(B1041,'PROCV GERENTES BD'!A:B,2,0)</f>
        <v>PRISCILA METZ</v>
      </c>
      <c r="F1041" s="4" t="str">
        <f t="shared" si="84"/>
        <v>2024-12-2</v>
      </c>
      <c r="G1041" t="str">
        <f t="shared" si="80"/>
        <v>PRISCILA METZ</v>
      </c>
      <c r="H1041" t="str">
        <f t="shared" si="81"/>
        <v>ESSENZA INDUSTRIA QUIMICA LTDA</v>
      </c>
      <c r="I1041">
        <f t="shared" si="82"/>
        <v>0</v>
      </c>
      <c r="J1041">
        <f t="shared" si="83"/>
        <v>1</v>
      </c>
    </row>
    <row r="1042" spans="1:10" x14ac:dyDescent="0.25">
      <c r="A1042" t="s">
        <v>384</v>
      </c>
      <c r="B1042" t="s">
        <v>128</v>
      </c>
      <c r="C1042" t="s">
        <v>72</v>
      </c>
      <c r="D1042" s="3">
        <v>45650</v>
      </c>
      <c r="E1042" t="str">
        <f>VLOOKUP(B1042,'PROCV GERENTES BD'!A:B,2,0)</f>
        <v>PRISCILA METZ</v>
      </c>
      <c r="F1042" s="4" t="str">
        <f t="shared" si="84"/>
        <v>2024-12-2</v>
      </c>
      <c r="G1042" t="str">
        <f t="shared" si="80"/>
        <v>PRISCILA METZ</v>
      </c>
      <c r="H1042" t="str">
        <f t="shared" si="81"/>
        <v>NOVA DISTRIBUIDORA E ATACADO DE LIMPEZA LTDA</v>
      </c>
      <c r="I1042">
        <f t="shared" si="82"/>
        <v>1</v>
      </c>
      <c r="J1042">
        <f t="shared" si="83"/>
        <v>0</v>
      </c>
    </row>
    <row r="1043" spans="1:10" x14ac:dyDescent="0.25">
      <c r="A1043" t="s">
        <v>452</v>
      </c>
      <c r="B1043" t="s">
        <v>202</v>
      </c>
      <c r="C1043" t="s">
        <v>72</v>
      </c>
      <c r="D1043" s="3">
        <v>45650</v>
      </c>
      <c r="E1043" t="str">
        <f>VLOOKUP(B1043,'PROCV GERENTES BD'!A:B,2,0)</f>
        <v>RAFAEL PARISE</v>
      </c>
      <c r="F1043" s="4" t="str">
        <f t="shared" si="84"/>
        <v>2024-12-2</v>
      </c>
      <c r="G1043" t="str">
        <f t="shared" si="80"/>
        <v>RAFAEL PARISE</v>
      </c>
      <c r="H1043" t="str">
        <f t="shared" si="81"/>
        <v>GEDIBOR RUBBER POLYURETHANE LTDA EPP</v>
      </c>
      <c r="I1043">
        <f t="shared" si="82"/>
        <v>1</v>
      </c>
      <c r="J1043">
        <f t="shared" si="83"/>
        <v>0</v>
      </c>
    </row>
    <row r="1044" spans="1:10" x14ac:dyDescent="0.25">
      <c r="A1044" t="s">
        <v>442</v>
      </c>
      <c r="B1044" t="s">
        <v>192</v>
      </c>
      <c r="C1044" t="s">
        <v>72</v>
      </c>
      <c r="D1044" s="3">
        <v>45650</v>
      </c>
      <c r="E1044" t="str">
        <f>VLOOKUP(B1044,'PROCV GERENTES BD'!A:B,2,0)</f>
        <v>RAFAEL PARISE</v>
      </c>
      <c r="F1044" s="4" t="str">
        <f t="shared" si="84"/>
        <v>2024-12-2</v>
      </c>
      <c r="G1044" t="str">
        <f t="shared" si="80"/>
        <v>RAFAEL PARISE</v>
      </c>
      <c r="H1044" t="str">
        <f t="shared" si="81"/>
        <v>MARCAS COMERCIO LTDA ME</v>
      </c>
      <c r="I1044">
        <f t="shared" si="82"/>
        <v>1</v>
      </c>
      <c r="J1044">
        <f t="shared" si="83"/>
        <v>0</v>
      </c>
    </row>
    <row r="1045" spans="1:10" x14ac:dyDescent="0.25">
      <c r="A1045" t="s">
        <v>57</v>
      </c>
      <c r="B1045" t="s">
        <v>58</v>
      </c>
      <c r="C1045" t="s">
        <v>56</v>
      </c>
      <c r="D1045" s="3">
        <v>45650</v>
      </c>
      <c r="E1045" t="str">
        <f>VLOOKUP(B1045,'PROCV GERENTES BD'!A:B,2,0)</f>
        <v>RAFAEL PARISE</v>
      </c>
      <c r="F1045" s="4" t="str">
        <f t="shared" si="84"/>
        <v>2024-12-2</v>
      </c>
      <c r="G1045" t="str">
        <f t="shared" si="80"/>
        <v>RAFAEL PARISE</v>
      </c>
      <c r="H1045" t="str">
        <f t="shared" si="81"/>
        <v>TDR TRANSPORTES LOGISTICA LTDA</v>
      </c>
      <c r="I1045">
        <f t="shared" si="82"/>
        <v>0</v>
      </c>
      <c r="J1045">
        <f t="shared" si="83"/>
        <v>1</v>
      </c>
    </row>
    <row r="1046" spans="1:10" x14ac:dyDescent="0.25">
      <c r="A1046" t="s">
        <v>439</v>
      </c>
      <c r="B1046" t="s">
        <v>203</v>
      </c>
      <c r="C1046" t="s">
        <v>56</v>
      </c>
      <c r="D1046" s="3">
        <v>45650</v>
      </c>
      <c r="E1046" t="s">
        <v>25</v>
      </c>
      <c r="F1046" s="4" t="str">
        <f t="shared" si="84"/>
        <v>2024-12-2</v>
      </c>
      <c r="G1046" t="str">
        <f t="shared" si="80"/>
        <v xml:space="preserve">ROGERIO </v>
      </c>
      <c r="H1046" t="str">
        <f t="shared" si="81"/>
        <v>GRF JEANS WEAR LTDA EPP</v>
      </c>
      <c r="I1046">
        <f t="shared" si="82"/>
        <v>0</v>
      </c>
      <c r="J1046">
        <f t="shared" si="83"/>
        <v>1</v>
      </c>
    </row>
    <row r="1047" spans="1:10" x14ac:dyDescent="0.25">
      <c r="A1047" t="s">
        <v>453</v>
      </c>
      <c r="B1047" t="s">
        <v>204</v>
      </c>
      <c r="C1047" t="s">
        <v>335</v>
      </c>
      <c r="D1047" s="3">
        <v>45651</v>
      </c>
      <c r="E1047" t="str">
        <f>VLOOKUP(B1047,'PROCV GERENTES BD'!A:B,2,0)</f>
        <v>ADMINISTRAÇÃO</v>
      </c>
      <c r="F1047" s="4" t="str">
        <f t="shared" si="84"/>
        <v>2024-12-2</v>
      </c>
      <c r="G1047" t="str">
        <f t="shared" si="80"/>
        <v>ADMINISTRAÇÃO</v>
      </c>
      <c r="H1047" t="str">
        <f t="shared" si="81"/>
        <v>FARBIA CHEMICALS COMERCIO IMPORTACAO E EXPORTACAO</v>
      </c>
      <c r="I1047">
        <f t="shared" si="82"/>
        <v>0</v>
      </c>
      <c r="J1047">
        <f t="shared" si="83"/>
        <v>0</v>
      </c>
    </row>
    <row r="1048" spans="1:10" x14ac:dyDescent="0.25">
      <c r="A1048" t="s">
        <v>453</v>
      </c>
      <c r="B1048" t="s">
        <v>204</v>
      </c>
      <c r="C1048" t="s">
        <v>337</v>
      </c>
      <c r="D1048" s="3">
        <v>45651</v>
      </c>
      <c r="E1048" t="str">
        <f>VLOOKUP(B1048,'PROCV GERENTES BD'!A:B,2,0)</f>
        <v>ADMINISTRAÇÃO</v>
      </c>
      <c r="F1048" s="4" t="str">
        <f t="shared" si="84"/>
        <v>2024-12-2</v>
      </c>
      <c r="G1048" t="str">
        <f t="shared" si="80"/>
        <v>ADMINISTRAÇÃO</v>
      </c>
      <c r="H1048" t="str">
        <f t="shared" si="81"/>
        <v>FARBIA CHEMICALS COMERCIO IMPORTACAO E EXPORTACAO</v>
      </c>
      <c r="I1048">
        <f t="shared" si="82"/>
        <v>0</v>
      </c>
      <c r="J1048">
        <f t="shared" si="83"/>
        <v>0</v>
      </c>
    </row>
    <row r="1049" spans="1:10" x14ac:dyDescent="0.25">
      <c r="A1049" t="s">
        <v>454</v>
      </c>
      <c r="B1049" t="s">
        <v>205</v>
      </c>
      <c r="C1049" t="s">
        <v>337</v>
      </c>
      <c r="D1049" s="3">
        <v>45651</v>
      </c>
      <c r="E1049" t="str">
        <f>VLOOKUP(B1049,'PROCV GERENTES BD'!A:B,2,0)</f>
        <v>ADMINISTRAÇÃO</v>
      </c>
      <c r="F1049" s="4" t="str">
        <f t="shared" si="84"/>
        <v>2024-12-2</v>
      </c>
      <c r="G1049" t="str">
        <f t="shared" si="80"/>
        <v>ADMINISTRAÇÃO</v>
      </c>
      <c r="H1049" t="str">
        <f t="shared" si="81"/>
        <v>PARTNER SOLUCOES EMPRESARIAIS LTDA ME</v>
      </c>
      <c r="I1049">
        <f t="shared" si="82"/>
        <v>0</v>
      </c>
      <c r="J1049">
        <f t="shared" si="83"/>
        <v>0</v>
      </c>
    </row>
    <row r="1050" spans="1:10" x14ac:dyDescent="0.25">
      <c r="A1050" t="s">
        <v>390</v>
      </c>
      <c r="B1050" t="s">
        <v>136</v>
      </c>
      <c r="C1050" t="s">
        <v>56</v>
      </c>
      <c r="D1050" s="3">
        <v>45651</v>
      </c>
      <c r="E1050" t="str">
        <f>VLOOKUP(B1050,'PROCV GERENTES BD'!A:B,2,0)</f>
        <v>ADMINISTRAÇÃO</v>
      </c>
      <c r="F1050" s="4" t="str">
        <f t="shared" si="84"/>
        <v>2024-12-2</v>
      </c>
      <c r="G1050" t="str">
        <f t="shared" si="80"/>
        <v>ADMINISTRAÇÃO</v>
      </c>
      <c r="H1050" t="str">
        <f t="shared" si="81"/>
        <v>XEQUE MATE BEBIDAS LTDA ME</v>
      </c>
      <c r="I1050">
        <f t="shared" si="82"/>
        <v>0</v>
      </c>
      <c r="J1050">
        <f t="shared" si="83"/>
        <v>1</v>
      </c>
    </row>
    <row r="1051" spans="1:10" x14ac:dyDescent="0.25">
      <c r="A1051" t="s">
        <v>380</v>
      </c>
      <c r="B1051" t="s">
        <v>123</v>
      </c>
      <c r="C1051" t="s">
        <v>72</v>
      </c>
      <c r="D1051" s="3">
        <v>45651</v>
      </c>
      <c r="E1051" t="str">
        <f>VLOOKUP(B1051,'PROCV GERENTES BD'!A:B,2,0)</f>
        <v>ANTONIO CARLOS</v>
      </c>
      <c r="F1051" s="4" t="str">
        <f t="shared" si="84"/>
        <v>2024-12-2</v>
      </c>
      <c r="G1051" t="str">
        <f t="shared" si="80"/>
        <v>ANTONIO CARLOS</v>
      </c>
      <c r="H1051" t="str">
        <f t="shared" si="81"/>
        <v>PREMOLDADOS MATOSINHOS LTDA EPP</v>
      </c>
      <c r="I1051">
        <f t="shared" si="82"/>
        <v>1</v>
      </c>
      <c r="J1051">
        <f t="shared" si="83"/>
        <v>0</v>
      </c>
    </row>
    <row r="1052" spans="1:10" x14ac:dyDescent="0.25">
      <c r="A1052" t="s">
        <v>326</v>
      </c>
      <c r="B1052" t="s">
        <v>86</v>
      </c>
      <c r="C1052" t="s">
        <v>59</v>
      </c>
      <c r="D1052" s="3">
        <v>45651</v>
      </c>
      <c r="E1052" t="str">
        <f>VLOOKUP(B1052,'PROCV GERENTES BD'!A:B,2,0)</f>
        <v>CELIO PIMENTA</v>
      </c>
      <c r="F1052" s="4" t="str">
        <f t="shared" si="84"/>
        <v>2024-12-2</v>
      </c>
      <c r="G1052" t="str">
        <f t="shared" si="80"/>
        <v>CELIO PIMENTA</v>
      </c>
      <c r="H1052" t="str">
        <f t="shared" si="81"/>
        <v>IMPORTEXTIL COMERCIO DE TECIDOS LTDA</v>
      </c>
      <c r="I1052">
        <f t="shared" si="82"/>
        <v>0</v>
      </c>
      <c r="J1052">
        <f t="shared" si="83"/>
        <v>0</v>
      </c>
    </row>
    <row r="1053" spans="1:10" x14ac:dyDescent="0.25">
      <c r="A1053" t="s">
        <v>60</v>
      </c>
      <c r="B1053" t="s">
        <v>61</v>
      </c>
      <c r="C1053" t="s">
        <v>56</v>
      </c>
      <c r="D1053" s="3">
        <v>45651</v>
      </c>
      <c r="E1053" t="str">
        <f>VLOOKUP(B1053,'PROCV GERENTES BD'!A:B,2,0)</f>
        <v>CELIO PIMENTA</v>
      </c>
      <c r="F1053" s="4" t="str">
        <f t="shared" si="84"/>
        <v>2024-12-2</v>
      </c>
      <c r="G1053" t="str">
        <f t="shared" si="80"/>
        <v>CELIO PIMENTA</v>
      </c>
      <c r="H1053" t="str">
        <f t="shared" si="81"/>
        <v>WJ CALDEIRARIA INDUSTRIA E COMERCIO LTDA ME</v>
      </c>
      <c r="I1053">
        <f t="shared" si="82"/>
        <v>0</v>
      </c>
      <c r="J1053">
        <f t="shared" si="83"/>
        <v>1</v>
      </c>
    </row>
    <row r="1054" spans="1:10" x14ac:dyDescent="0.25">
      <c r="A1054" t="s">
        <v>330</v>
      </c>
      <c r="B1054" t="s">
        <v>116</v>
      </c>
      <c r="C1054" t="s">
        <v>56</v>
      </c>
      <c r="D1054" s="3">
        <v>45651</v>
      </c>
      <c r="E1054" t="str">
        <f>VLOOKUP(B1054,'PROCV GERENTES BD'!A:B,2,0)</f>
        <v>FITZ</v>
      </c>
      <c r="F1054" s="4" t="str">
        <f t="shared" si="84"/>
        <v>2024-12-2</v>
      </c>
      <c r="G1054" t="str">
        <f t="shared" si="80"/>
        <v>FITZ</v>
      </c>
      <c r="H1054" t="str">
        <f t="shared" si="81"/>
        <v>SIAP COMERCIO DE PRODUTOS AGROPECUARIOS LTDA</v>
      </c>
      <c r="I1054">
        <f t="shared" si="82"/>
        <v>0</v>
      </c>
      <c r="J1054">
        <f t="shared" si="83"/>
        <v>1</v>
      </c>
    </row>
    <row r="1055" spans="1:10" x14ac:dyDescent="0.25">
      <c r="A1055" t="s">
        <v>436</v>
      </c>
      <c r="B1055" t="s">
        <v>186</v>
      </c>
      <c r="C1055" t="s">
        <v>56</v>
      </c>
      <c r="D1055" s="3">
        <v>45651</v>
      </c>
      <c r="E1055" t="str">
        <f>VLOOKUP(B1055,'PROCV GERENTES BD'!A:B,2,0)</f>
        <v xml:space="preserve">MARCUS VINICIUS </v>
      </c>
      <c r="F1055" s="4" t="str">
        <f t="shared" si="84"/>
        <v>2024-12-2</v>
      </c>
      <c r="G1055" t="str">
        <f t="shared" si="80"/>
        <v xml:space="preserve">MARCUS VINICIUS </v>
      </c>
      <c r="H1055" t="str">
        <f t="shared" si="81"/>
        <v>LABOR ELETRIC INDUSTRIA E COMERCIO UNIPESSOAL LTDA</v>
      </c>
      <c r="I1055">
        <f t="shared" si="82"/>
        <v>0</v>
      </c>
      <c r="J1055">
        <f t="shared" si="83"/>
        <v>1</v>
      </c>
    </row>
    <row r="1056" spans="1:10" x14ac:dyDescent="0.25">
      <c r="A1056" t="s">
        <v>430</v>
      </c>
      <c r="B1056" t="s">
        <v>180</v>
      </c>
      <c r="C1056" t="s">
        <v>56</v>
      </c>
      <c r="D1056" s="3">
        <v>45651</v>
      </c>
      <c r="E1056" t="str">
        <f>VLOOKUP(B1056,'PROCV GERENTES BD'!A:B,2,0)</f>
        <v>NOELI SALETE</v>
      </c>
      <c r="F1056" s="4" t="str">
        <f t="shared" si="84"/>
        <v>2024-12-2</v>
      </c>
      <c r="G1056" t="str">
        <f t="shared" si="80"/>
        <v>NOELI SALETE</v>
      </c>
      <c r="H1056" t="str">
        <f t="shared" si="81"/>
        <v>COMGROUP AGROINDUSTRIAL LTDA</v>
      </c>
      <c r="I1056">
        <f t="shared" si="82"/>
        <v>0</v>
      </c>
      <c r="J1056">
        <f t="shared" si="83"/>
        <v>1</v>
      </c>
    </row>
    <row r="1057" spans="1:10" x14ac:dyDescent="0.25">
      <c r="A1057" t="s">
        <v>446</v>
      </c>
      <c r="B1057" t="s">
        <v>196</v>
      </c>
      <c r="C1057" t="s">
        <v>72</v>
      </c>
      <c r="D1057" s="3">
        <v>45651</v>
      </c>
      <c r="E1057" t="str">
        <f>VLOOKUP(B1057,'PROCV GERENTES BD'!A:B,2,0)</f>
        <v>NOELI SALETE</v>
      </c>
      <c r="F1057" s="4" t="str">
        <f t="shared" si="84"/>
        <v>2024-12-2</v>
      </c>
      <c r="G1057" t="str">
        <f t="shared" si="80"/>
        <v>NOELI SALETE</v>
      </c>
      <c r="H1057" t="str">
        <f t="shared" si="81"/>
        <v>AGRO INDUSTRIAL LAZZERI LTDA</v>
      </c>
      <c r="I1057">
        <f t="shared" si="82"/>
        <v>1</v>
      </c>
      <c r="J1057">
        <f t="shared" si="83"/>
        <v>0</v>
      </c>
    </row>
    <row r="1058" spans="1:10" x14ac:dyDescent="0.25">
      <c r="A1058" t="s">
        <v>397</v>
      </c>
      <c r="B1058" t="s">
        <v>143</v>
      </c>
      <c r="C1058" t="s">
        <v>72</v>
      </c>
      <c r="D1058" s="3">
        <v>45651</v>
      </c>
      <c r="E1058" t="str">
        <f>VLOOKUP(B1058,'PROCV GERENTES BD'!A:B,2,0)</f>
        <v>POENATELA</v>
      </c>
      <c r="F1058" s="4" t="str">
        <f t="shared" si="84"/>
        <v>2024-12-2</v>
      </c>
      <c r="G1058" t="str">
        <f t="shared" si="80"/>
        <v>POENATELA</v>
      </c>
      <c r="H1058" t="str">
        <f t="shared" si="81"/>
        <v>CONQUISTA INDUSTRIA DE MOVEIS S/A</v>
      </c>
      <c r="I1058">
        <f t="shared" si="82"/>
        <v>1</v>
      </c>
      <c r="J1058">
        <f t="shared" si="83"/>
        <v>0</v>
      </c>
    </row>
    <row r="1059" spans="1:10" x14ac:dyDescent="0.25">
      <c r="A1059" t="s">
        <v>425</v>
      </c>
      <c r="B1059" t="s">
        <v>174</v>
      </c>
      <c r="C1059" t="s">
        <v>56</v>
      </c>
      <c r="D1059" s="3">
        <v>45651</v>
      </c>
      <c r="E1059" t="str">
        <f>VLOOKUP(B1059,'PROCV GERENTES BD'!A:B,2,0)</f>
        <v>POENATELA</v>
      </c>
      <c r="F1059" s="4" t="str">
        <f t="shared" si="84"/>
        <v>2024-12-2</v>
      </c>
      <c r="G1059" t="str">
        <f t="shared" si="80"/>
        <v>POENATELA</v>
      </c>
      <c r="H1059" t="str">
        <f t="shared" si="81"/>
        <v>DETRONIC ENERGIA E SERVICOS LTDA</v>
      </c>
      <c r="I1059">
        <f t="shared" si="82"/>
        <v>0</v>
      </c>
      <c r="J1059">
        <f t="shared" si="83"/>
        <v>1</v>
      </c>
    </row>
    <row r="1060" spans="1:10" x14ac:dyDescent="0.25">
      <c r="A1060" t="s">
        <v>354</v>
      </c>
      <c r="B1060" t="s">
        <v>97</v>
      </c>
      <c r="C1060" t="s">
        <v>56</v>
      </c>
      <c r="D1060" s="3">
        <v>45651</v>
      </c>
      <c r="E1060" t="str">
        <f>VLOOKUP(B1060,'PROCV GERENTES BD'!A:B,2,0)</f>
        <v>POENATELA</v>
      </c>
      <c r="F1060" s="4" t="str">
        <f t="shared" si="84"/>
        <v>2024-12-2</v>
      </c>
      <c r="G1060" t="str">
        <f t="shared" si="80"/>
        <v>POENATELA</v>
      </c>
      <c r="H1060" t="str">
        <f t="shared" si="81"/>
        <v>UBERTEC SERVICE USINAGEM LTDA EPP</v>
      </c>
      <c r="I1060">
        <f t="shared" si="82"/>
        <v>0</v>
      </c>
      <c r="J1060">
        <f t="shared" si="83"/>
        <v>1</v>
      </c>
    </row>
    <row r="1061" spans="1:10" x14ac:dyDescent="0.25">
      <c r="A1061" t="s">
        <v>442</v>
      </c>
      <c r="B1061" t="s">
        <v>192</v>
      </c>
      <c r="C1061" t="s">
        <v>56</v>
      </c>
      <c r="D1061" s="3">
        <v>45651</v>
      </c>
      <c r="E1061" t="str">
        <f>VLOOKUP(B1061,'PROCV GERENTES BD'!A:B,2,0)</f>
        <v>RAFAEL PARISE</v>
      </c>
      <c r="F1061" s="4" t="str">
        <f t="shared" si="84"/>
        <v>2024-12-2</v>
      </c>
      <c r="G1061" t="str">
        <f t="shared" si="80"/>
        <v>RAFAEL PARISE</v>
      </c>
      <c r="H1061" t="str">
        <f t="shared" si="81"/>
        <v>MARCAS COMERCIO LTDA ME</v>
      </c>
      <c r="I1061">
        <f t="shared" si="82"/>
        <v>0</v>
      </c>
      <c r="J1061">
        <f t="shared" si="83"/>
        <v>1</v>
      </c>
    </row>
    <row r="1062" spans="1:10" x14ac:dyDescent="0.25">
      <c r="A1062" t="s">
        <v>439</v>
      </c>
      <c r="B1062" t="s">
        <v>203</v>
      </c>
      <c r="C1062" t="s">
        <v>335</v>
      </c>
      <c r="D1062" s="3">
        <v>45651</v>
      </c>
      <c r="E1062" t="s">
        <v>25</v>
      </c>
      <c r="F1062" s="4" t="str">
        <f t="shared" si="84"/>
        <v>2024-12-2</v>
      </c>
      <c r="G1062" t="str">
        <f t="shared" si="80"/>
        <v xml:space="preserve">ROGERIO </v>
      </c>
      <c r="H1062" t="str">
        <f t="shared" si="81"/>
        <v>GRF JEANS WEAR LTDA EPP</v>
      </c>
      <c r="I1062">
        <f t="shared" si="82"/>
        <v>0</v>
      </c>
      <c r="J1062">
        <f t="shared" si="83"/>
        <v>0</v>
      </c>
    </row>
    <row r="1063" spans="1:10" x14ac:dyDescent="0.25">
      <c r="A1063" t="s">
        <v>439</v>
      </c>
      <c r="B1063" t="s">
        <v>203</v>
      </c>
      <c r="C1063" t="s">
        <v>337</v>
      </c>
      <c r="D1063" s="3">
        <v>45651</v>
      </c>
      <c r="E1063" t="s">
        <v>25</v>
      </c>
      <c r="F1063" s="4" t="str">
        <f t="shared" si="84"/>
        <v>2024-12-2</v>
      </c>
      <c r="G1063" t="str">
        <f t="shared" si="80"/>
        <v xml:space="preserve">ROGERIO </v>
      </c>
      <c r="H1063" t="str">
        <f t="shared" si="81"/>
        <v>GRF JEANS WEAR LTDA EPP</v>
      </c>
      <c r="I1063">
        <f t="shared" si="82"/>
        <v>0</v>
      </c>
      <c r="J1063">
        <f t="shared" si="83"/>
        <v>0</v>
      </c>
    </row>
    <row r="1064" spans="1:10" x14ac:dyDescent="0.25">
      <c r="A1064" t="s">
        <v>356</v>
      </c>
      <c r="B1064" t="s">
        <v>99</v>
      </c>
      <c r="C1064" t="s">
        <v>56</v>
      </c>
      <c r="D1064" s="3">
        <v>45651</v>
      </c>
      <c r="E1064" t="str">
        <f>VLOOKUP(B1064,'PROCV GERENTES BD'!A:B,2,0)</f>
        <v>WHELKYA IRIS</v>
      </c>
      <c r="F1064" s="4" t="str">
        <f t="shared" si="84"/>
        <v>2024-12-2</v>
      </c>
      <c r="G1064" t="str">
        <f t="shared" si="80"/>
        <v>WHELKYA IRIS</v>
      </c>
      <c r="H1064" t="str">
        <f t="shared" si="81"/>
        <v>DIVINA INDUSTRIA DE COURO LTDA</v>
      </c>
      <c r="I1064">
        <f t="shared" si="82"/>
        <v>0</v>
      </c>
      <c r="J1064">
        <f t="shared" si="83"/>
        <v>1</v>
      </c>
    </row>
    <row r="1065" spans="1:10" x14ac:dyDescent="0.25">
      <c r="A1065" t="s">
        <v>339</v>
      </c>
      <c r="B1065" t="s">
        <v>151</v>
      </c>
      <c r="C1065" t="s">
        <v>56</v>
      </c>
      <c r="D1065" s="3">
        <v>45653</v>
      </c>
      <c r="E1065" t="str">
        <f>VLOOKUP(B1065,'PROCV GERENTES BD'!A:B,2,0)</f>
        <v>ADMINISTRAÇÃO</v>
      </c>
      <c r="F1065" s="4" t="str">
        <f t="shared" si="84"/>
        <v>2024-12-2</v>
      </c>
      <c r="G1065" t="str">
        <f t="shared" si="80"/>
        <v>ADMINISTRAÇÃO</v>
      </c>
      <c r="H1065" t="str">
        <f t="shared" si="81"/>
        <v>BOM PASTOR PAPEIS LTDA EM RECUPERACAO JUDICIAL</v>
      </c>
      <c r="I1065">
        <f t="shared" si="82"/>
        <v>0</v>
      </c>
      <c r="J1065">
        <f t="shared" si="83"/>
        <v>1</v>
      </c>
    </row>
    <row r="1066" spans="1:10" x14ac:dyDescent="0.25">
      <c r="A1066" t="s">
        <v>390</v>
      </c>
      <c r="B1066" t="s">
        <v>136</v>
      </c>
      <c r="C1066" t="s">
        <v>56</v>
      </c>
      <c r="D1066" s="3">
        <v>45653</v>
      </c>
      <c r="E1066" t="str">
        <f>VLOOKUP(B1066,'PROCV GERENTES BD'!A:B,2,0)</f>
        <v>ADMINISTRAÇÃO</v>
      </c>
      <c r="F1066" s="4" t="str">
        <f t="shared" si="84"/>
        <v>2024-12-2</v>
      </c>
      <c r="G1066" t="str">
        <f t="shared" si="80"/>
        <v>ADMINISTRAÇÃO</v>
      </c>
      <c r="H1066" t="str">
        <f t="shared" si="81"/>
        <v>XEQUE MATE BEBIDAS LTDA ME</v>
      </c>
      <c r="I1066">
        <f t="shared" si="82"/>
        <v>0</v>
      </c>
      <c r="J1066">
        <f t="shared" si="83"/>
        <v>1</v>
      </c>
    </row>
    <row r="1067" spans="1:10" x14ac:dyDescent="0.25">
      <c r="A1067" t="s">
        <v>311</v>
      </c>
      <c r="B1067" t="s">
        <v>130</v>
      </c>
      <c r="C1067" t="s">
        <v>72</v>
      </c>
      <c r="D1067" s="3">
        <v>45653</v>
      </c>
      <c r="E1067" t="str">
        <f>VLOOKUP(B1067,'PROCV GERENTES BD'!A:B,2,0)</f>
        <v>ANTONIO CARLOS</v>
      </c>
      <c r="F1067" s="4" t="str">
        <f t="shared" si="84"/>
        <v>2024-12-2</v>
      </c>
      <c r="G1067" t="str">
        <f t="shared" si="80"/>
        <v>ANTONIO CARLOS</v>
      </c>
      <c r="H1067" t="str">
        <f t="shared" si="81"/>
        <v>VIC LOGISTICA LTDA EM RECUPERACAO JUDICIAL</v>
      </c>
      <c r="I1067">
        <f t="shared" si="82"/>
        <v>1</v>
      </c>
      <c r="J1067">
        <f t="shared" si="83"/>
        <v>0</v>
      </c>
    </row>
    <row r="1068" spans="1:10" x14ac:dyDescent="0.25">
      <c r="A1068" t="s">
        <v>326</v>
      </c>
      <c r="B1068" t="s">
        <v>86</v>
      </c>
      <c r="C1068" t="s">
        <v>56</v>
      </c>
      <c r="D1068" s="3">
        <v>45653</v>
      </c>
      <c r="E1068" t="str">
        <f>VLOOKUP(B1068,'PROCV GERENTES BD'!A:B,2,0)</f>
        <v>CELIO PIMENTA</v>
      </c>
      <c r="F1068" s="4" t="str">
        <f t="shared" si="84"/>
        <v>2024-12-2</v>
      </c>
      <c r="G1068" t="str">
        <f t="shared" si="80"/>
        <v>CELIO PIMENTA</v>
      </c>
      <c r="H1068" t="str">
        <f t="shared" si="81"/>
        <v>IMPORTEXTIL COMERCIO DE TECIDOS LTDA</v>
      </c>
      <c r="I1068">
        <f t="shared" si="82"/>
        <v>0</v>
      </c>
      <c r="J1068">
        <f t="shared" si="83"/>
        <v>1</v>
      </c>
    </row>
    <row r="1069" spans="1:10" x14ac:dyDescent="0.25">
      <c r="A1069" t="s">
        <v>331</v>
      </c>
      <c r="B1069" t="s">
        <v>126</v>
      </c>
      <c r="C1069" t="s">
        <v>72</v>
      </c>
      <c r="D1069" s="3">
        <v>45653</v>
      </c>
      <c r="E1069" t="str">
        <f>VLOOKUP(B1069,'PROCV GERENTES BD'!A:B,2,0)</f>
        <v>FITZ</v>
      </c>
      <c r="F1069" s="4" t="str">
        <f t="shared" si="84"/>
        <v>2024-12-2</v>
      </c>
      <c r="G1069" t="str">
        <f t="shared" si="80"/>
        <v>FITZ</v>
      </c>
      <c r="H1069" t="str">
        <f t="shared" si="81"/>
        <v>TRANSHENRY TRANSPORTES LTDA</v>
      </c>
      <c r="I1069">
        <f t="shared" si="82"/>
        <v>1</v>
      </c>
      <c r="J1069">
        <f t="shared" si="83"/>
        <v>0</v>
      </c>
    </row>
    <row r="1070" spans="1:10" x14ac:dyDescent="0.25">
      <c r="A1070" t="s">
        <v>330</v>
      </c>
      <c r="B1070" t="s">
        <v>116</v>
      </c>
      <c r="C1070" t="s">
        <v>72</v>
      </c>
      <c r="D1070" s="3">
        <v>45653</v>
      </c>
      <c r="E1070" t="str">
        <f>VLOOKUP(B1070,'PROCV GERENTES BD'!A:B,2,0)</f>
        <v>FITZ</v>
      </c>
      <c r="F1070" s="4" t="str">
        <f t="shared" si="84"/>
        <v>2024-12-2</v>
      </c>
      <c r="G1070" t="str">
        <f t="shared" si="80"/>
        <v>FITZ</v>
      </c>
      <c r="H1070" t="str">
        <f t="shared" si="81"/>
        <v>SIAP COMERCIO DE PRODUTOS AGROPECUARIOS LTDA</v>
      </c>
      <c r="I1070">
        <f t="shared" si="82"/>
        <v>1</v>
      </c>
      <c r="J1070">
        <f t="shared" si="83"/>
        <v>0</v>
      </c>
    </row>
    <row r="1071" spans="1:10" x14ac:dyDescent="0.25">
      <c r="A1071" t="s">
        <v>377</v>
      </c>
      <c r="B1071" t="s">
        <v>120</v>
      </c>
      <c r="C1071" t="s">
        <v>56</v>
      </c>
      <c r="D1071" s="3">
        <v>45653</v>
      </c>
      <c r="E1071" t="str">
        <f>VLOOKUP(B1071,'PROCV GERENTES BD'!A:B,2,0)</f>
        <v xml:space="preserve">MARCUS VINICIUS </v>
      </c>
      <c r="F1071" s="4" t="str">
        <f t="shared" si="84"/>
        <v>2024-12-2</v>
      </c>
      <c r="G1071" t="str">
        <f t="shared" si="80"/>
        <v xml:space="preserve">MARCUS VINICIUS </v>
      </c>
      <c r="H1071" t="str">
        <f t="shared" si="81"/>
        <v>ISOBASE POLIESTIRENO LTDA EPP</v>
      </c>
      <c r="I1071">
        <f t="shared" si="82"/>
        <v>0</v>
      </c>
      <c r="J1071">
        <f t="shared" si="83"/>
        <v>1</v>
      </c>
    </row>
    <row r="1072" spans="1:10" x14ac:dyDescent="0.25">
      <c r="A1072" t="s">
        <v>436</v>
      </c>
      <c r="B1072" t="s">
        <v>186</v>
      </c>
      <c r="C1072" t="s">
        <v>56</v>
      </c>
      <c r="D1072" s="3">
        <v>45653</v>
      </c>
      <c r="E1072" t="str">
        <f>VLOOKUP(B1072,'PROCV GERENTES BD'!A:B,2,0)</f>
        <v xml:space="preserve">MARCUS VINICIUS </v>
      </c>
      <c r="F1072" s="4" t="str">
        <f t="shared" si="84"/>
        <v>2024-12-2</v>
      </c>
      <c r="G1072" t="str">
        <f t="shared" si="80"/>
        <v xml:space="preserve">MARCUS VINICIUS </v>
      </c>
      <c r="H1072" t="str">
        <f t="shared" si="81"/>
        <v>LABOR ELETRIC INDUSTRIA E COMERCIO UNIPESSOAL LTDA</v>
      </c>
      <c r="I1072">
        <f t="shared" si="82"/>
        <v>0</v>
      </c>
      <c r="J1072">
        <f t="shared" si="83"/>
        <v>1</v>
      </c>
    </row>
    <row r="1073" spans="1:10" x14ac:dyDescent="0.25">
      <c r="A1073" t="s">
        <v>430</v>
      </c>
      <c r="B1073" t="s">
        <v>180</v>
      </c>
      <c r="C1073" t="s">
        <v>72</v>
      </c>
      <c r="D1073" s="3">
        <v>45653</v>
      </c>
      <c r="E1073" t="str">
        <f>VLOOKUP(B1073,'PROCV GERENTES BD'!A:B,2,0)</f>
        <v>NOELI SALETE</v>
      </c>
      <c r="F1073" s="4" t="str">
        <f t="shared" si="84"/>
        <v>2024-12-2</v>
      </c>
      <c r="G1073" t="str">
        <f t="shared" si="80"/>
        <v>NOELI SALETE</v>
      </c>
      <c r="H1073" t="str">
        <f t="shared" si="81"/>
        <v>COMGROUP AGROINDUSTRIAL LTDA</v>
      </c>
      <c r="I1073">
        <f t="shared" si="82"/>
        <v>1</v>
      </c>
      <c r="J1073">
        <f t="shared" si="83"/>
        <v>0</v>
      </c>
    </row>
    <row r="1074" spans="1:10" x14ac:dyDescent="0.25">
      <c r="A1074" t="s">
        <v>347</v>
      </c>
      <c r="B1074" t="s">
        <v>93</v>
      </c>
      <c r="C1074" t="s">
        <v>56</v>
      </c>
      <c r="D1074" s="3">
        <v>45653</v>
      </c>
      <c r="E1074" t="str">
        <f>VLOOKUP(B1074,'PROCV GERENTES BD'!A:B,2,0)</f>
        <v>NOELI SALETE</v>
      </c>
      <c r="F1074" s="4" t="str">
        <f t="shared" si="84"/>
        <v>2024-12-2</v>
      </c>
      <c r="G1074" t="str">
        <f t="shared" si="80"/>
        <v>NOELI SALETE</v>
      </c>
      <c r="H1074" t="str">
        <f t="shared" si="81"/>
        <v>RODOBOX TRANSPORTES E ARMAZENAGEM DE CARGAS LTDA</v>
      </c>
      <c r="I1074">
        <f t="shared" si="82"/>
        <v>0</v>
      </c>
      <c r="J1074">
        <f t="shared" si="83"/>
        <v>1</v>
      </c>
    </row>
    <row r="1075" spans="1:10" x14ac:dyDescent="0.25">
      <c r="A1075" t="s">
        <v>397</v>
      </c>
      <c r="B1075" t="s">
        <v>143</v>
      </c>
      <c r="C1075" t="s">
        <v>72</v>
      </c>
      <c r="D1075" s="3">
        <v>45653</v>
      </c>
      <c r="E1075" t="str">
        <f>VLOOKUP(B1075,'PROCV GERENTES BD'!A:B,2,0)</f>
        <v>POENATELA</v>
      </c>
      <c r="F1075" s="4" t="str">
        <f t="shared" si="84"/>
        <v>2024-12-2</v>
      </c>
      <c r="G1075" t="str">
        <f t="shared" si="80"/>
        <v>POENATELA</v>
      </c>
      <c r="H1075" t="str">
        <f t="shared" si="81"/>
        <v>CONQUISTA INDUSTRIA DE MOVEIS S/A</v>
      </c>
      <c r="I1075">
        <f t="shared" si="82"/>
        <v>1</v>
      </c>
      <c r="J1075">
        <f t="shared" si="83"/>
        <v>0</v>
      </c>
    </row>
    <row r="1076" spans="1:10" x14ac:dyDescent="0.25">
      <c r="A1076" t="s">
        <v>428</v>
      </c>
      <c r="B1076" t="s">
        <v>177</v>
      </c>
      <c r="C1076" t="s">
        <v>72</v>
      </c>
      <c r="D1076" s="3">
        <v>45653</v>
      </c>
      <c r="E1076" t="str">
        <f>VLOOKUP(B1076,'PROCV GERENTES BD'!A:B,2,0)</f>
        <v>POENATELA</v>
      </c>
      <c r="F1076" s="4" t="str">
        <f t="shared" si="84"/>
        <v>2024-12-2</v>
      </c>
      <c r="G1076" t="str">
        <f t="shared" si="80"/>
        <v>POENATELA</v>
      </c>
      <c r="H1076" t="str">
        <f t="shared" si="81"/>
        <v>SAVIXX COMERCIO INTERNACIONAL S/A</v>
      </c>
      <c r="I1076">
        <f t="shared" si="82"/>
        <v>1</v>
      </c>
      <c r="J1076">
        <f t="shared" si="83"/>
        <v>0</v>
      </c>
    </row>
    <row r="1077" spans="1:10" x14ac:dyDescent="0.25">
      <c r="A1077" t="s">
        <v>354</v>
      </c>
      <c r="B1077" t="s">
        <v>97</v>
      </c>
      <c r="C1077" t="s">
        <v>59</v>
      </c>
      <c r="D1077" s="3">
        <v>45653</v>
      </c>
      <c r="E1077" t="str">
        <f>VLOOKUP(B1077,'PROCV GERENTES BD'!A:B,2,0)</f>
        <v>POENATELA</v>
      </c>
      <c r="F1077" s="4" t="str">
        <f t="shared" si="84"/>
        <v>2024-12-2</v>
      </c>
      <c r="G1077" t="str">
        <f t="shared" si="80"/>
        <v>POENATELA</v>
      </c>
      <c r="H1077" t="str">
        <f t="shared" si="81"/>
        <v>UBERTEC SERVICE USINAGEM LTDA EPP</v>
      </c>
      <c r="I1077">
        <f t="shared" si="82"/>
        <v>0</v>
      </c>
      <c r="J1077">
        <f t="shared" si="83"/>
        <v>0</v>
      </c>
    </row>
    <row r="1078" spans="1:10" x14ac:dyDescent="0.25">
      <c r="A1078" t="s">
        <v>361</v>
      </c>
      <c r="B1078" t="s">
        <v>103</v>
      </c>
      <c r="C1078" t="s">
        <v>56</v>
      </c>
      <c r="D1078" s="3">
        <v>45653</v>
      </c>
      <c r="E1078" t="str">
        <f>VLOOKUP(B1078,'PROCV GERENTES BD'!A:B,2,0)</f>
        <v>PRISCILA METZ</v>
      </c>
      <c r="F1078" s="4" t="str">
        <f t="shared" si="84"/>
        <v>2024-12-2</v>
      </c>
      <c r="G1078" t="str">
        <f t="shared" si="80"/>
        <v>PRISCILA METZ</v>
      </c>
      <c r="H1078" t="str">
        <f t="shared" si="81"/>
        <v>ESSENZA INDUSTRIA QUIMICA LTDA</v>
      </c>
      <c r="I1078">
        <f t="shared" si="82"/>
        <v>0</v>
      </c>
      <c r="J1078">
        <f t="shared" si="83"/>
        <v>1</v>
      </c>
    </row>
    <row r="1079" spans="1:10" x14ac:dyDescent="0.25">
      <c r="A1079" t="s">
        <v>439</v>
      </c>
      <c r="B1079" t="s">
        <v>203</v>
      </c>
      <c r="C1079" t="s">
        <v>56</v>
      </c>
      <c r="D1079" s="3">
        <v>45653</v>
      </c>
      <c r="E1079" t="s">
        <v>25</v>
      </c>
      <c r="F1079" s="4" t="str">
        <f t="shared" si="84"/>
        <v>2024-12-2</v>
      </c>
      <c r="G1079" t="str">
        <f t="shared" si="80"/>
        <v xml:space="preserve">ROGERIO </v>
      </c>
      <c r="H1079" t="str">
        <f t="shared" si="81"/>
        <v>GRF JEANS WEAR LTDA EPP</v>
      </c>
      <c r="I1079">
        <f t="shared" si="82"/>
        <v>0</v>
      </c>
      <c r="J1079">
        <f t="shared" si="83"/>
        <v>1</v>
      </c>
    </row>
    <row r="1080" spans="1:10" x14ac:dyDescent="0.25">
      <c r="A1080" t="s">
        <v>339</v>
      </c>
      <c r="B1080" t="s">
        <v>151</v>
      </c>
      <c r="C1080" t="s">
        <v>56</v>
      </c>
      <c r="D1080" s="3">
        <v>45654</v>
      </c>
      <c r="E1080" t="str">
        <f>VLOOKUP(B1080,'PROCV GERENTES BD'!A:B,2,0)</f>
        <v>ADMINISTRAÇÃO</v>
      </c>
      <c r="F1080" s="4" t="str">
        <f t="shared" si="84"/>
        <v>2024-12-2</v>
      </c>
      <c r="G1080" t="str">
        <f t="shared" si="80"/>
        <v>ADMINISTRAÇÃO</v>
      </c>
      <c r="H1080" t="str">
        <f t="shared" si="81"/>
        <v>BOM PASTOR PAPEIS LTDA EM RECUPERACAO JUDICIAL</v>
      </c>
      <c r="I1080">
        <f t="shared" si="82"/>
        <v>0</v>
      </c>
      <c r="J1080">
        <f t="shared" si="83"/>
        <v>1</v>
      </c>
    </row>
    <row r="1081" spans="1:10" x14ac:dyDescent="0.25">
      <c r="A1081" t="s">
        <v>390</v>
      </c>
      <c r="B1081" t="s">
        <v>136</v>
      </c>
      <c r="C1081" t="s">
        <v>56</v>
      </c>
      <c r="D1081" s="3">
        <v>45654</v>
      </c>
      <c r="E1081" t="str">
        <f>VLOOKUP(B1081,'PROCV GERENTES BD'!A:B,2,0)</f>
        <v>ADMINISTRAÇÃO</v>
      </c>
      <c r="F1081" s="4" t="str">
        <f t="shared" si="84"/>
        <v>2024-12-2</v>
      </c>
      <c r="G1081" t="str">
        <f t="shared" si="80"/>
        <v>ADMINISTRAÇÃO</v>
      </c>
      <c r="H1081" t="str">
        <f t="shared" si="81"/>
        <v>XEQUE MATE BEBIDAS LTDA ME</v>
      </c>
      <c r="I1081">
        <f t="shared" si="82"/>
        <v>0</v>
      </c>
      <c r="J1081">
        <f t="shared" si="83"/>
        <v>1</v>
      </c>
    </row>
    <row r="1082" spans="1:10" x14ac:dyDescent="0.25">
      <c r="A1082" t="s">
        <v>311</v>
      </c>
      <c r="B1082" t="s">
        <v>130</v>
      </c>
      <c r="C1082" t="s">
        <v>72</v>
      </c>
      <c r="D1082" s="3">
        <v>45654</v>
      </c>
      <c r="E1082" t="str">
        <f>VLOOKUP(B1082,'PROCV GERENTES BD'!A:B,2,0)</f>
        <v>ANTONIO CARLOS</v>
      </c>
      <c r="F1082" s="4" t="str">
        <f t="shared" si="84"/>
        <v>2024-12-2</v>
      </c>
      <c r="G1082" t="str">
        <f t="shared" si="80"/>
        <v>ANTONIO CARLOS</v>
      </c>
      <c r="H1082" t="str">
        <f t="shared" si="81"/>
        <v>VIC LOGISTICA LTDA EM RECUPERACAO JUDICIAL</v>
      </c>
      <c r="I1082">
        <f t="shared" si="82"/>
        <v>1</v>
      </c>
      <c r="J1082">
        <f t="shared" si="83"/>
        <v>0</v>
      </c>
    </row>
    <row r="1083" spans="1:10" x14ac:dyDescent="0.25">
      <c r="A1083" t="s">
        <v>326</v>
      </c>
      <c r="B1083" t="s">
        <v>86</v>
      </c>
      <c r="C1083" t="s">
        <v>56</v>
      </c>
      <c r="D1083" s="3">
        <v>45654</v>
      </c>
      <c r="E1083" t="str">
        <f>VLOOKUP(B1083,'PROCV GERENTES BD'!A:B,2,0)</f>
        <v>CELIO PIMENTA</v>
      </c>
      <c r="F1083" s="4" t="str">
        <f t="shared" si="84"/>
        <v>2024-12-2</v>
      </c>
      <c r="G1083" t="str">
        <f t="shared" si="80"/>
        <v>CELIO PIMENTA</v>
      </c>
      <c r="H1083" t="str">
        <f t="shared" si="81"/>
        <v>IMPORTEXTIL COMERCIO DE TECIDOS LTDA</v>
      </c>
      <c r="I1083">
        <f t="shared" si="82"/>
        <v>0</v>
      </c>
      <c r="J1083">
        <f t="shared" si="83"/>
        <v>1</v>
      </c>
    </row>
    <row r="1084" spans="1:10" x14ac:dyDescent="0.25">
      <c r="A1084" t="s">
        <v>331</v>
      </c>
      <c r="B1084" t="s">
        <v>126</v>
      </c>
      <c r="C1084" t="s">
        <v>72</v>
      </c>
      <c r="D1084" s="3">
        <v>45654</v>
      </c>
      <c r="E1084" t="str">
        <f>VLOOKUP(B1084,'PROCV GERENTES BD'!A:B,2,0)</f>
        <v>FITZ</v>
      </c>
      <c r="F1084" s="4" t="str">
        <f t="shared" si="84"/>
        <v>2024-12-2</v>
      </c>
      <c r="G1084" t="str">
        <f t="shared" si="80"/>
        <v>FITZ</v>
      </c>
      <c r="H1084" t="str">
        <f t="shared" si="81"/>
        <v>TRANSHENRY TRANSPORTES LTDA</v>
      </c>
      <c r="I1084">
        <f t="shared" si="82"/>
        <v>1</v>
      </c>
      <c r="J1084">
        <f t="shared" si="83"/>
        <v>0</v>
      </c>
    </row>
    <row r="1085" spans="1:10" x14ac:dyDescent="0.25">
      <c r="A1085" t="s">
        <v>330</v>
      </c>
      <c r="B1085" t="s">
        <v>116</v>
      </c>
      <c r="C1085" t="s">
        <v>72</v>
      </c>
      <c r="D1085" s="3">
        <v>45654</v>
      </c>
      <c r="E1085" t="str">
        <f>VLOOKUP(B1085,'PROCV GERENTES BD'!A:B,2,0)</f>
        <v>FITZ</v>
      </c>
      <c r="F1085" s="4" t="str">
        <f t="shared" si="84"/>
        <v>2024-12-2</v>
      </c>
      <c r="G1085" t="str">
        <f t="shared" si="80"/>
        <v>FITZ</v>
      </c>
      <c r="H1085" t="str">
        <f t="shared" si="81"/>
        <v>SIAP COMERCIO DE PRODUTOS AGROPECUARIOS LTDA</v>
      </c>
      <c r="I1085">
        <f t="shared" si="82"/>
        <v>1</v>
      </c>
      <c r="J1085">
        <f t="shared" si="83"/>
        <v>0</v>
      </c>
    </row>
    <row r="1086" spans="1:10" x14ac:dyDescent="0.25">
      <c r="A1086" t="s">
        <v>377</v>
      </c>
      <c r="B1086" t="s">
        <v>120</v>
      </c>
      <c r="C1086" t="s">
        <v>56</v>
      </c>
      <c r="D1086" s="3">
        <v>45654</v>
      </c>
      <c r="E1086" t="str">
        <f>VLOOKUP(B1086,'PROCV GERENTES BD'!A:B,2,0)</f>
        <v xml:space="preserve">MARCUS VINICIUS </v>
      </c>
      <c r="F1086" s="4" t="str">
        <f t="shared" si="84"/>
        <v>2024-12-2</v>
      </c>
      <c r="G1086" t="str">
        <f t="shared" si="80"/>
        <v xml:space="preserve">MARCUS VINICIUS </v>
      </c>
      <c r="H1086" t="str">
        <f t="shared" si="81"/>
        <v>ISOBASE POLIESTIRENO LTDA EPP</v>
      </c>
      <c r="I1086">
        <f t="shared" si="82"/>
        <v>0</v>
      </c>
      <c r="J1086">
        <f t="shared" si="83"/>
        <v>1</v>
      </c>
    </row>
    <row r="1087" spans="1:10" x14ac:dyDescent="0.25">
      <c r="A1087" t="s">
        <v>436</v>
      </c>
      <c r="B1087" t="s">
        <v>186</v>
      </c>
      <c r="C1087" t="s">
        <v>56</v>
      </c>
      <c r="D1087" s="3">
        <v>45654</v>
      </c>
      <c r="E1087" t="str">
        <f>VLOOKUP(B1087,'PROCV GERENTES BD'!A:B,2,0)</f>
        <v xml:space="preserve">MARCUS VINICIUS </v>
      </c>
      <c r="F1087" s="4" t="str">
        <f t="shared" si="84"/>
        <v>2024-12-2</v>
      </c>
      <c r="G1087" t="str">
        <f t="shared" si="80"/>
        <v xml:space="preserve">MARCUS VINICIUS </v>
      </c>
      <c r="H1087" t="str">
        <f t="shared" si="81"/>
        <v>LABOR ELETRIC INDUSTRIA E COMERCIO UNIPESSOAL LTDA</v>
      </c>
      <c r="I1087">
        <f t="shared" si="82"/>
        <v>0</v>
      </c>
      <c r="J1087">
        <f t="shared" si="83"/>
        <v>1</v>
      </c>
    </row>
    <row r="1088" spans="1:10" x14ac:dyDescent="0.25">
      <c r="A1088" t="s">
        <v>430</v>
      </c>
      <c r="B1088" t="s">
        <v>180</v>
      </c>
      <c r="C1088" t="s">
        <v>72</v>
      </c>
      <c r="D1088" s="3">
        <v>45654</v>
      </c>
      <c r="E1088" t="str">
        <f>VLOOKUP(B1088,'PROCV GERENTES BD'!A:B,2,0)</f>
        <v>NOELI SALETE</v>
      </c>
      <c r="F1088" s="4" t="str">
        <f t="shared" si="84"/>
        <v>2024-12-2</v>
      </c>
      <c r="G1088" t="str">
        <f t="shared" si="80"/>
        <v>NOELI SALETE</v>
      </c>
      <c r="H1088" t="str">
        <f t="shared" si="81"/>
        <v>COMGROUP AGROINDUSTRIAL LTDA</v>
      </c>
      <c r="I1088">
        <f t="shared" si="82"/>
        <v>1</v>
      </c>
      <c r="J1088">
        <f t="shared" si="83"/>
        <v>0</v>
      </c>
    </row>
    <row r="1089" spans="1:10" x14ac:dyDescent="0.25">
      <c r="A1089" t="s">
        <v>347</v>
      </c>
      <c r="B1089" t="s">
        <v>93</v>
      </c>
      <c r="C1089" t="s">
        <v>56</v>
      </c>
      <c r="D1089" s="3">
        <v>45654</v>
      </c>
      <c r="E1089" t="str">
        <f>VLOOKUP(B1089,'PROCV GERENTES BD'!A:B,2,0)</f>
        <v>NOELI SALETE</v>
      </c>
      <c r="F1089" s="4" t="str">
        <f t="shared" si="84"/>
        <v>2024-12-2</v>
      </c>
      <c r="G1089" t="str">
        <f t="shared" si="80"/>
        <v>NOELI SALETE</v>
      </c>
      <c r="H1089" t="str">
        <f t="shared" si="81"/>
        <v>RODOBOX TRANSPORTES E ARMAZENAGEM DE CARGAS LTDA</v>
      </c>
      <c r="I1089">
        <f t="shared" si="82"/>
        <v>0</v>
      </c>
      <c r="J1089">
        <f t="shared" si="83"/>
        <v>1</v>
      </c>
    </row>
    <row r="1090" spans="1:10" x14ac:dyDescent="0.25">
      <c r="A1090" t="s">
        <v>397</v>
      </c>
      <c r="B1090" t="s">
        <v>143</v>
      </c>
      <c r="C1090" t="s">
        <v>72</v>
      </c>
      <c r="D1090" s="3">
        <v>45654</v>
      </c>
      <c r="E1090" t="str">
        <f>VLOOKUP(B1090,'PROCV GERENTES BD'!A:B,2,0)</f>
        <v>POENATELA</v>
      </c>
      <c r="F1090" s="4" t="str">
        <f t="shared" si="84"/>
        <v>2024-12-2</v>
      </c>
      <c r="G1090" t="str">
        <f t="shared" ref="G1090:G1153" si="85">E1090</f>
        <v>POENATELA</v>
      </c>
      <c r="H1090" t="str">
        <f t="shared" ref="H1090:H1153" si="86">B1090</f>
        <v>CONQUISTA INDUSTRIA DE MOVEIS S/A</v>
      </c>
      <c r="I1090">
        <f t="shared" ref="I1090:I1153" si="87">IF(C1090="EXCLUSAO  ANOT.INADIMPLENCIA",1,0)</f>
        <v>1</v>
      </c>
      <c r="J1090">
        <f t="shared" ref="J1090:J1153" si="88">IF(C1090="INCLUSAO  ANOT.INADIMPLENCIA",1,0)</f>
        <v>0</v>
      </c>
    </row>
    <row r="1091" spans="1:10" x14ac:dyDescent="0.25">
      <c r="A1091" t="s">
        <v>428</v>
      </c>
      <c r="B1091" t="s">
        <v>177</v>
      </c>
      <c r="C1091" t="s">
        <v>72</v>
      </c>
      <c r="D1091" s="3">
        <v>45654</v>
      </c>
      <c r="E1091" t="str">
        <f>VLOOKUP(B1091,'PROCV GERENTES BD'!A:B,2,0)</f>
        <v>POENATELA</v>
      </c>
      <c r="F1091" s="4" t="str">
        <f t="shared" ref="F1091:F1154" si="89">YEAR(D1091)&amp;"-"&amp;TEXT(MONTH(D1091),"00")&amp;"-"&amp;IF(DAY(D1091)&lt;=15,"1",IF(DAY(D1091)&gt;15,"2",""))</f>
        <v>2024-12-2</v>
      </c>
      <c r="G1091" t="str">
        <f t="shared" si="85"/>
        <v>POENATELA</v>
      </c>
      <c r="H1091" t="str">
        <f t="shared" si="86"/>
        <v>SAVIXX COMERCIO INTERNACIONAL S/A</v>
      </c>
      <c r="I1091">
        <f t="shared" si="87"/>
        <v>1</v>
      </c>
      <c r="J1091">
        <f t="shared" si="88"/>
        <v>0</v>
      </c>
    </row>
    <row r="1092" spans="1:10" x14ac:dyDescent="0.25">
      <c r="A1092" t="s">
        <v>354</v>
      </c>
      <c r="B1092" t="s">
        <v>97</v>
      </c>
      <c r="C1092" t="s">
        <v>59</v>
      </c>
      <c r="D1092" s="3">
        <v>45654</v>
      </c>
      <c r="E1092" t="str">
        <f>VLOOKUP(B1092,'PROCV GERENTES BD'!A:B,2,0)</f>
        <v>POENATELA</v>
      </c>
      <c r="F1092" s="4" t="str">
        <f t="shared" si="89"/>
        <v>2024-12-2</v>
      </c>
      <c r="G1092" t="str">
        <f t="shared" si="85"/>
        <v>POENATELA</v>
      </c>
      <c r="H1092" t="str">
        <f t="shared" si="86"/>
        <v>UBERTEC SERVICE USINAGEM LTDA EPP</v>
      </c>
      <c r="I1092">
        <f t="shared" si="87"/>
        <v>0</v>
      </c>
      <c r="J1092">
        <f t="shared" si="88"/>
        <v>0</v>
      </c>
    </row>
    <row r="1093" spans="1:10" x14ac:dyDescent="0.25">
      <c r="A1093" t="s">
        <v>361</v>
      </c>
      <c r="B1093" t="s">
        <v>103</v>
      </c>
      <c r="C1093" t="s">
        <v>56</v>
      </c>
      <c r="D1093" s="3">
        <v>45654</v>
      </c>
      <c r="E1093" t="str">
        <f>VLOOKUP(B1093,'PROCV GERENTES BD'!A:B,2,0)</f>
        <v>PRISCILA METZ</v>
      </c>
      <c r="F1093" s="4" t="str">
        <f t="shared" si="89"/>
        <v>2024-12-2</v>
      </c>
      <c r="G1093" t="str">
        <f t="shared" si="85"/>
        <v>PRISCILA METZ</v>
      </c>
      <c r="H1093" t="str">
        <f t="shared" si="86"/>
        <v>ESSENZA INDUSTRIA QUIMICA LTDA</v>
      </c>
      <c r="I1093">
        <f t="shared" si="87"/>
        <v>0</v>
      </c>
      <c r="J1093">
        <f t="shared" si="88"/>
        <v>1</v>
      </c>
    </row>
    <row r="1094" spans="1:10" x14ac:dyDescent="0.25">
      <c r="A1094" t="s">
        <v>339</v>
      </c>
      <c r="B1094" t="s">
        <v>151</v>
      </c>
      <c r="C1094" t="s">
        <v>56</v>
      </c>
      <c r="D1094" s="3">
        <v>45657</v>
      </c>
      <c r="E1094" t="str">
        <f>VLOOKUP(B1094,'PROCV GERENTES BD'!A:B,2,0)</f>
        <v>ADMINISTRAÇÃO</v>
      </c>
      <c r="F1094" s="4" t="str">
        <f t="shared" si="89"/>
        <v>2024-12-2</v>
      </c>
      <c r="G1094" t="str">
        <f t="shared" si="85"/>
        <v>ADMINISTRAÇÃO</v>
      </c>
      <c r="H1094" t="str">
        <f t="shared" si="86"/>
        <v>BOM PASTOR PAPEIS LTDA EM RECUPERACAO JUDICIAL</v>
      </c>
      <c r="I1094">
        <f t="shared" si="87"/>
        <v>0</v>
      </c>
      <c r="J1094">
        <f t="shared" si="88"/>
        <v>1</v>
      </c>
    </row>
    <row r="1095" spans="1:10" x14ac:dyDescent="0.25">
      <c r="A1095" t="s">
        <v>390</v>
      </c>
      <c r="B1095" t="s">
        <v>136</v>
      </c>
      <c r="C1095" t="s">
        <v>56</v>
      </c>
      <c r="D1095" s="3">
        <v>45657</v>
      </c>
      <c r="E1095" t="str">
        <f>VLOOKUP(B1095,'PROCV GERENTES BD'!A:B,2,0)</f>
        <v>ADMINISTRAÇÃO</v>
      </c>
      <c r="F1095" s="4" t="str">
        <f t="shared" si="89"/>
        <v>2024-12-2</v>
      </c>
      <c r="G1095" t="str">
        <f t="shared" si="85"/>
        <v>ADMINISTRAÇÃO</v>
      </c>
      <c r="H1095" t="str">
        <f t="shared" si="86"/>
        <v>XEQUE MATE BEBIDAS LTDA ME</v>
      </c>
      <c r="I1095">
        <f t="shared" si="87"/>
        <v>0</v>
      </c>
      <c r="J1095">
        <f t="shared" si="88"/>
        <v>1</v>
      </c>
    </row>
    <row r="1096" spans="1:10" x14ac:dyDescent="0.25">
      <c r="A1096" t="s">
        <v>326</v>
      </c>
      <c r="B1096" t="s">
        <v>86</v>
      </c>
      <c r="C1096" t="s">
        <v>56</v>
      </c>
      <c r="D1096" s="3">
        <v>45657</v>
      </c>
      <c r="E1096" t="str">
        <f>VLOOKUP(B1096,'PROCV GERENTES BD'!A:B,2,0)</f>
        <v>CELIO PIMENTA</v>
      </c>
      <c r="F1096" s="4" t="str">
        <f t="shared" si="89"/>
        <v>2024-12-2</v>
      </c>
      <c r="G1096" t="str">
        <f t="shared" si="85"/>
        <v>CELIO PIMENTA</v>
      </c>
      <c r="H1096" t="str">
        <f t="shared" si="86"/>
        <v>IMPORTEXTIL COMERCIO DE TECIDOS LTDA</v>
      </c>
      <c r="I1096">
        <f t="shared" si="87"/>
        <v>0</v>
      </c>
      <c r="J1096">
        <f t="shared" si="88"/>
        <v>1</v>
      </c>
    </row>
    <row r="1097" spans="1:10" x14ac:dyDescent="0.25">
      <c r="A1097" t="s">
        <v>318</v>
      </c>
      <c r="B1097" t="s">
        <v>87</v>
      </c>
      <c r="C1097" t="s">
        <v>72</v>
      </c>
      <c r="D1097" s="3">
        <v>45657</v>
      </c>
      <c r="E1097" t="str">
        <f>VLOOKUP(B1097,'PROCV GERENTES BD'!A:B,2,0)</f>
        <v>CELIO PIMENTA</v>
      </c>
      <c r="F1097" s="4" t="str">
        <f t="shared" si="89"/>
        <v>2024-12-2</v>
      </c>
      <c r="G1097" t="str">
        <f t="shared" si="85"/>
        <v>CELIO PIMENTA</v>
      </c>
      <c r="H1097" t="str">
        <f t="shared" si="86"/>
        <v>MBIOLOG DIAGNOSTICOS LTDA</v>
      </c>
      <c r="I1097">
        <f t="shared" si="87"/>
        <v>1</v>
      </c>
      <c r="J1097">
        <f t="shared" si="88"/>
        <v>0</v>
      </c>
    </row>
    <row r="1098" spans="1:10" x14ac:dyDescent="0.25">
      <c r="A1098" t="s">
        <v>60</v>
      </c>
      <c r="B1098" t="s">
        <v>61</v>
      </c>
      <c r="C1098" t="s">
        <v>56</v>
      </c>
      <c r="D1098" s="3">
        <v>45657</v>
      </c>
      <c r="E1098" t="str">
        <f>VLOOKUP(B1098,'PROCV GERENTES BD'!A:B,2,0)</f>
        <v>CELIO PIMENTA</v>
      </c>
      <c r="F1098" s="4" t="str">
        <f t="shared" si="89"/>
        <v>2024-12-2</v>
      </c>
      <c r="G1098" t="str">
        <f t="shared" si="85"/>
        <v>CELIO PIMENTA</v>
      </c>
      <c r="H1098" t="str">
        <f t="shared" si="86"/>
        <v>WJ CALDEIRARIA INDUSTRIA E COMERCIO LTDA ME</v>
      </c>
      <c r="I1098">
        <f t="shared" si="87"/>
        <v>0</v>
      </c>
      <c r="J1098">
        <f t="shared" si="88"/>
        <v>1</v>
      </c>
    </row>
    <row r="1099" spans="1:10" x14ac:dyDescent="0.25">
      <c r="A1099" t="s">
        <v>330</v>
      </c>
      <c r="B1099" t="s">
        <v>116</v>
      </c>
      <c r="C1099" t="s">
        <v>59</v>
      </c>
      <c r="D1099" s="3">
        <v>45657</v>
      </c>
      <c r="E1099" t="str">
        <f>VLOOKUP(B1099,'PROCV GERENTES BD'!A:B,2,0)</f>
        <v>FITZ</v>
      </c>
      <c r="F1099" s="4" t="str">
        <f t="shared" si="89"/>
        <v>2024-12-2</v>
      </c>
      <c r="G1099" t="str">
        <f t="shared" si="85"/>
        <v>FITZ</v>
      </c>
      <c r="H1099" t="str">
        <f t="shared" si="86"/>
        <v>SIAP COMERCIO DE PRODUTOS AGROPECUARIOS LTDA</v>
      </c>
      <c r="I1099">
        <f t="shared" si="87"/>
        <v>0</v>
      </c>
      <c r="J1099">
        <f t="shared" si="88"/>
        <v>0</v>
      </c>
    </row>
    <row r="1100" spans="1:10" x14ac:dyDescent="0.25">
      <c r="A1100" t="s">
        <v>66</v>
      </c>
      <c r="B1100" t="s">
        <v>67</v>
      </c>
      <c r="C1100" t="s">
        <v>72</v>
      </c>
      <c r="D1100" s="3">
        <v>45657</v>
      </c>
      <c r="E1100" t="str">
        <f>VLOOKUP(B1100,'PROCV GERENTES BD'!A:B,2,0)</f>
        <v xml:space="preserve">MARCUS VINICIUS </v>
      </c>
      <c r="F1100" s="4" t="str">
        <f t="shared" si="89"/>
        <v>2024-12-2</v>
      </c>
      <c r="G1100" t="str">
        <f t="shared" si="85"/>
        <v xml:space="preserve">MARCUS VINICIUS </v>
      </c>
      <c r="H1100" t="str">
        <f t="shared" si="86"/>
        <v>COM IND DE CEREAIS E TRANSPORTES MACIEL LTDA</v>
      </c>
      <c r="I1100">
        <f t="shared" si="87"/>
        <v>1</v>
      </c>
      <c r="J1100">
        <f t="shared" si="88"/>
        <v>0</v>
      </c>
    </row>
    <row r="1101" spans="1:10" x14ac:dyDescent="0.25">
      <c r="A1101" t="s">
        <v>430</v>
      </c>
      <c r="B1101" t="s">
        <v>180</v>
      </c>
      <c r="C1101" t="s">
        <v>56</v>
      </c>
      <c r="D1101" s="3">
        <v>45657</v>
      </c>
      <c r="E1101" t="str">
        <f>VLOOKUP(B1101,'PROCV GERENTES BD'!A:B,2,0)</f>
        <v>NOELI SALETE</v>
      </c>
      <c r="F1101" s="4" t="str">
        <f t="shared" si="89"/>
        <v>2024-12-2</v>
      </c>
      <c r="G1101" t="str">
        <f t="shared" si="85"/>
        <v>NOELI SALETE</v>
      </c>
      <c r="H1101" t="str">
        <f t="shared" si="86"/>
        <v>COMGROUP AGROINDUSTRIAL LTDA</v>
      </c>
      <c r="I1101">
        <f t="shared" si="87"/>
        <v>0</v>
      </c>
      <c r="J1101">
        <f t="shared" si="88"/>
        <v>1</v>
      </c>
    </row>
    <row r="1102" spans="1:10" x14ac:dyDescent="0.25">
      <c r="A1102" t="s">
        <v>427</v>
      </c>
      <c r="B1102" t="s">
        <v>206</v>
      </c>
      <c r="C1102" t="s">
        <v>56</v>
      </c>
      <c r="D1102" s="3">
        <v>45657</v>
      </c>
      <c r="E1102" t="str">
        <f>VLOOKUP(B1102,'PROCV GERENTES BD'!A:B,2,0)</f>
        <v>NOELI SALETE</v>
      </c>
      <c r="F1102" s="4" t="str">
        <f t="shared" si="89"/>
        <v>2024-12-2</v>
      </c>
      <c r="G1102" t="str">
        <f t="shared" si="85"/>
        <v>NOELI SALETE</v>
      </c>
      <c r="H1102" t="str">
        <f t="shared" si="86"/>
        <v>GLOBAL ACO SERV PRODUTOS SIDERURGICOS LTDA RECUPER</v>
      </c>
      <c r="I1102">
        <f t="shared" si="87"/>
        <v>0</v>
      </c>
      <c r="J1102">
        <f t="shared" si="88"/>
        <v>1</v>
      </c>
    </row>
    <row r="1103" spans="1:10" x14ac:dyDescent="0.25">
      <c r="A1103" t="s">
        <v>347</v>
      </c>
      <c r="B1103" t="s">
        <v>93</v>
      </c>
      <c r="C1103" t="s">
        <v>56</v>
      </c>
      <c r="D1103" s="3">
        <v>45657</v>
      </c>
      <c r="E1103" t="str">
        <f>VLOOKUP(B1103,'PROCV GERENTES BD'!A:B,2,0)</f>
        <v>NOELI SALETE</v>
      </c>
      <c r="F1103" s="4" t="str">
        <f t="shared" si="89"/>
        <v>2024-12-2</v>
      </c>
      <c r="G1103" t="str">
        <f t="shared" si="85"/>
        <v>NOELI SALETE</v>
      </c>
      <c r="H1103" t="str">
        <f t="shared" si="86"/>
        <v>RODOBOX TRANSPORTES E ARMAZENAGEM DE CARGAS LTDA</v>
      </c>
      <c r="I1103">
        <f t="shared" si="87"/>
        <v>0</v>
      </c>
      <c r="J1103">
        <f t="shared" si="88"/>
        <v>1</v>
      </c>
    </row>
    <row r="1104" spans="1:10" x14ac:dyDescent="0.25">
      <c r="A1104" t="s">
        <v>397</v>
      </c>
      <c r="B1104" t="s">
        <v>143</v>
      </c>
      <c r="C1104" t="s">
        <v>72</v>
      </c>
      <c r="D1104" s="3">
        <v>45657</v>
      </c>
      <c r="E1104" t="str">
        <f>VLOOKUP(B1104,'PROCV GERENTES BD'!A:B,2,0)</f>
        <v>POENATELA</v>
      </c>
      <c r="F1104" s="4" t="str">
        <f t="shared" si="89"/>
        <v>2024-12-2</v>
      </c>
      <c r="G1104" t="str">
        <f t="shared" si="85"/>
        <v>POENATELA</v>
      </c>
      <c r="H1104" t="str">
        <f t="shared" si="86"/>
        <v>CONQUISTA INDUSTRIA DE MOVEIS S/A</v>
      </c>
      <c r="I1104">
        <f t="shared" si="87"/>
        <v>1</v>
      </c>
      <c r="J1104">
        <f t="shared" si="88"/>
        <v>0</v>
      </c>
    </row>
    <row r="1105" spans="1:10" x14ac:dyDescent="0.25">
      <c r="A1105" t="s">
        <v>354</v>
      </c>
      <c r="B1105" t="s">
        <v>97</v>
      </c>
      <c r="C1105" t="s">
        <v>56</v>
      </c>
      <c r="D1105" s="3">
        <v>45657</v>
      </c>
      <c r="E1105" t="str">
        <f>VLOOKUP(B1105,'PROCV GERENTES BD'!A:B,2,0)</f>
        <v>POENATELA</v>
      </c>
      <c r="F1105" s="4" t="str">
        <f t="shared" si="89"/>
        <v>2024-12-2</v>
      </c>
      <c r="G1105" t="str">
        <f t="shared" si="85"/>
        <v>POENATELA</v>
      </c>
      <c r="H1105" t="str">
        <f t="shared" si="86"/>
        <v>UBERTEC SERVICE USINAGEM LTDA EPP</v>
      </c>
      <c r="I1105">
        <f t="shared" si="87"/>
        <v>0</v>
      </c>
      <c r="J1105">
        <f t="shared" si="88"/>
        <v>1</v>
      </c>
    </row>
    <row r="1106" spans="1:10" x14ac:dyDescent="0.25">
      <c r="A1106" t="s">
        <v>439</v>
      </c>
      <c r="B1106" t="s">
        <v>203</v>
      </c>
      <c r="C1106" t="s">
        <v>56</v>
      </c>
      <c r="D1106" s="3">
        <v>45657</v>
      </c>
      <c r="E1106" t="s">
        <v>25</v>
      </c>
      <c r="F1106" s="4" t="str">
        <f t="shared" si="89"/>
        <v>2024-12-2</v>
      </c>
      <c r="G1106" t="str">
        <f t="shared" si="85"/>
        <v xml:space="preserve">ROGERIO </v>
      </c>
      <c r="H1106" t="str">
        <f t="shared" si="86"/>
        <v>GRF JEANS WEAR LTDA EPP</v>
      </c>
      <c r="I1106">
        <f t="shared" si="87"/>
        <v>0</v>
      </c>
      <c r="J1106">
        <f t="shared" si="88"/>
        <v>1</v>
      </c>
    </row>
    <row r="1107" spans="1:10" x14ac:dyDescent="0.25">
      <c r="A1107" t="s">
        <v>332</v>
      </c>
      <c r="B1107" t="s">
        <v>145</v>
      </c>
      <c r="C1107" t="s">
        <v>56</v>
      </c>
      <c r="D1107" s="3">
        <v>45657</v>
      </c>
      <c r="E1107" t="str">
        <f>VLOOKUP(B1107,'PROCV GERENTES BD'!A:B,2,0)</f>
        <v>SEM GERENTE</v>
      </c>
      <c r="F1107" s="4" t="str">
        <f t="shared" si="89"/>
        <v>2024-12-2</v>
      </c>
      <c r="G1107" t="str">
        <f t="shared" si="85"/>
        <v>SEM GERENTE</v>
      </c>
      <c r="H1107" t="str">
        <f t="shared" si="86"/>
        <v>ALLIAGE S A INDUSTRIAS MEDICO ODONTOLOGICA</v>
      </c>
      <c r="I1107">
        <f t="shared" si="87"/>
        <v>0</v>
      </c>
      <c r="J1107">
        <f t="shared" si="88"/>
        <v>1</v>
      </c>
    </row>
    <row r="1108" spans="1:10" x14ac:dyDescent="0.25">
      <c r="A1108" t="s">
        <v>381</v>
      </c>
      <c r="B1108" t="s">
        <v>124</v>
      </c>
      <c r="C1108" t="s">
        <v>56</v>
      </c>
      <c r="D1108" s="3">
        <v>45658</v>
      </c>
      <c r="E1108" t="str">
        <f>VLOOKUP(B1108,'PROCV GERENTES BD'!A:B,2,0)</f>
        <v>ANTONIO CARLOS</v>
      </c>
      <c r="F1108" s="4" t="str">
        <f t="shared" si="89"/>
        <v>2025-01-1</v>
      </c>
      <c r="G1108" t="str">
        <f t="shared" si="85"/>
        <v>ANTONIO CARLOS</v>
      </c>
      <c r="H1108" t="str">
        <f t="shared" si="86"/>
        <v>VIVAN TRANSPORTES LTDA</v>
      </c>
      <c r="I1108">
        <f t="shared" si="87"/>
        <v>0</v>
      </c>
      <c r="J1108">
        <f t="shared" si="88"/>
        <v>1</v>
      </c>
    </row>
    <row r="1109" spans="1:10" x14ac:dyDescent="0.25">
      <c r="A1109" t="s">
        <v>326</v>
      </c>
      <c r="B1109" t="s">
        <v>86</v>
      </c>
      <c r="C1109" t="s">
        <v>59</v>
      </c>
      <c r="D1109" s="3">
        <v>45658</v>
      </c>
      <c r="E1109" t="str">
        <f>VLOOKUP(B1109,'PROCV GERENTES BD'!A:B,2,0)</f>
        <v>CELIO PIMENTA</v>
      </c>
      <c r="F1109" s="4" t="str">
        <f t="shared" si="89"/>
        <v>2025-01-1</v>
      </c>
      <c r="G1109" t="str">
        <f t="shared" si="85"/>
        <v>CELIO PIMENTA</v>
      </c>
      <c r="H1109" t="str">
        <f t="shared" si="86"/>
        <v>IMPORTEXTIL COMERCIO DE TECIDOS LTDA</v>
      </c>
      <c r="I1109">
        <f t="shared" si="87"/>
        <v>0</v>
      </c>
      <c r="J1109">
        <f t="shared" si="88"/>
        <v>0</v>
      </c>
    </row>
    <row r="1110" spans="1:10" x14ac:dyDescent="0.25">
      <c r="A1110" t="s">
        <v>318</v>
      </c>
      <c r="B1110" t="s">
        <v>87</v>
      </c>
      <c r="C1110" t="s">
        <v>72</v>
      </c>
      <c r="D1110" s="3">
        <v>45658</v>
      </c>
      <c r="E1110" t="str">
        <f>VLOOKUP(B1110,'PROCV GERENTES BD'!A:B,2,0)</f>
        <v>CELIO PIMENTA</v>
      </c>
      <c r="F1110" s="4" t="str">
        <f t="shared" si="89"/>
        <v>2025-01-1</v>
      </c>
      <c r="G1110" t="str">
        <f t="shared" si="85"/>
        <v>CELIO PIMENTA</v>
      </c>
      <c r="H1110" t="str">
        <f t="shared" si="86"/>
        <v>MBIOLOG DIAGNOSTICOS LTDA</v>
      </c>
      <c r="I1110">
        <f t="shared" si="87"/>
        <v>1</v>
      </c>
      <c r="J1110">
        <f t="shared" si="88"/>
        <v>0</v>
      </c>
    </row>
    <row r="1111" spans="1:10" x14ac:dyDescent="0.25">
      <c r="A1111" t="s">
        <v>366</v>
      </c>
      <c r="B1111" t="s">
        <v>111</v>
      </c>
      <c r="C1111" t="s">
        <v>72</v>
      </c>
      <c r="D1111" s="3">
        <v>45658</v>
      </c>
      <c r="E1111" t="str">
        <f>VLOOKUP(B1111,'PROCV GERENTES BD'!A:B,2,0)</f>
        <v>DIOGO AZEVEDO</v>
      </c>
      <c r="F1111" s="4" t="str">
        <f t="shared" si="89"/>
        <v>2025-01-1</v>
      </c>
      <c r="G1111" t="str">
        <f t="shared" si="85"/>
        <v>DIOGO AZEVEDO</v>
      </c>
      <c r="H1111" t="str">
        <f t="shared" si="86"/>
        <v>INDUSTRIA E CERVEJARIA ARTESANAL DE MINAS GERAIS L</v>
      </c>
      <c r="I1111">
        <f t="shared" si="87"/>
        <v>1</v>
      </c>
      <c r="J1111">
        <f t="shared" si="88"/>
        <v>0</v>
      </c>
    </row>
    <row r="1112" spans="1:10" x14ac:dyDescent="0.25">
      <c r="A1112" t="s">
        <v>385</v>
      </c>
      <c r="B1112" t="s">
        <v>131</v>
      </c>
      <c r="C1112" t="s">
        <v>56</v>
      </c>
      <c r="D1112" s="3">
        <v>45658</v>
      </c>
      <c r="E1112" t="str">
        <f>VLOOKUP(B1112,'PROCV GERENTES BD'!A:B,2,0)</f>
        <v>EDUARDO MATOSO</v>
      </c>
      <c r="F1112" s="4" t="str">
        <f t="shared" si="89"/>
        <v>2025-01-1</v>
      </c>
      <c r="G1112" t="str">
        <f t="shared" si="85"/>
        <v>EDUARDO MATOSO</v>
      </c>
      <c r="H1112" t="str">
        <f t="shared" si="86"/>
        <v>STONE ENGENHARIA E MONTAGENS INDUSTRIAIS LTDA</v>
      </c>
      <c r="I1112">
        <f t="shared" si="87"/>
        <v>0</v>
      </c>
      <c r="J1112">
        <f t="shared" si="88"/>
        <v>1</v>
      </c>
    </row>
    <row r="1113" spans="1:10" x14ac:dyDescent="0.25">
      <c r="A1113" t="s">
        <v>331</v>
      </c>
      <c r="B1113" t="s">
        <v>126</v>
      </c>
      <c r="C1113" t="s">
        <v>72</v>
      </c>
      <c r="D1113" s="3">
        <v>45658</v>
      </c>
      <c r="E1113" t="str">
        <f>VLOOKUP(B1113,'PROCV GERENTES BD'!A:B,2,0)</f>
        <v>FITZ</v>
      </c>
      <c r="F1113" s="4" t="str">
        <f t="shared" si="89"/>
        <v>2025-01-1</v>
      </c>
      <c r="G1113" t="str">
        <f t="shared" si="85"/>
        <v>FITZ</v>
      </c>
      <c r="H1113" t="str">
        <f t="shared" si="86"/>
        <v>TRANSHENRY TRANSPORTES LTDA</v>
      </c>
      <c r="I1113">
        <f t="shared" si="87"/>
        <v>1</v>
      </c>
      <c r="J1113">
        <f t="shared" si="88"/>
        <v>0</v>
      </c>
    </row>
    <row r="1114" spans="1:10" x14ac:dyDescent="0.25">
      <c r="A1114" t="s">
        <v>330</v>
      </c>
      <c r="B1114" t="s">
        <v>116</v>
      </c>
      <c r="C1114" t="s">
        <v>72</v>
      </c>
      <c r="D1114" s="3">
        <v>45658</v>
      </c>
      <c r="E1114" t="str">
        <f>VLOOKUP(B1114,'PROCV GERENTES BD'!A:B,2,0)</f>
        <v>FITZ</v>
      </c>
      <c r="F1114" s="4" t="str">
        <f t="shared" si="89"/>
        <v>2025-01-1</v>
      </c>
      <c r="G1114" t="str">
        <f t="shared" si="85"/>
        <v>FITZ</v>
      </c>
      <c r="H1114" t="str">
        <f t="shared" si="86"/>
        <v>SIAP COMERCIO DE PRODUTOS AGROPECUARIOS LTDA</v>
      </c>
      <c r="I1114">
        <f t="shared" si="87"/>
        <v>1</v>
      </c>
      <c r="J1114">
        <f t="shared" si="88"/>
        <v>0</v>
      </c>
    </row>
    <row r="1115" spans="1:10" x14ac:dyDescent="0.25">
      <c r="A1115" t="s">
        <v>436</v>
      </c>
      <c r="B1115" t="s">
        <v>186</v>
      </c>
      <c r="C1115" t="s">
        <v>56</v>
      </c>
      <c r="D1115" s="3">
        <v>45658</v>
      </c>
      <c r="E1115" t="str">
        <f>VLOOKUP(B1115,'PROCV GERENTES BD'!A:B,2,0)</f>
        <v xml:space="preserve">MARCUS VINICIUS </v>
      </c>
      <c r="F1115" s="4" t="str">
        <f t="shared" si="89"/>
        <v>2025-01-1</v>
      </c>
      <c r="G1115" t="str">
        <f t="shared" si="85"/>
        <v xml:space="preserve">MARCUS VINICIUS </v>
      </c>
      <c r="H1115" t="str">
        <f t="shared" si="86"/>
        <v>LABOR ELETRIC INDUSTRIA E COMERCIO UNIPESSOAL LTDA</v>
      </c>
      <c r="I1115">
        <f t="shared" si="87"/>
        <v>0</v>
      </c>
      <c r="J1115">
        <f t="shared" si="88"/>
        <v>1</v>
      </c>
    </row>
    <row r="1116" spans="1:10" x14ac:dyDescent="0.25">
      <c r="A1116" t="s">
        <v>430</v>
      </c>
      <c r="B1116" t="s">
        <v>180</v>
      </c>
      <c r="C1116" t="s">
        <v>56</v>
      </c>
      <c r="D1116" s="3">
        <v>45658</v>
      </c>
      <c r="E1116" t="str">
        <f>VLOOKUP(B1116,'PROCV GERENTES BD'!A:B,2,0)</f>
        <v>NOELI SALETE</v>
      </c>
      <c r="F1116" s="4" t="str">
        <f t="shared" si="89"/>
        <v>2025-01-1</v>
      </c>
      <c r="G1116" t="str">
        <f t="shared" si="85"/>
        <v>NOELI SALETE</v>
      </c>
      <c r="H1116" t="str">
        <f t="shared" si="86"/>
        <v>COMGROUP AGROINDUSTRIAL LTDA</v>
      </c>
      <c r="I1116">
        <f t="shared" si="87"/>
        <v>0</v>
      </c>
      <c r="J1116">
        <f t="shared" si="88"/>
        <v>1</v>
      </c>
    </row>
    <row r="1117" spans="1:10" x14ac:dyDescent="0.25">
      <c r="A1117" t="s">
        <v>397</v>
      </c>
      <c r="B1117" t="s">
        <v>143</v>
      </c>
      <c r="C1117" t="s">
        <v>72</v>
      </c>
      <c r="D1117" s="3">
        <v>45658</v>
      </c>
      <c r="E1117" t="str">
        <f>VLOOKUP(B1117,'PROCV GERENTES BD'!A:B,2,0)</f>
        <v>POENATELA</v>
      </c>
      <c r="F1117" s="4" t="str">
        <f t="shared" si="89"/>
        <v>2025-01-1</v>
      </c>
      <c r="G1117" t="str">
        <f t="shared" si="85"/>
        <v>POENATELA</v>
      </c>
      <c r="H1117" t="str">
        <f t="shared" si="86"/>
        <v>CONQUISTA INDUSTRIA DE MOVEIS S/A</v>
      </c>
      <c r="I1117">
        <f t="shared" si="87"/>
        <v>1</v>
      </c>
      <c r="J1117">
        <f t="shared" si="88"/>
        <v>0</v>
      </c>
    </row>
    <row r="1118" spans="1:10" x14ac:dyDescent="0.25">
      <c r="A1118" t="s">
        <v>354</v>
      </c>
      <c r="B1118" t="s">
        <v>97</v>
      </c>
      <c r="C1118" t="s">
        <v>56</v>
      </c>
      <c r="D1118" s="3">
        <v>45658</v>
      </c>
      <c r="E1118" t="str">
        <f>VLOOKUP(B1118,'PROCV GERENTES BD'!A:B,2,0)</f>
        <v>POENATELA</v>
      </c>
      <c r="F1118" s="4" t="str">
        <f t="shared" si="89"/>
        <v>2025-01-1</v>
      </c>
      <c r="G1118" t="str">
        <f t="shared" si="85"/>
        <v>POENATELA</v>
      </c>
      <c r="H1118" t="str">
        <f t="shared" si="86"/>
        <v>UBERTEC SERVICE USINAGEM LTDA EPP</v>
      </c>
      <c r="I1118">
        <f t="shared" si="87"/>
        <v>0</v>
      </c>
      <c r="J1118">
        <f t="shared" si="88"/>
        <v>1</v>
      </c>
    </row>
    <row r="1119" spans="1:10" x14ac:dyDescent="0.25">
      <c r="A1119" t="s">
        <v>361</v>
      </c>
      <c r="B1119" t="s">
        <v>103</v>
      </c>
      <c r="C1119" t="s">
        <v>56</v>
      </c>
      <c r="D1119" s="3">
        <v>45658</v>
      </c>
      <c r="E1119" t="str">
        <f>VLOOKUP(B1119,'PROCV GERENTES BD'!A:B,2,0)</f>
        <v>PRISCILA METZ</v>
      </c>
      <c r="F1119" s="4" t="str">
        <f t="shared" si="89"/>
        <v>2025-01-1</v>
      </c>
      <c r="G1119" t="str">
        <f t="shared" si="85"/>
        <v>PRISCILA METZ</v>
      </c>
      <c r="H1119" t="str">
        <f t="shared" si="86"/>
        <v>ESSENZA INDUSTRIA QUIMICA LTDA</v>
      </c>
      <c r="I1119">
        <f t="shared" si="87"/>
        <v>0</v>
      </c>
      <c r="J1119">
        <f t="shared" si="88"/>
        <v>1</v>
      </c>
    </row>
    <row r="1120" spans="1:10" x14ac:dyDescent="0.25">
      <c r="A1120" t="s">
        <v>406</v>
      </c>
      <c r="B1120" t="s">
        <v>155</v>
      </c>
      <c r="C1120" t="s">
        <v>56</v>
      </c>
      <c r="D1120" s="3">
        <v>45658</v>
      </c>
      <c r="E1120" t="str">
        <f>VLOOKUP(B1120,'PROCV GERENTES BD'!A:B,2,0)</f>
        <v>PRISCILA METZ</v>
      </c>
      <c r="F1120" s="4" t="str">
        <f t="shared" si="89"/>
        <v>2025-01-1</v>
      </c>
      <c r="G1120" t="str">
        <f t="shared" si="85"/>
        <v>PRISCILA METZ</v>
      </c>
      <c r="H1120" t="str">
        <f t="shared" si="86"/>
        <v>JF GOLD DISTRIBUIDORA LTDA EPP</v>
      </c>
      <c r="I1120">
        <f t="shared" si="87"/>
        <v>0</v>
      </c>
      <c r="J1120">
        <f t="shared" si="88"/>
        <v>1</v>
      </c>
    </row>
    <row r="1121" spans="1:10" x14ac:dyDescent="0.25">
      <c r="A1121" t="s">
        <v>417</v>
      </c>
      <c r="B1121" t="s">
        <v>166</v>
      </c>
      <c r="C1121" t="s">
        <v>56</v>
      </c>
      <c r="D1121" s="3">
        <v>45658</v>
      </c>
      <c r="E1121" t="str">
        <f>VLOOKUP(B1121,'PROCV GERENTES BD'!A:B,2,0)</f>
        <v>RAFAEL PARISE</v>
      </c>
      <c r="F1121" s="4" t="str">
        <f t="shared" si="89"/>
        <v>2025-01-1</v>
      </c>
      <c r="G1121" t="str">
        <f t="shared" si="85"/>
        <v>RAFAEL PARISE</v>
      </c>
      <c r="H1121" t="str">
        <f t="shared" si="86"/>
        <v>OXIGAS RESIDUOS ESPECIAIS LTDA EPP</v>
      </c>
      <c r="I1121">
        <f t="shared" si="87"/>
        <v>0</v>
      </c>
      <c r="J1121">
        <f t="shared" si="88"/>
        <v>1</v>
      </c>
    </row>
    <row r="1122" spans="1:10" x14ac:dyDescent="0.25">
      <c r="A1122" t="s">
        <v>439</v>
      </c>
      <c r="B1122" t="s">
        <v>203</v>
      </c>
      <c r="C1122" t="s">
        <v>56</v>
      </c>
      <c r="D1122" s="3">
        <v>45658</v>
      </c>
      <c r="E1122" t="s">
        <v>25</v>
      </c>
      <c r="F1122" s="4" t="str">
        <f t="shared" si="89"/>
        <v>2025-01-1</v>
      </c>
      <c r="G1122" t="str">
        <f t="shared" si="85"/>
        <v xml:space="preserve">ROGERIO </v>
      </c>
      <c r="H1122" t="str">
        <f t="shared" si="86"/>
        <v>GRF JEANS WEAR LTDA EPP</v>
      </c>
      <c r="I1122">
        <f t="shared" si="87"/>
        <v>0</v>
      </c>
      <c r="J1122">
        <f t="shared" si="88"/>
        <v>1</v>
      </c>
    </row>
    <row r="1123" spans="1:10" x14ac:dyDescent="0.25">
      <c r="A1123" t="s">
        <v>321</v>
      </c>
      <c r="B1123" t="s">
        <v>104</v>
      </c>
      <c r="C1123" t="s">
        <v>72</v>
      </c>
      <c r="D1123" s="3">
        <v>45658</v>
      </c>
      <c r="E1123" t="str">
        <f>VLOOKUP(B1123,'PROCV GERENTES BD'!A:B,2,0)</f>
        <v>THAYNA/COMERCIAL</v>
      </c>
      <c r="F1123" s="4" t="str">
        <f t="shared" si="89"/>
        <v>2025-01-1</v>
      </c>
      <c r="G1123" t="str">
        <f t="shared" si="85"/>
        <v>THAYNA/COMERCIAL</v>
      </c>
      <c r="H1123" t="str">
        <f t="shared" si="86"/>
        <v>MUTCD CENTRO DISTRIBUICAO IND FABRICANTE COSMETICO</v>
      </c>
      <c r="I1123">
        <f t="shared" si="87"/>
        <v>1</v>
      </c>
      <c r="J1123">
        <f t="shared" si="88"/>
        <v>0</v>
      </c>
    </row>
    <row r="1124" spans="1:10" x14ac:dyDescent="0.25">
      <c r="A1124" t="s">
        <v>356</v>
      </c>
      <c r="B1124" t="s">
        <v>99</v>
      </c>
      <c r="C1124" t="s">
        <v>56</v>
      </c>
      <c r="D1124" s="3">
        <v>45658</v>
      </c>
      <c r="E1124" t="str">
        <f>VLOOKUP(B1124,'PROCV GERENTES BD'!A:B,2,0)</f>
        <v>WHELKYA IRIS</v>
      </c>
      <c r="F1124" s="4" t="str">
        <f t="shared" si="89"/>
        <v>2025-01-1</v>
      </c>
      <c r="G1124" t="str">
        <f t="shared" si="85"/>
        <v>WHELKYA IRIS</v>
      </c>
      <c r="H1124" t="str">
        <f t="shared" si="86"/>
        <v>DIVINA INDUSTRIA DE COURO LTDA</v>
      </c>
      <c r="I1124">
        <f t="shared" si="87"/>
        <v>0</v>
      </c>
      <c r="J1124">
        <f t="shared" si="88"/>
        <v>1</v>
      </c>
    </row>
    <row r="1125" spans="1:10" x14ac:dyDescent="0.25">
      <c r="A1125" t="s">
        <v>339</v>
      </c>
      <c r="B1125" t="s">
        <v>151</v>
      </c>
      <c r="C1125" t="s">
        <v>56</v>
      </c>
      <c r="D1125" s="3">
        <v>45660</v>
      </c>
      <c r="E1125" t="str">
        <f>VLOOKUP(B1125,'PROCV GERENTES BD'!A:B,2,0)</f>
        <v>ADMINISTRAÇÃO</v>
      </c>
      <c r="F1125" s="4" t="str">
        <f t="shared" si="89"/>
        <v>2025-01-1</v>
      </c>
      <c r="G1125" t="str">
        <f t="shared" si="85"/>
        <v>ADMINISTRAÇÃO</v>
      </c>
      <c r="H1125" t="str">
        <f t="shared" si="86"/>
        <v>BOM PASTOR PAPEIS LTDA EM RECUPERACAO JUDICIAL</v>
      </c>
      <c r="I1125">
        <f t="shared" si="87"/>
        <v>0</v>
      </c>
      <c r="J1125">
        <f t="shared" si="88"/>
        <v>1</v>
      </c>
    </row>
    <row r="1126" spans="1:10" x14ac:dyDescent="0.25">
      <c r="A1126" t="s">
        <v>390</v>
      </c>
      <c r="B1126" t="s">
        <v>136</v>
      </c>
      <c r="C1126" t="s">
        <v>72</v>
      </c>
      <c r="D1126" s="3">
        <v>45660</v>
      </c>
      <c r="E1126" t="str">
        <f>VLOOKUP(B1126,'PROCV GERENTES BD'!A:B,2,0)</f>
        <v>ADMINISTRAÇÃO</v>
      </c>
      <c r="F1126" s="4" t="str">
        <f t="shared" si="89"/>
        <v>2025-01-1</v>
      </c>
      <c r="G1126" t="str">
        <f t="shared" si="85"/>
        <v>ADMINISTRAÇÃO</v>
      </c>
      <c r="H1126" t="str">
        <f t="shared" si="86"/>
        <v>XEQUE MATE BEBIDAS LTDA ME</v>
      </c>
      <c r="I1126">
        <f t="shared" si="87"/>
        <v>1</v>
      </c>
      <c r="J1126">
        <f t="shared" si="88"/>
        <v>0</v>
      </c>
    </row>
    <row r="1127" spans="1:10" x14ac:dyDescent="0.25">
      <c r="A1127" t="s">
        <v>331</v>
      </c>
      <c r="B1127" t="s">
        <v>126</v>
      </c>
      <c r="C1127" t="s">
        <v>72</v>
      </c>
      <c r="D1127" s="3">
        <v>45660</v>
      </c>
      <c r="E1127" t="str">
        <f>VLOOKUP(B1127,'PROCV GERENTES BD'!A:B,2,0)</f>
        <v>FITZ</v>
      </c>
      <c r="F1127" s="4" t="str">
        <f t="shared" si="89"/>
        <v>2025-01-1</v>
      </c>
      <c r="G1127" t="str">
        <f t="shared" si="85"/>
        <v>FITZ</v>
      </c>
      <c r="H1127" t="str">
        <f t="shared" si="86"/>
        <v>TRANSHENRY TRANSPORTES LTDA</v>
      </c>
      <c r="I1127">
        <f t="shared" si="87"/>
        <v>1</v>
      </c>
      <c r="J1127">
        <f t="shared" si="88"/>
        <v>0</v>
      </c>
    </row>
    <row r="1128" spans="1:10" x14ac:dyDescent="0.25">
      <c r="A1128" t="s">
        <v>330</v>
      </c>
      <c r="B1128" t="s">
        <v>116</v>
      </c>
      <c r="C1128" t="s">
        <v>56</v>
      </c>
      <c r="D1128" s="3">
        <v>45660</v>
      </c>
      <c r="E1128" t="str">
        <f>VLOOKUP(B1128,'PROCV GERENTES BD'!A:B,2,0)</f>
        <v>FITZ</v>
      </c>
      <c r="F1128" s="4" t="str">
        <f t="shared" si="89"/>
        <v>2025-01-1</v>
      </c>
      <c r="G1128" t="str">
        <f t="shared" si="85"/>
        <v>FITZ</v>
      </c>
      <c r="H1128" t="str">
        <f t="shared" si="86"/>
        <v>SIAP COMERCIO DE PRODUTOS AGROPECUARIOS LTDA</v>
      </c>
      <c r="I1128">
        <f t="shared" si="87"/>
        <v>0</v>
      </c>
      <c r="J1128">
        <f t="shared" si="88"/>
        <v>1</v>
      </c>
    </row>
    <row r="1129" spans="1:10" x14ac:dyDescent="0.25">
      <c r="A1129" t="s">
        <v>436</v>
      </c>
      <c r="B1129" t="s">
        <v>186</v>
      </c>
      <c r="C1129" t="s">
        <v>56</v>
      </c>
      <c r="D1129" s="3">
        <v>45660</v>
      </c>
      <c r="E1129" t="str">
        <f>VLOOKUP(B1129,'PROCV GERENTES BD'!A:B,2,0)</f>
        <v xml:space="preserve">MARCUS VINICIUS </v>
      </c>
      <c r="F1129" s="4" t="str">
        <f t="shared" si="89"/>
        <v>2025-01-1</v>
      </c>
      <c r="G1129" t="str">
        <f t="shared" si="85"/>
        <v xml:space="preserve">MARCUS VINICIUS </v>
      </c>
      <c r="H1129" t="str">
        <f t="shared" si="86"/>
        <v>LABOR ELETRIC INDUSTRIA E COMERCIO UNIPESSOAL LTDA</v>
      </c>
      <c r="I1129">
        <f t="shared" si="87"/>
        <v>0</v>
      </c>
      <c r="J1129">
        <f t="shared" si="88"/>
        <v>1</v>
      </c>
    </row>
    <row r="1130" spans="1:10" x14ac:dyDescent="0.25">
      <c r="A1130" t="s">
        <v>405</v>
      </c>
      <c r="B1130" t="s">
        <v>154</v>
      </c>
      <c r="C1130" t="s">
        <v>72</v>
      </c>
      <c r="D1130" s="3">
        <v>45660</v>
      </c>
      <c r="E1130" t="str">
        <f>VLOOKUP(B1130,'PROCV GERENTES BD'!A:B,2,0)</f>
        <v xml:space="preserve">MARCUS VINICIUS </v>
      </c>
      <c r="F1130" s="4" t="str">
        <f t="shared" si="89"/>
        <v>2025-01-1</v>
      </c>
      <c r="G1130" t="str">
        <f t="shared" si="85"/>
        <v xml:space="preserve">MARCUS VINICIUS </v>
      </c>
      <c r="H1130" t="str">
        <f t="shared" si="86"/>
        <v>UNIVERSO INOX INDUSTRIA E COMERCIO LTDA EPP</v>
      </c>
      <c r="I1130">
        <f t="shared" si="87"/>
        <v>1</v>
      </c>
      <c r="J1130">
        <f t="shared" si="88"/>
        <v>0</v>
      </c>
    </row>
    <row r="1131" spans="1:10" x14ac:dyDescent="0.25">
      <c r="A1131" t="s">
        <v>397</v>
      </c>
      <c r="B1131" t="s">
        <v>143</v>
      </c>
      <c r="C1131" t="s">
        <v>72</v>
      </c>
      <c r="D1131" s="3">
        <v>45660</v>
      </c>
      <c r="E1131" t="str">
        <f>VLOOKUP(B1131,'PROCV GERENTES BD'!A:B,2,0)</f>
        <v>POENATELA</v>
      </c>
      <c r="F1131" s="4" t="str">
        <f t="shared" si="89"/>
        <v>2025-01-1</v>
      </c>
      <c r="G1131" t="str">
        <f t="shared" si="85"/>
        <v>POENATELA</v>
      </c>
      <c r="H1131" t="str">
        <f t="shared" si="86"/>
        <v>CONQUISTA INDUSTRIA DE MOVEIS S/A</v>
      </c>
      <c r="I1131">
        <f t="shared" si="87"/>
        <v>1</v>
      </c>
      <c r="J1131">
        <f t="shared" si="88"/>
        <v>0</v>
      </c>
    </row>
    <row r="1132" spans="1:10" x14ac:dyDescent="0.25">
      <c r="A1132" t="s">
        <v>354</v>
      </c>
      <c r="B1132" t="s">
        <v>97</v>
      </c>
      <c r="C1132" t="s">
        <v>72</v>
      </c>
      <c r="D1132" s="3">
        <v>45660</v>
      </c>
      <c r="E1132" t="str">
        <f>VLOOKUP(B1132,'PROCV GERENTES BD'!A:B,2,0)</f>
        <v>POENATELA</v>
      </c>
      <c r="F1132" s="4" t="str">
        <f t="shared" si="89"/>
        <v>2025-01-1</v>
      </c>
      <c r="G1132" t="str">
        <f t="shared" si="85"/>
        <v>POENATELA</v>
      </c>
      <c r="H1132" t="str">
        <f t="shared" si="86"/>
        <v>UBERTEC SERVICE USINAGEM LTDA EPP</v>
      </c>
      <c r="I1132">
        <f t="shared" si="87"/>
        <v>1</v>
      </c>
      <c r="J1132">
        <f t="shared" si="88"/>
        <v>0</v>
      </c>
    </row>
    <row r="1133" spans="1:10" x14ac:dyDescent="0.25">
      <c r="A1133" t="s">
        <v>417</v>
      </c>
      <c r="B1133" t="s">
        <v>166</v>
      </c>
      <c r="C1133" t="s">
        <v>72</v>
      </c>
      <c r="D1133" s="3">
        <v>45660</v>
      </c>
      <c r="E1133" t="str">
        <f>VLOOKUP(B1133,'PROCV GERENTES BD'!A:B,2,0)</f>
        <v>RAFAEL PARISE</v>
      </c>
      <c r="F1133" s="4" t="str">
        <f t="shared" si="89"/>
        <v>2025-01-1</v>
      </c>
      <c r="G1133" t="str">
        <f t="shared" si="85"/>
        <v>RAFAEL PARISE</v>
      </c>
      <c r="H1133" t="str">
        <f t="shared" si="86"/>
        <v>OXIGAS RESIDUOS ESPECIAIS LTDA EPP</v>
      </c>
      <c r="I1133">
        <f t="shared" si="87"/>
        <v>1</v>
      </c>
      <c r="J1133">
        <f t="shared" si="88"/>
        <v>0</v>
      </c>
    </row>
    <row r="1134" spans="1:10" x14ac:dyDescent="0.25">
      <c r="A1134" t="s">
        <v>437</v>
      </c>
      <c r="B1134" t="s">
        <v>187</v>
      </c>
      <c r="C1134" t="s">
        <v>56</v>
      </c>
      <c r="D1134" s="3">
        <v>45660</v>
      </c>
      <c r="E1134" t="s">
        <v>25</v>
      </c>
      <c r="F1134" s="4" t="str">
        <f t="shared" si="89"/>
        <v>2025-01-1</v>
      </c>
      <c r="G1134" t="str">
        <f t="shared" si="85"/>
        <v xml:space="preserve">ROGERIO </v>
      </c>
      <c r="H1134" t="str">
        <f t="shared" si="86"/>
        <v>ENCADESP LTDA ME</v>
      </c>
      <c r="I1134">
        <f t="shared" si="87"/>
        <v>0</v>
      </c>
      <c r="J1134">
        <f t="shared" si="88"/>
        <v>1</v>
      </c>
    </row>
    <row r="1135" spans="1:10" x14ac:dyDescent="0.25">
      <c r="A1135" t="s">
        <v>439</v>
      </c>
      <c r="B1135" t="s">
        <v>203</v>
      </c>
      <c r="C1135" t="s">
        <v>56</v>
      </c>
      <c r="D1135" s="3">
        <v>45660</v>
      </c>
      <c r="E1135" t="s">
        <v>25</v>
      </c>
      <c r="F1135" s="4" t="str">
        <f t="shared" si="89"/>
        <v>2025-01-1</v>
      </c>
      <c r="G1135" t="str">
        <f t="shared" si="85"/>
        <v xml:space="preserve">ROGERIO </v>
      </c>
      <c r="H1135" t="str">
        <f t="shared" si="86"/>
        <v>GRF JEANS WEAR LTDA EPP</v>
      </c>
      <c r="I1135">
        <f t="shared" si="87"/>
        <v>0</v>
      </c>
      <c r="J1135">
        <f t="shared" si="88"/>
        <v>1</v>
      </c>
    </row>
    <row r="1136" spans="1:10" x14ac:dyDescent="0.25">
      <c r="A1136" t="s">
        <v>321</v>
      </c>
      <c r="B1136" t="s">
        <v>104</v>
      </c>
      <c r="C1136" t="s">
        <v>56</v>
      </c>
      <c r="D1136" s="3">
        <v>45660</v>
      </c>
      <c r="E1136" t="str">
        <f>VLOOKUP(B1136,'PROCV GERENTES BD'!A:B,2,0)</f>
        <v>THAYNA/COMERCIAL</v>
      </c>
      <c r="F1136" s="4" t="str">
        <f t="shared" si="89"/>
        <v>2025-01-1</v>
      </c>
      <c r="G1136" t="str">
        <f t="shared" si="85"/>
        <v>THAYNA/COMERCIAL</v>
      </c>
      <c r="H1136" t="str">
        <f t="shared" si="86"/>
        <v>MUTCD CENTRO DISTRIBUICAO IND FABRICANTE COSMETICO</v>
      </c>
      <c r="I1136">
        <f t="shared" si="87"/>
        <v>0</v>
      </c>
      <c r="J1136">
        <f t="shared" si="88"/>
        <v>1</v>
      </c>
    </row>
    <row r="1137" spans="1:10" x14ac:dyDescent="0.25">
      <c r="A1137" t="s">
        <v>326</v>
      </c>
      <c r="B1137" t="s">
        <v>86</v>
      </c>
      <c r="C1137" t="s">
        <v>56</v>
      </c>
      <c r="D1137" s="3">
        <v>45661</v>
      </c>
      <c r="E1137" t="str">
        <f>VLOOKUP(B1137,'PROCV GERENTES BD'!A:B,2,0)</f>
        <v>CELIO PIMENTA</v>
      </c>
      <c r="F1137" s="4" t="str">
        <f t="shared" si="89"/>
        <v>2025-01-1</v>
      </c>
      <c r="G1137" t="str">
        <f t="shared" si="85"/>
        <v>CELIO PIMENTA</v>
      </c>
      <c r="H1137" t="str">
        <f t="shared" si="86"/>
        <v>IMPORTEXTIL COMERCIO DE TECIDOS LTDA</v>
      </c>
      <c r="I1137">
        <f t="shared" si="87"/>
        <v>0</v>
      </c>
      <c r="J1137">
        <f t="shared" si="88"/>
        <v>1</v>
      </c>
    </row>
    <row r="1138" spans="1:10" x14ac:dyDescent="0.25">
      <c r="A1138" t="s">
        <v>397</v>
      </c>
      <c r="B1138" t="s">
        <v>143</v>
      </c>
      <c r="C1138" t="s">
        <v>72</v>
      </c>
      <c r="D1138" s="3">
        <v>45661</v>
      </c>
      <c r="E1138" t="str">
        <f>VLOOKUP(B1138,'PROCV GERENTES BD'!A:B,2,0)</f>
        <v>POENATELA</v>
      </c>
      <c r="F1138" s="4" t="str">
        <f t="shared" si="89"/>
        <v>2025-01-1</v>
      </c>
      <c r="G1138" t="str">
        <f t="shared" si="85"/>
        <v>POENATELA</v>
      </c>
      <c r="H1138" t="str">
        <f t="shared" si="86"/>
        <v>CONQUISTA INDUSTRIA DE MOVEIS S/A</v>
      </c>
      <c r="I1138">
        <f t="shared" si="87"/>
        <v>1</v>
      </c>
      <c r="J1138">
        <f t="shared" si="88"/>
        <v>0</v>
      </c>
    </row>
    <row r="1139" spans="1:10" x14ac:dyDescent="0.25">
      <c r="A1139" t="s">
        <v>354</v>
      </c>
      <c r="B1139" t="s">
        <v>97</v>
      </c>
      <c r="C1139" t="s">
        <v>56</v>
      </c>
      <c r="D1139" s="3">
        <v>45661</v>
      </c>
      <c r="E1139" t="str">
        <f>VLOOKUP(B1139,'PROCV GERENTES BD'!A:B,2,0)</f>
        <v>POENATELA</v>
      </c>
      <c r="F1139" s="4" t="str">
        <f t="shared" si="89"/>
        <v>2025-01-1</v>
      </c>
      <c r="G1139" t="str">
        <f t="shared" si="85"/>
        <v>POENATELA</v>
      </c>
      <c r="H1139" t="str">
        <f t="shared" si="86"/>
        <v>UBERTEC SERVICE USINAGEM LTDA EPP</v>
      </c>
      <c r="I1139">
        <f t="shared" si="87"/>
        <v>0</v>
      </c>
      <c r="J1139">
        <f t="shared" si="88"/>
        <v>1</v>
      </c>
    </row>
    <row r="1140" spans="1:10" x14ac:dyDescent="0.25">
      <c r="A1140" t="s">
        <v>435</v>
      </c>
      <c r="B1140" t="s">
        <v>185</v>
      </c>
      <c r="C1140" t="s">
        <v>77</v>
      </c>
      <c r="D1140" s="3">
        <v>45662</v>
      </c>
      <c r="E1140" t="str">
        <f>VLOOKUP(B1140,'PROCV GERENTES BD'!A:B,2,0)</f>
        <v>ADMINISTRAÇÃO</v>
      </c>
      <c r="F1140" s="4" t="str">
        <f t="shared" si="89"/>
        <v>2025-01-1</v>
      </c>
      <c r="G1140" t="str">
        <f t="shared" si="85"/>
        <v>ADMINISTRAÇÃO</v>
      </c>
      <c r="H1140" t="str">
        <f t="shared" si="86"/>
        <v>LIZZENA COSMETICOS LTDA EPP</v>
      </c>
      <c r="I1140">
        <f t="shared" si="87"/>
        <v>0</v>
      </c>
      <c r="J1140">
        <f t="shared" si="88"/>
        <v>0</v>
      </c>
    </row>
    <row r="1141" spans="1:10" x14ac:dyDescent="0.25">
      <c r="A1141" t="s">
        <v>326</v>
      </c>
      <c r="B1141" t="s">
        <v>86</v>
      </c>
      <c r="C1141" t="s">
        <v>56</v>
      </c>
      <c r="D1141" s="3">
        <v>45664</v>
      </c>
      <c r="E1141" t="str">
        <f>VLOOKUP(B1141,'PROCV GERENTES BD'!A:B,2,0)</f>
        <v>CELIO PIMENTA</v>
      </c>
      <c r="F1141" s="4" t="str">
        <f t="shared" si="89"/>
        <v>2025-01-1</v>
      </c>
      <c r="G1141" t="str">
        <f t="shared" si="85"/>
        <v>CELIO PIMENTA</v>
      </c>
      <c r="H1141" t="str">
        <f t="shared" si="86"/>
        <v>IMPORTEXTIL COMERCIO DE TECIDOS LTDA</v>
      </c>
      <c r="I1141">
        <f t="shared" si="87"/>
        <v>0</v>
      </c>
      <c r="J1141">
        <f t="shared" si="88"/>
        <v>1</v>
      </c>
    </row>
    <row r="1142" spans="1:10" x14ac:dyDescent="0.25">
      <c r="A1142" t="s">
        <v>385</v>
      </c>
      <c r="B1142" t="s">
        <v>131</v>
      </c>
      <c r="C1142" t="s">
        <v>56</v>
      </c>
      <c r="D1142" s="3">
        <v>45664</v>
      </c>
      <c r="E1142" t="str">
        <f>VLOOKUP(B1142,'PROCV GERENTES BD'!A:B,2,0)</f>
        <v>EDUARDO MATOSO</v>
      </c>
      <c r="F1142" s="4" t="str">
        <f t="shared" si="89"/>
        <v>2025-01-1</v>
      </c>
      <c r="G1142" t="str">
        <f t="shared" si="85"/>
        <v>EDUARDO MATOSO</v>
      </c>
      <c r="H1142" t="str">
        <f t="shared" si="86"/>
        <v>STONE ENGENHARIA E MONTAGENS INDUSTRIAIS LTDA</v>
      </c>
      <c r="I1142">
        <f t="shared" si="87"/>
        <v>0</v>
      </c>
      <c r="J1142">
        <f t="shared" si="88"/>
        <v>1</v>
      </c>
    </row>
    <row r="1143" spans="1:10" x14ac:dyDescent="0.25">
      <c r="A1143" t="s">
        <v>410</v>
      </c>
      <c r="B1143" t="s">
        <v>159</v>
      </c>
      <c r="C1143" t="s">
        <v>72</v>
      </c>
      <c r="D1143" s="3">
        <v>45664</v>
      </c>
      <c r="E1143" t="str">
        <f>VLOOKUP(B1143,'PROCV GERENTES BD'!A:B,2,0)</f>
        <v>FITZ</v>
      </c>
      <c r="F1143" s="4" t="str">
        <f t="shared" si="89"/>
        <v>2025-01-1</v>
      </c>
      <c r="G1143" t="str">
        <f t="shared" si="85"/>
        <v>FITZ</v>
      </c>
      <c r="H1143" t="str">
        <f t="shared" si="86"/>
        <v>MOINHO DE TRIGO JM LTDA</v>
      </c>
      <c r="I1143">
        <f t="shared" si="87"/>
        <v>1</v>
      </c>
      <c r="J1143">
        <f t="shared" si="88"/>
        <v>0</v>
      </c>
    </row>
    <row r="1144" spans="1:10" x14ac:dyDescent="0.25">
      <c r="A1144" t="s">
        <v>436</v>
      </c>
      <c r="B1144" t="s">
        <v>186</v>
      </c>
      <c r="C1144" t="s">
        <v>56</v>
      </c>
      <c r="D1144" s="3">
        <v>45664</v>
      </c>
      <c r="E1144" t="str">
        <f>VLOOKUP(B1144,'PROCV GERENTES BD'!A:B,2,0)</f>
        <v xml:space="preserve">MARCUS VINICIUS </v>
      </c>
      <c r="F1144" s="4" t="str">
        <f t="shared" si="89"/>
        <v>2025-01-1</v>
      </c>
      <c r="G1144" t="str">
        <f t="shared" si="85"/>
        <v xml:space="preserve">MARCUS VINICIUS </v>
      </c>
      <c r="H1144" t="str">
        <f t="shared" si="86"/>
        <v>LABOR ELETRIC INDUSTRIA E COMERCIO UNIPESSOAL LTDA</v>
      </c>
      <c r="I1144">
        <f t="shared" si="87"/>
        <v>0</v>
      </c>
      <c r="J1144">
        <f t="shared" si="88"/>
        <v>1</v>
      </c>
    </row>
    <row r="1145" spans="1:10" x14ac:dyDescent="0.25">
      <c r="A1145" t="s">
        <v>347</v>
      </c>
      <c r="B1145" t="s">
        <v>93</v>
      </c>
      <c r="C1145" t="s">
        <v>72</v>
      </c>
      <c r="D1145" s="3">
        <v>45664</v>
      </c>
      <c r="E1145" t="str">
        <f>VLOOKUP(B1145,'PROCV GERENTES BD'!A:B,2,0)</f>
        <v>NOELI SALETE</v>
      </c>
      <c r="F1145" s="4" t="str">
        <f t="shared" si="89"/>
        <v>2025-01-1</v>
      </c>
      <c r="G1145" t="str">
        <f t="shared" si="85"/>
        <v>NOELI SALETE</v>
      </c>
      <c r="H1145" t="str">
        <f t="shared" si="86"/>
        <v>RODOBOX TRANSPORTES E ARMAZENAGEM DE CARGAS LTDA</v>
      </c>
      <c r="I1145">
        <f t="shared" si="87"/>
        <v>1</v>
      </c>
      <c r="J1145">
        <f t="shared" si="88"/>
        <v>0</v>
      </c>
    </row>
    <row r="1146" spans="1:10" x14ac:dyDescent="0.25">
      <c r="A1146" t="s">
        <v>402</v>
      </c>
      <c r="B1146" t="s">
        <v>150</v>
      </c>
      <c r="C1146" t="s">
        <v>56</v>
      </c>
      <c r="D1146" s="3">
        <v>45664</v>
      </c>
      <c r="E1146" t="str">
        <f>VLOOKUP(B1146,'PROCV GERENTES BD'!A:B,2,0)</f>
        <v>NOELI SALETE</v>
      </c>
      <c r="F1146" s="4" t="str">
        <f t="shared" si="89"/>
        <v>2025-01-1</v>
      </c>
      <c r="G1146" t="str">
        <f t="shared" si="85"/>
        <v>NOELI SALETE</v>
      </c>
      <c r="H1146" t="str">
        <f t="shared" si="86"/>
        <v>ALBERTO H DA SILVA ME</v>
      </c>
      <c r="I1146">
        <f t="shared" si="87"/>
        <v>0</v>
      </c>
      <c r="J1146">
        <f t="shared" si="88"/>
        <v>1</v>
      </c>
    </row>
    <row r="1147" spans="1:10" x14ac:dyDescent="0.25">
      <c r="A1147" t="s">
        <v>397</v>
      </c>
      <c r="B1147" t="s">
        <v>143</v>
      </c>
      <c r="C1147" t="s">
        <v>72</v>
      </c>
      <c r="D1147" s="3">
        <v>45664</v>
      </c>
      <c r="E1147" t="str">
        <f>VLOOKUP(B1147,'PROCV GERENTES BD'!A:B,2,0)</f>
        <v>POENATELA</v>
      </c>
      <c r="F1147" s="4" t="str">
        <f t="shared" si="89"/>
        <v>2025-01-1</v>
      </c>
      <c r="G1147" t="str">
        <f t="shared" si="85"/>
        <v>POENATELA</v>
      </c>
      <c r="H1147" t="str">
        <f t="shared" si="86"/>
        <v>CONQUISTA INDUSTRIA DE MOVEIS S/A</v>
      </c>
      <c r="I1147">
        <f t="shared" si="87"/>
        <v>1</v>
      </c>
      <c r="J1147">
        <f t="shared" si="88"/>
        <v>0</v>
      </c>
    </row>
    <row r="1148" spans="1:10" x14ac:dyDescent="0.25">
      <c r="A1148" t="s">
        <v>425</v>
      </c>
      <c r="B1148" t="s">
        <v>174</v>
      </c>
      <c r="C1148" t="s">
        <v>56</v>
      </c>
      <c r="D1148" s="3">
        <v>45664</v>
      </c>
      <c r="E1148" t="str">
        <f>VLOOKUP(B1148,'PROCV GERENTES BD'!A:B,2,0)</f>
        <v>POENATELA</v>
      </c>
      <c r="F1148" s="4" t="str">
        <f t="shared" si="89"/>
        <v>2025-01-1</v>
      </c>
      <c r="G1148" t="str">
        <f t="shared" si="85"/>
        <v>POENATELA</v>
      </c>
      <c r="H1148" t="str">
        <f t="shared" si="86"/>
        <v>DETRONIC ENERGIA E SERVICOS LTDA</v>
      </c>
      <c r="I1148">
        <f t="shared" si="87"/>
        <v>0</v>
      </c>
      <c r="J1148">
        <f t="shared" si="88"/>
        <v>1</v>
      </c>
    </row>
    <row r="1149" spans="1:10" x14ac:dyDescent="0.25">
      <c r="A1149" t="s">
        <v>354</v>
      </c>
      <c r="B1149" t="s">
        <v>97</v>
      </c>
      <c r="C1149" t="s">
        <v>59</v>
      </c>
      <c r="D1149" s="3">
        <v>45664</v>
      </c>
      <c r="E1149" t="str">
        <f>VLOOKUP(B1149,'PROCV GERENTES BD'!A:B,2,0)</f>
        <v>POENATELA</v>
      </c>
      <c r="F1149" s="4" t="str">
        <f t="shared" si="89"/>
        <v>2025-01-1</v>
      </c>
      <c r="G1149" t="str">
        <f t="shared" si="85"/>
        <v>POENATELA</v>
      </c>
      <c r="H1149" t="str">
        <f t="shared" si="86"/>
        <v>UBERTEC SERVICE USINAGEM LTDA EPP</v>
      </c>
      <c r="I1149">
        <f t="shared" si="87"/>
        <v>0</v>
      </c>
      <c r="J1149">
        <f t="shared" si="88"/>
        <v>0</v>
      </c>
    </row>
    <row r="1150" spans="1:10" x14ac:dyDescent="0.25">
      <c r="A1150" t="s">
        <v>369</v>
      </c>
      <c r="B1150" t="s">
        <v>113</v>
      </c>
      <c r="C1150" t="s">
        <v>56</v>
      </c>
      <c r="D1150" s="3">
        <v>45664</v>
      </c>
      <c r="E1150" t="str">
        <f>VLOOKUP(B1150,'PROCV GERENTES BD'!A:B,2,0)</f>
        <v>PRISCILA METZ</v>
      </c>
      <c r="F1150" s="4" t="str">
        <f t="shared" si="89"/>
        <v>2025-01-1</v>
      </c>
      <c r="G1150" t="str">
        <f t="shared" si="85"/>
        <v>PRISCILA METZ</v>
      </c>
      <c r="H1150" t="str">
        <f t="shared" si="86"/>
        <v>HERBAMED LABORATORIO NUTRACEUTICO LTDA</v>
      </c>
      <c r="I1150">
        <f t="shared" si="87"/>
        <v>0</v>
      </c>
      <c r="J1150">
        <f t="shared" si="88"/>
        <v>1</v>
      </c>
    </row>
    <row r="1151" spans="1:10" x14ac:dyDescent="0.25">
      <c r="A1151" t="s">
        <v>442</v>
      </c>
      <c r="B1151" t="s">
        <v>192</v>
      </c>
      <c r="C1151" t="s">
        <v>56</v>
      </c>
      <c r="D1151" s="3">
        <v>45664</v>
      </c>
      <c r="E1151" t="str">
        <f>VLOOKUP(B1151,'PROCV GERENTES BD'!A:B,2,0)</f>
        <v>RAFAEL PARISE</v>
      </c>
      <c r="F1151" s="4" t="str">
        <f t="shared" si="89"/>
        <v>2025-01-1</v>
      </c>
      <c r="G1151" t="str">
        <f t="shared" si="85"/>
        <v>RAFAEL PARISE</v>
      </c>
      <c r="H1151" t="str">
        <f t="shared" si="86"/>
        <v>MARCAS COMERCIO LTDA ME</v>
      </c>
      <c r="I1151">
        <f t="shared" si="87"/>
        <v>0</v>
      </c>
      <c r="J1151">
        <f t="shared" si="88"/>
        <v>1</v>
      </c>
    </row>
    <row r="1152" spans="1:10" x14ac:dyDescent="0.25">
      <c r="A1152" t="s">
        <v>439</v>
      </c>
      <c r="B1152" t="s">
        <v>203</v>
      </c>
      <c r="C1152" t="s">
        <v>56</v>
      </c>
      <c r="D1152" s="3">
        <v>45664</v>
      </c>
      <c r="E1152" t="s">
        <v>25</v>
      </c>
      <c r="F1152" s="4" t="str">
        <f t="shared" si="89"/>
        <v>2025-01-1</v>
      </c>
      <c r="G1152" t="str">
        <f t="shared" si="85"/>
        <v xml:space="preserve">ROGERIO </v>
      </c>
      <c r="H1152" t="str">
        <f t="shared" si="86"/>
        <v>GRF JEANS WEAR LTDA EPP</v>
      </c>
      <c r="I1152">
        <f t="shared" si="87"/>
        <v>0</v>
      </c>
      <c r="J1152">
        <f t="shared" si="88"/>
        <v>1</v>
      </c>
    </row>
    <row r="1153" spans="1:10" x14ac:dyDescent="0.25">
      <c r="A1153" t="s">
        <v>356</v>
      </c>
      <c r="B1153" t="s">
        <v>99</v>
      </c>
      <c r="C1153" t="s">
        <v>56</v>
      </c>
      <c r="D1153" s="3">
        <v>45664</v>
      </c>
      <c r="E1153" t="str">
        <f>VLOOKUP(B1153,'PROCV GERENTES BD'!A:B,2,0)</f>
        <v>WHELKYA IRIS</v>
      </c>
      <c r="F1153" s="4" t="str">
        <f t="shared" si="89"/>
        <v>2025-01-1</v>
      </c>
      <c r="G1153" t="str">
        <f t="shared" si="85"/>
        <v>WHELKYA IRIS</v>
      </c>
      <c r="H1153" t="str">
        <f t="shared" si="86"/>
        <v>DIVINA INDUSTRIA DE COURO LTDA</v>
      </c>
      <c r="I1153">
        <f t="shared" si="87"/>
        <v>0</v>
      </c>
      <c r="J1153">
        <f t="shared" si="88"/>
        <v>1</v>
      </c>
    </row>
    <row r="1154" spans="1:10" x14ac:dyDescent="0.25">
      <c r="A1154" t="s">
        <v>390</v>
      </c>
      <c r="B1154" t="s">
        <v>136</v>
      </c>
      <c r="C1154" t="s">
        <v>72</v>
      </c>
      <c r="D1154" s="3">
        <v>45665</v>
      </c>
      <c r="E1154" t="str">
        <f>VLOOKUP(B1154,'PROCV GERENTES BD'!A:B,2,0)</f>
        <v>ADMINISTRAÇÃO</v>
      </c>
      <c r="F1154" s="4" t="str">
        <f t="shared" si="89"/>
        <v>2025-01-1</v>
      </c>
      <c r="G1154" t="str">
        <f t="shared" ref="G1154:G1217" si="90">E1154</f>
        <v>ADMINISTRAÇÃO</v>
      </c>
      <c r="H1154" t="str">
        <f t="shared" ref="H1154:H1217" si="91">B1154</f>
        <v>XEQUE MATE BEBIDAS LTDA ME</v>
      </c>
      <c r="I1154">
        <f t="shared" ref="I1154:I1217" si="92">IF(C1154="EXCLUSAO  ANOT.INADIMPLENCIA",1,0)</f>
        <v>1</v>
      </c>
      <c r="J1154">
        <f t="shared" ref="J1154:J1217" si="93">IF(C1154="INCLUSAO  ANOT.INADIMPLENCIA",1,0)</f>
        <v>0</v>
      </c>
    </row>
    <row r="1155" spans="1:10" x14ac:dyDescent="0.25">
      <c r="A1155" t="s">
        <v>326</v>
      </c>
      <c r="B1155" t="s">
        <v>86</v>
      </c>
      <c r="C1155" t="s">
        <v>56</v>
      </c>
      <c r="D1155" s="3">
        <v>45665</v>
      </c>
      <c r="E1155" t="str">
        <f>VLOOKUP(B1155,'PROCV GERENTES BD'!A:B,2,0)</f>
        <v>CELIO PIMENTA</v>
      </c>
      <c r="F1155" s="4" t="str">
        <f t="shared" ref="F1155:F1218" si="94">YEAR(D1155)&amp;"-"&amp;TEXT(MONTH(D1155),"00")&amp;"-"&amp;IF(DAY(D1155)&lt;=15,"1",IF(DAY(D1155)&gt;15,"2",""))</f>
        <v>2025-01-1</v>
      </c>
      <c r="G1155" t="str">
        <f t="shared" si="90"/>
        <v>CELIO PIMENTA</v>
      </c>
      <c r="H1155" t="str">
        <f t="shared" si="91"/>
        <v>IMPORTEXTIL COMERCIO DE TECIDOS LTDA</v>
      </c>
      <c r="I1155">
        <f t="shared" si="92"/>
        <v>0</v>
      </c>
      <c r="J1155">
        <f t="shared" si="93"/>
        <v>1</v>
      </c>
    </row>
    <row r="1156" spans="1:10" x14ac:dyDescent="0.25">
      <c r="A1156" t="s">
        <v>330</v>
      </c>
      <c r="B1156" t="s">
        <v>116</v>
      </c>
      <c r="C1156" t="s">
        <v>72</v>
      </c>
      <c r="D1156" s="3">
        <v>45665</v>
      </c>
      <c r="E1156" t="str">
        <f>VLOOKUP(B1156,'PROCV GERENTES BD'!A:B,2,0)</f>
        <v>FITZ</v>
      </c>
      <c r="F1156" s="4" t="str">
        <f t="shared" si="94"/>
        <v>2025-01-1</v>
      </c>
      <c r="G1156" t="str">
        <f t="shared" si="90"/>
        <v>FITZ</v>
      </c>
      <c r="H1156" t="str">
        <f t="shared" si="91"/>
        <v>SIAP COMERCIO DE PRODUTOS AGROPECUARIOS LTDA</v>
      </c>
      <c r="I1156">
        <f t="shared" si="92"/>
        <v>1</v>
      </c>
      <c r="J1156">
        <f t="shared" si="93"/>
        <v>0</v>
      </c>
    </row>
    <row r="1157" spans="1:10" x14ac:dyDescent="0.25">
      <c r="A1157" t="s">
        <v>436</v>
      </c>
      <c r="B1157" t="s">
        <v>186</v>
      </c>
      <c r="C1157" t="s">
        <v>59</v>
      </c>
      <c r="D1157" s="3">
        <v>45665</v>
      </c>
      <c r="E1157" t="str">
        <f>VLOOKUP(B1157,'PROCV GERENTES BD'!A:B,2,0)</f>
        <v xml:space="preserve">MARCUS VINICIUS </v>
      </c>
      <c r="F1157" s="4" t="str">
        <f t="shared" si="94"/>
        <v>2025-01-1</v>
      </c>
      <c r="G1157" t="str">
        <f t="shared" si="90"/>
        <v xml:space="preserve">MARCUS VINICIUS </v>
      </c>
      <c r="H1157" t="str">
        <f t="shared" si="91"/>
        <v>LABOR ELETRIC INDUSTRIA E COMERCIO UNIPESSOAL LTDA</v>
      </c>
      <c r="I1157">
        <f t="shared" si="92"/>
        <v>0</v>
      </c>
      <c r="J1157">
        <f t="shared" si="93"/>
        <v>0</v>
      </c>
    </row>
    <row r="1158" spans="1:10" x14ac:dyDescent="0.25">
      <c r="A1158" t="s">
        <v>430</v>
      </c>
      <c r="B1158" t="s">
        <v>180</v>
      </c>
      <c r="C1158" t="s">
        <v>56</v>
      </c>
      <c r="D1158" s="3">
        <v>45665</v>
      </c>
      <c r="E1158" t="str">
        <f>VLOOKUP(B1158,'PROCV GERENTES BD'!A:B,2,0)</f>
        <v>NOELI SALETE</v>
      </c>
      <c r="F1158" s="4" t="str">
        <f t="shared" si="94"/>
        <v>2025-01-1</v>
      </c>
      <c r="G1158" t="str">
        <f t="shared" si="90"/>
        <v>NOELI SALETE</v>
      </c>
      <c r="H1158" t="str">
        <f t="shared" si="91"/>
        <v>COMGROUP AGROINDUSTRIAL LTDA</v>
      </c>
      <c r="I1158">
        <f t="shared" si="92"/>
        <v>0</v>
      </c>
      <c r="J1158">
        <f t="shared" si="93"/>
        <v>1</v>
      </c>
    </row>
    <row r="1159" spans="1:10" x14ac:dyDescent="0.25">
      <c r="A1159" t="s">
        <v>408</v>
      </c>
      <c r="B1159" t="s">
        <v>157</v>
      </c>
      <c r="C1159" t="s">
        <v>72</v>
      </c>
      <c r="D1159" s="3">
        <v>45665</v>
      </c>
      <c r="E1159" t="str">
        <f>VLOOKUP(B1159,'PROCV GERENTES BD'!A:B,2,0)</f>
        <v>NOELI SALETE</v>
      </c>
      <c r="F1159" s="4" t="str">
        <f t="shared" si="94"/>
        <v>2025-01-1</v>
      </c>
      <c r="G1159" t="str">
        <f t="shared" si="90"/>
        <v>NOELI SALETE</v>
      </c>
      <c r="H1159" t="str">
        <f t="shared" si="91"/>
        <v>POOLMAK SISTEMAS ESTRUTURAIS LTDA</v>
      </c>
      <c r="I1159">
        <f t="shared" si="92"/>
        <v>1</v>
      </c>
      <c r="J1159">
        <f t="shared" si="93"/>
        <v>0</v>
      </c>
    </row>
    <row r="1160" spans="1:10" x14ac:dyDescent="0.25">
      <c r="A1160" t="s">
        <v>397</v>
      </c>
      <c r="B1160" t="s">
        <v>143</v>
      </c>
      <c r="C1160" t="s">
        <v>72</v>
      </c>
      <c r="D1160" s="3">
        <v>45665</v>
      </c>
      <c r="E1160" t="str">
        <f>VLOOKUP(B1160,'PROCV GERENTES BD'!A:B,2,0)</f>
        <v>POENATELA</v>
      </c>
      <c r="F1160" s="4" t="str">
        <f t="shared" si="94"/>
        <v>2025-01-1</v>
      </c>
      <c r="G1160" t="str">
        <f t="shared" si="90"/>
        <v>POENATELA</v>
      </c>
      <c r="H1160" t="str">
        <f t="shared" si="91"/>
        <v>CONQUISTA INDUSTRIA DE MOVEIS S/A</v>
      </c>
      <c r="I1160">
        <f t="shared" si="92"/>
        <v>1</v>
      </c>
      <c r="J1160">
        <f t="shared" si="93"/>
        <v>0</v>
      </c>
    </row>
    <row r="1161" spans="1:10" x14ac:dyDescent="0.25">
      <c r="A1161" t="s">
        <v>354</v>
      </c>
      <c r="B1161" t="s">
        <v>97</v>
      </c>
      <c r="C1161" t="s">
        <v>56</v>
      </c>
      <c r="D1161" s="3">
        <v>45665</v>
      </c>
      <c r="E1161" t="str">
        <f>VLOOKUP(B1161,'PROCV GERENTES BD'!A:B,2,0)</f>
        <v>POENATELA</v>
      </c>
      <c r="F1161" s="4" t="str">
        <f t="shared" si="94"/>
        <v>2025-01-1</v>
      </c>
      <c r="G1161" t="str">
        <f t="shared" si="90"/>
        <v>POENATELA</v>
      </c>
      <c r="H1161" t="str">
        <f t="shared" si="91"/>
        <v>UBERTEC SERVICE USINAGEM LTDA EPP</v>
      </c>
      <c r="I1161">
        <f t="shared" si="92"/>
        <v>0</v>
      </c>
      <c r="J1161">
        <f t="shared" si="93"/>
        <v>1</v>
      </c>
    </row>
    <row r="1162" spans="1:10" x14ac:dyDescent="0.25">
      <c r="A1162" t="s">
        <v>361</v>
      </c>
      <c r="B1162" t="s">
        <v>103</v>
      </c>
      <c r="C1162" t="s">
        <v>72</v>
      </c>
      <c r="D1162" s="3">
        <v>45665</v>
      </c>
      <c r="E1162" t="str">
        <f>VLOOKUP(B1162,'PROCV GERENTES BD'!A:B,2,0)</f>
        <v>PRISCILA METZ</v>
      </c>
      <c r="F1162" s="4" t="str">
        <f t="shared" si="94"/>
        <v>2025-01-1</v>
      </c>
      <c r="G1162" t="str">
        <f t="shared" si="90"/>
        <v>PRISCILA METZ</v>
      </c>
      <c r="H1162" t="str">
        <f t="shared" si="91"/>
        <v>ESSENZA INDUSTRIA QUIMICA LTDA</v>
      </c>
      <c r="I1162">
        <f t="shared" si="92"/>
        <v>1</v>
      </c>
      <c r="J1162">
        <f t="shared" si="93"/>
        <v>0</v>
      </c>
    </row>
    <row r="1163" spans="1:10" x14ac:dyDescent="0.25">
      <c r="A1163" t="s">
        <v>57</v>
      </c>
      <c r="B1163" t="s">
        <v>58</v>
      </c>
      <c r="C1163" t="s">
        <v>72</v>
      </c>
      <c r="D1163" s="3">
        <v>45665</v>
      </c>
      <c r="E1163" t="str">
        <f>VLOOKUP(B1163,'PROCV GERENTES BD'!A:B,2,0)</f>
        <v>RAFAEL PARISE</v>
      </c>
      <c r="F1163" s="4" t="str">
        <f t="shared" si="94"/>
        <v>2025-01-1</v>
      </c>
      <c r="G1163" t="str">
        <f t="shared" si="90"/>
        <v>RAFAEL PARISE</v>
      </c>
      <c r="H1163" t="str">
        <f t="shared" si="91"/>
        <v>TDR TRANSPORTES LOGISTICA LTDA</v>
      </c>
      <c r="I1163">
        <f t="shared" si="92"/>
        <v>1</v>
      </c>
      <c r="J1163">
        <f t="shared" si="93"/>
        <v>0</v>
      </c>
    </row>
    <row r="1164" spans="1:10" x14ac:dyDescent="0.25">
      <c r="A1164" t="s">
        <v>333</v>
      </c>
      <c r="B1164" t="s">
        <v>129</v>
      </c>
      <c r="C1164" t="s">
        <v>72</v>
      </c>
      <c r="D1164" s="3">
        <v>45665</v>
      </c>
      <c r="E1164" t="s">
        <v>25</v>
      </c>
      <c r="F1164" s="4" t="str">
        <f t="shared" si="94"/>
        <v>2025-01-1</v>
      </c>
      <c r="G1164" t="str">
        <f t="shared" si="90"/>
        <v xml:space="preserve">ROGERIO </v>
      </c>
      <c r="H1164" t="str">
        <f t="shared" si="91"/>
        <v>BIBE PRODUTOS INFANTIS LTDA</v>
      </c>
      <c r="I1164">
        <f t="shared" si="92"/>
        <v>1</v>
      </c>
      <c r="J1164">
        <f t="shared" si="93"/>
        <v>0</v>
      </c>
    </row>
    <row r="1165" spans="1:10" x14ac:dyDescent="0.25">
      <c r="A1165" t="s">
        <v>356</v>
      </c>
      <c r="B1165" t="s">
        <v>99</v>
      </c>
      <c r="C1165" t="s">
        <v>56</v>
      </c>
      <c r="D1165" s="3">
        <v>45665</v>
      </c>
      <c r="E1165" t="str">
        <f>VLOOKUP(B1165,'PROCV GERENTES BD'!A:B,2,0)</f>
        <v>WHELKYA IRIS</v>
      </c>
      <c r="F1165" s="4" t="str">
        <f t="shared" si="94"/>
        <v>2025-01-1</v>
      </c>
      <c r="G1165" t="str">
        <f t="shared" si="90"/>
        <v>WHELKYA IRIS</v>
      </c>
      <c r="H1165" t="str">
        <f t="shared" si="91"/>
        <v>DIVINA INDUSTRIA DE COURO LTDA</v>
      </c>
      <c r="I1165">
        <f t="shared" si="92"/>
        <v>0</v>
      </c>
      <c r="J1165">
        <f t="shared" si="93"/>
        <v>1</v>
      </c>
    </row>
    <row r="1166" spans="1:10" x14ac:dyDescent="0.25">
      <c r="A1166" t="s">
        <v>390</v>
      </c>
      <c r="B1166" t="s">
        <v>136</v>
      </c>
      <c r="C1166" t="s">
        <v>72</v>
      </c>
      <c r="D1166" s="3">
        <v>45666</v>
      </c>
      <c r="E1166" t="str">
        <f>VLOOKUP(B1166,'PROCV GERENTES BD'!A:B,2,0)</f>
        <v>ADMINISTRAÇÃO</v>
      </c>
      <c r="F1166" s="4" t="str">
        <f t="shared" si="94"/>
        <v>2025-01-1</v>
      </c>
      <c r="G1166" t="str">
        <f t="shared" si="90"/>
        <v>ADMINISTRAÇÃO</v>
      </c>
      <c r="H1166" t="str">
        <f t="shared" si="91"/>
        <v>XEQUE MATE BEBIDAS LTDA ME</v>
      </c>
      <c r="I1166">
        <f t="shared" si="92"/>
        <v>1</v>
      </c>
      <c r="J1166">
        <f t="shared" si="93"/>
        <v>0</v>
      </c>
    </row>
    <row r="1167" spans="1:10" x14ac:dyDescent="0.25">
      <c r="A1167" t="s">
        <v>326</v>
      </c>
      <c r="B1167" t="s">
        <v>86</v>
      </c>
      <c r="C1167" t="s">
        <v>56</v>
      </c>
      <c r="D1167" s="3">
        <v>45666</v>
      </c>
      <c r="E1167" t="str">
        <f>VLOOKUP(B1167,'PROCV GERENTES BD'!A:B,2,0)</f>
        <v>CELIO PIMENTA</v>
      </c>
      <c r="F1167" s="4" t="str">
        <f t="shared" si="94"/>
        <v>2025-01-1</v>
      </c>
      <c r="G1167" t="str">
        <f t="shared" si="90"/>
        <v>CELIO PIMENTA</v>
      </c>
      <c r="H1167" t="str">
        <f t="shared" si="91"/>
        <v>IMPORTEXTIL COMERCIO DE TECIDOS LTDA</v>
      </c>
      <c r="I1167">
        <f t="shared" si="92"/>
        <v>0</v>
      </c>
      <c r="J1167">
        <f t="shared" si="93"/>
        <v>1</v>
      </c>
    </row>
    <row r="1168" spans="1:10" x14ac:dyDescent="0.25">
      <c r="A1168" t="s">
        <v>330</v>
      </c>
      <c r="B1168" t="s">
        <v>116</v>
      </c>
      <c r="C1168" t="s">
        <v>72</v>
      </c>
      <c r="D1168" s="3">
        <v>45666</v>
      </c>
      <c r="E1168" t="str">
        <f>VLOOKUP(B1168,'PROCV GERENTES BD'!A:B,2,0)</f>
        <v>FITZ</v>
      </c>
      <c r="F1168" s="4" t="str">
        <f t="shared" si="94"/>
        <v>2025-01-1</v>
      </c>
      <c r="G1168" t="str">
        <f t="shared" si="90"/>
        <v>FITZ</v>
      </c>
      <c r="H1168" t="str">
        <f t="shared" si="91"/>
        <v>SIAP COMERCIO DE PRODUTOS AGROPECUARIOS LTDA</v>
      </c>
      <c r="I1168">
        <f t="shared" si="92"/>
        <v>1</v>
      </c>
      <c r="J1168">
        <f t="shared" si="93"/>
        <v>0</v>
      </c>
    </row>
    <row r="1169" spans="1:10" x14ac:dyDescent="0.25">
      <c r="A1169" t="s">
        <v>436</v>
      </c>
      <c r="B1169" t="s">
        <v>186</v>
      </c>
      <c r="C1169" t="s">
        <v>59</v>
      </c>
      <c r="D1169" s="3">
        <v>45666</v>
      </c>
      <c r="E1169" t="str">
        <f>VLOOKUP(B1169,'PROCV GERENTES BD'!A:B,2,0)</f>
        <v xml:space="preserve">MARCUS VINICIUS </v>
      </c>
      <c r="F1169" s="4" t="str">
        <f t="shared" si="94"/>
        <v>2025-01-1</v>
      </c>
      <c r="G1169" t="str">
        <f t="shared" si="90"/>
        <v xml:space="preserve">MARCUS VINICIUS </v>
      </c>
      <c r="H1169" t="str">
        <f t="shared" si="91"/>
        <v>LABOR ELETRIC INDUSTRIA E COMERCIO UNIPESSOAL LTDA</v>
      </c>
      <c r="I1169">
        <f t="shared" si="92"/>
        <v>0</v>
      </c>
      <c r="J1169">
        <f t="shared" si="93"/>
        <v>0</v>
      </c>
    </row>
    <row r="1170" spans="1:10" x14ac:dyDescent="0.25">
      <c r="A1170" t="s">
        <v>430</v>
      </c>
      <c r="B1170" t="s">
        <v>180</v>
      </c>
      <c r="C1170" t="s">
        <v>56</v>
      </c>
      <c r="D1170" s="3">
        <v>45666</v>
      </c>
      <c r="E1170" t="str">
        <f>VLOOKUP(B1170,'PROCV GERENTES BD'!A:B,2,0)</f>
        <v>NOELI SALETE</v>
      </c>
      <c r="F1170" s="4" t="str">
        <f t="shared" si="94"/>
        <v>2025-01-1</v>
      </c>
      <c r="G1170" t="str">
        <f t="shared" si="90"/>
        <v>NOELI SALETE</v>
      </c>
      <c r="H1170" t="str">
        <f t="shared" si="91"/>
        <v>COMGROUP AGROINDUSTRIAL LTDA</v>
      </c>
      <c r="I1170">
        <f t="shared" si="92"/>
        <v>0</v>
      </c>
      <c r="J1170">
        <f t="shared" si="93"/>
        <v>1</v>
      </c>
    </row>
    <row r="1171" spans="1:10" x14ac:dyDescent="0.25">
      <c r="A1171" t="s">
        <v>408</v>
      </c>
      <c r="B1171" t="s">
        <v>157</v>
      </c>
      <c r="C1171" t="s">
        <v>72</v>
      </c>
      <c r="D1171" s="3">
        <v>45666</v>
      </c>
      <c r="E1171" t="str">
        <f>VLOOKUP(B1171,'PROCV GERENTES BD'!A:B,2,0)</f>
        <v>NOELI SALETE</v>
      </c>
      <c r="F1171" s="4" t="str">
        <f t="shared" si="94"/>
        <v>2025-01-1</v>
      </c>
      <c r="G1171" t="str">
        <f t="shared" si="90"/>
        <v>NOELI SALETE</v>
      </c>
      <c r="H1171" t="str">
        <f t="shared" si="91"/>
        <v>POOLMAK SISTEMAS ESTRUTURAIS LTDA</v>
      </c>
      <c r="I1171">
        <f t="shared" si="92"/>
        <v>1</v>
      </c>
      <c r="J1171">
        <f t="shared" si="93"/>
        <v>0</v>
      </c>
    </row>
    <row r="1172" spans="1:10" x14ac:dyDescent="0.25">
      <c r="A1172" t="s">
        <v>397</v>
      </c>
      <c r="B1172" t="s">
        <v>143</v>
      </c>
      <c r="C1172" t="s">
        <v>72</v>
      </c>
      <c r="D1172" s="3">
        <v>45666</v>
      </c>
      <c r="E1172" t="str">
        <f>VLOOKUP(B1172,'PROCV GERENTES BD'!A:B,2,0)</f>
        <v>POENATELA</v>
      </c>
      <c r="F1172" s="4" t="str">
        <f t="shared" si="94"/>
        <v>2025-01-1</v>
      </c>
      <c r="G1172" t="str">
        <f t="shared" si="90"/>
        <v>POENATELA</v>
      </c>
      <c r="H1172" t="str">
        <f t="shared" si="91"/>
        <v>CONQUISTA INDUSTRIA DE MOVEIS S/A</v>
      </c>
      <c r="I1172">
        <f t="shared" si="92"/>
        <v>1</v>
      </c>
      <c r="J1172">
        <f t="shared" si="93"/>
        <v>0</v>
      </c>
    </row>
    <row r="1173" spans="1:10" x14ac:dyDescent="0.25">
      <c r="A1173" t="s">
        <v>354</v>
      </c>
      <c r="B1173" t="s">
        <v>97</v>
      </c>
      <c r="C1173" t="s">
        <v>56</v>
      </c>
      <c r="D1173" s="3">
        <v>45666</v>
      </c>
      <c r="E1173" t="str">
        <f>VLOOKUP(B1173,'PROCV GERENTES BD'!A:B,2,0)</f>
        <v>POENATELA</v>
      </c>
      <c r="F1173" s="4" t="str">
        <f t="shared" si="94"/>
        <v>2025-01-1</v>
      </c>
      <c r="G1173" t="str">
        <f t="shared" si="90"/>
        <v>POENATELA</v>
      </c>
      <c r="H1173" t="str">
        <f t="shared" si="91"/>
        <v>UBERTEC SERVICE USINAGEM LTDA EPP</v>
      </c>
      <c r="I1173">
        <f t="shared" si="92"/>
        <v>0</v>
      </c>
      <c r="J1173">
        <f t="shared" si="93"/>
        <v>1</v>
      </c>
    </row>
    <row r="1174" spans="1:10" x14ac:dyDescent="0.25">
      <c r="A1174" t="s">
        <v>361</v>
      </c>
      <c r="B1174" t="s">
        <v>103</v>
      </c>
      <c r="C1174" t="s">
        <v>72</v>
      </c>
      <c r="D1174" s="3">
        <v>45666</v>
      </c>
      <c r="E1174" t="str">
        <f>VLOOKUP(B1174,'PROCV GERENTES BD'!A:B,2,0)</f>
        <v>PRISCILA METZ</v>
      </c>
      <c r="F1174" s="4" t="str">
        <f t="shared" si="94"/>
        <v>2025-01-1</v>
      </c>
      <c r="G1174" t="str">
        <f t="shared" si="90"/>
        <v>PRISCILA METZ</v>
      </c>
      <c r="H1174" t="str">
        <f t="shared" si="91"/>
        <v>ESSENZA INDUSTRIA QUIMICA LTDA</v>
      </c>
      <c r="I1174">
        <f t="shared" si="92"/>
        <v>1</v>
      </c>
      <c r="J1174">
        <f t="shared" si="93"/>
        <v>0</v>
      </c>
    </row>
    <row r="1175" spans="1:10" x14ac:dyDescent="0.25">
      <c r="A1175" t="s">
        <v>57</v>
      </c>
      <c r="B1175" t="s">
        <v>58</v>
      </c>
      <c r="C1175" t="s">
        <v>72</v>
      </c>
      <c r="D1175" s="3">
        <v>45666</v>
      </c>
      <c r="E1175" t="str">
        <f>VLOOKUP(B1175,'PROCV GERENTES BD'!A:B,2,0)</f>
        <v>RAFAEL PARISE</v>
      </c>
      <c r="F1175" s="4" t="str">
        <f t="shared" si="94"/>
        <v>2025-01-1</v>
      </c>
      <c r="G1175" t="str">
        <f t="shared" si="90"/>
        <v>RAFAEL PARISE</v>
      </c>
      <c r="H1175" t="str">
        <f t="shared" si="91"/>
        <v>TDR TRANSPORTES LOGISTICA LTDA</v>
      </c>
      <c r="I1175">
        <f t="shared" si="92"/>
        <v>1</v>
      </c>
      <c r="J1175">
        <f t="shared" si="93"/>
        <v>0</v>
      </c>
    </row>
    <row r="1176" spans="1:10" x14ac:dyDescent="0.25">
      <c r="A1176" t="s">
        <v>333</v>
      </c>
      <c r="B1176" t="s">
        <v>129</v>
      </c>
      <c r="C1176" t="s">
        <v>72</v>
      </c>
      <c r="D1176" s="3">
        <v>45666</v>
      </c>
      <c r="E1176" t="s">
        <v>25</v>
      </c>
      <c r="F1176" s="4" t="str">
        <f t="shared" si="94"/>
        <v>2025-01-1</v>
      </c>
      <c r="G1176" t="str">
        <f t="shared" si="90"/>
        <v xml:space="preserve">ROGERIO </v>
      </c>
      <c r="H1176" t="str">
        <f t="shared" si="91"/>
        <v>BIBE PRODUTOS INFANTIS LTDA</v>
      </c>
      <c r="I1176">
        <f t="shared" si="92"/>
        <v>1</v>
      </c>
      <c r="J1176">
        <f t="shared" si="93"/>
        <v>0</v>
      </c>
    </row>
    <row r="1177" spans="1:10" x14ac:dyDescent="0.25">
      <c r="A1177" t="s">
        <v>356</v>
      </c>
      <c r="B1177" t="s">
        <v>99</v>
      </c>
      <c r="C1177" t="s">
        <v>56</v>
      </c>
      <c r="D1177" s="3">
        <v>45666</v>
      </c>
      <c r="E1177" t="str">
        <f>VLOOKUP(B1177,'PROCV GERENTES BD'!A:B,2,0)</f>
        <v>WHELKYA IRIS</v>
      </c>
      <c r="F1177" s="4" t="str">
        <f t="shared" si="94"/>
        <v>2025-01-1</v>
      </c>
      <c r="G1177" t="str">
        <f t="shared" si="90"/>
        <v>WHELKYA IRIS</v>
      </c>
      <c r="H1177" t="str">
        <f t="shared" si="91"/>
        <v>DIVINA INDUSTRIA DE COURO LTDA</v>
      </c>
      <c r="I1177">
        <f t="shared" si="92"/>
        <v>0</v>
      </c>
      <c r="J1177">
        <f t="shared" si="93"/>
        <v>1</v>
      </c>
    </row>
    <row r="1178" spans="1:10" x14ac:dyDescent="0.25">
      <c r="A1178" t="s">
        <v>326</v>
      </c>
      <c r="B1178" t="s">
        <v>86</v>
      </c>
      <c r="C1178" t="s">
        <v>56</v>
      </c>
      <c r="D1178" s="3">
        <v>45667</v>
      </c>
      <c r="E1178" t="str">
        <f>VLOOKUP(B1178,'PROCV GERENTES BD'!A:B,2,0)</f>
        <v>CELIO PIMENTA</v>
      </c>
      <c r="F1178" s="4" t="str">
        <f t="shared" si="94"/>
        <v>2025-01-1</v>
      </c>
      <c r="G1178" t="str">
        <f t="shared" si="90"/>
        <v>CELIO PIMENTA</v>
      </c>
      <c r="H1178" t="str">
        <f t="shared" si="91"/>
        <v>IMPORTEXTIL COMERCIO DE TECIDOS LTDA</v>
      </c>
      <c r="I1178">
        <f t="shared" si="92"/>
        <v>0</v>
      </c>
      <c r="J1178">
        <f t="shared" si="93"/>
        <v>1</v>
      </c>
    </row>
    <row r="1179" spans="1:10" x14ac:dyDescent="0.25">
      <c r="A1179" t="s">
        <v>438</v>
      </c>
      <c r="B1179" t="s">
        <v>188</v>
      </c>
      <c r="C1179" t="s">
        <v>72</v>
      </c>
      <c r="D1179" s="3">
        <v>45667</v>
      </c>
      <c r="E1179" t="str">
        <f>VLOOKUP(B1179,'PROCV GERENTES BD'!A:B,2,0)</f>
        <v>FITZ</v>
      </c>
      <c r="F1179" s="4" t="str">
        <f t="shared" si="94"/>
        <v>2025-01-1</v>
      </c>
      <c r="G1179" t="str">
        <f t="shared" si="90"/>
        <v>FITZ</v>
      </c>
      <c r="H1179" t="str">
        <f t="shared" si="91"/>
        <v>SIQUEIRA E GAIPO INDUSTRIA E MATERIAIS ESPORTIVOS</v>
      </c>
      <c r="I1179">
        <f t="shared" si="92"/>
        <v>1</v>
      </c>
      <c r="J1179">
        <f t="shared" si="93"/>
        <v>0</v>
      </c>
    </row>
    <row r="1180" spans="1:10" x14ac:dyDescent="0.25">
      <c r="A1180" t="s">
        <v>430</v>
      </c>
      <c r="B1180" t="s">
        <v>180</v>
      </c>
      <c r="C1180" t="s">
        <v>59</v>
      </c>
      <c r="D1180" s="3">
        <v>45667</v>
      </c>
      <c r="E1180" t="str">
        <f>VLOOKUP(B1180,'PROCV GERENTES BD'!A:B,2,0)</f>
        <v>NOELI SALETE</v>
      </c>
      <c r="F1180" s="4" t="str">
        <f t="shared" si="94"/>
        <v>2025-01-1</v>
      </c>
      <c r="G1180" t="str">
        <f t="shared" si="90"/>
        <v>NOELI SALETE</v>
      </c>
      <c r="H1180" t="str">
        <f t="shared" si="91"/>
        <v>COMGROUP AGROINDUSTRIAL LTDA</v>
      </c>
      <c r="I1180">
        <f t="shared" si="92"/>
        <v>0</v>
      </c>
      <c r="J1180">
        <f t="shared" si="93"/>
        <v>0</v>
      </c>
    </row>
    <row r="1181" spans="1:10" x14ac:dyDescent="0.25">
      <c r="A1181" t="s">
        <v>408</v>
      </c>
      <c r="B1181" t="s">
        <v>157</v>
      </c>
      <c r="C1181" t="s">
        <v>72</v>
      </c>
      <c r="D1181" s="3">
        <v>45667</v>
      </c>
      <c r="E1181" t="str">
        <f>VLOOKUP(B1181,'PROCV GERENTES BD'!A:B,2,0)</f>
        <v>NOELI SALETE</v>
      </c>
      <c r="F1181" s="4" t="str">
        <f t="shared" si="94"/>
        <v>2025-01-1</v>
      </c>
      <c r="G1181" t="str">
        <f t="shared" si="90"/>
        <v>NOELI SALETE</v>
      </c>
      <c r="H1181" t="str">
        <f t="shared" si="91"/>
        <v>POOLMAK SISTEMAS ESTRUTURAIS LTDA</v>
      </c>
      <c r="I1181">
        <f t="shared" si="92"/>
        <v>1</v>
      </c>
      <c r="J1181">
        <f t="shared" si="93"/>
        <v>0</v>
      </c>
    </row>
    <row r="1182" spans="1:10" x14ac:dyDescent="0.25">
      <c r="A1182" t="s">
        <v>397</v>
      </c>
      <c r="B1182" t="s">
        <v>143</v>
      </c>
      <c r="C1182" t="s">
        <v>72</v>
      </c>
      <c r="D1182" s="3">
        <v>45667</v>
      </c>
      <c r="E1182" t="str">
        <f>VLOOKUP(B1182,'PROCV GERENTES BD'!A:B,2,0)</f>
        <v>POENATELA</v>
      </c>
      <c r="F1182" s="4" t="str">
        <f t="shared" si="94"/>
        <v>2025-01-1</v>
      </c>
      <c r="G1182" t="str">
        <f t="shared" si="90"/>
        <v>POENATELA</v>
      </c>
      <c r="H1182" t="str">
        <f t="shared" si="91"/>
        <v>CONQUISTA INDUSTRIA DE MOVEIS S/A</v>
      </c>
      <c r="I1182">
        <f t="shared" si="92"/>
        <v>1</v>
      </c>
      <c r="J1182">
        <f t="shared" si="93"/>
        <v>0</v>
      </c>
    </row>
    <row r="1183" spans="1:10" x14ac:dyDescent="0.25">
      <c r="A1183" t="s">
        <v>354</v>
      </c>
      <c r="B1183" t="s">
        <v>97</v>
      </c>
      <c r="C1183" t="s">
        <v>72</v>
      </c>
      <c r="D1183" s="3">
        <v>45667</v>
      </c>
      <c r="E1183" t="str">
        <f>VLOOKUP(B1183,'PROCV GERENTES BD'!A:B,2,0)</f>
        <v>POENATELA</v>
      </c>
      <c r="F1183" s="4" t="str">
        <f t="shared" si="94"/>
        <v>2025-01-1</v>
      </c>
      <c r="G1183" t="str">
        <f t="shared" si="90"/>
        <v>POENATELA</v>
      </c>
      <c r="H1183" t="str">
        <f t="shared" si="91"/>
        <v>UBERTEC SERVICE USINAGEM LTDA EPP</v>
      </c>
      <c r="I1183">
        <f t="shared" si="92"/>
        <v>1</v>
      </c>
      <c r="J1183">
        <f t="shared" si="93"/>
        <v>0</v>
      </c>
    </row>
    <row r="1184" spans="1:10" x14ac:dyDescent="0.25">
      <c r="A1184" t="s">
        <v>447</v>
      </c>
      <c r="B1184" t="s">
        <v>197</v>
      </c>
      <c r="C1184" t="s">
        <v>72</v>
      </c>
      <c r="D1184" s="3">
        <v>45668</v>
      </c>
      <c r="E1184" t="str">
        <f>VLOOKUP(B1184,'PROCV GERENTES BD'!A:B,2,0)</f>
        <v>ADMINISTRAÇÃO</v>
      </c>
      <c r="F1184" s="4" t="str">
        <f t="shared" si="94"/>
        <v>2025-01-1</v>
      </c>
      <c r="G1184" t="str">
        <f t="shared" si="90"/>
        <v>ADMINISTRAÇÃO</v>
      </c>
      <c r="H1184" t="str">
        <f t="shared" si="91"/>
        <v>ELFRIG FRIGORIFICO ELDORADO LTDA ME</v>
      </c>
      <c r="I1184">
        <f t="shared" si="92"/>
        <v>1</v>
      </c>
      <c r="J1184">
        <f t="shared" si="93"/>
        <v>0</v>
      </c>
    </row>
    <row r="1185" spans="1:10" x14ac:dyDescent="0.25">
      <c r="A1185" t="s">
        <v>390</v>
      </c>
      <c r="B1185" t="s">
        <v>136</v>
      </c>
      <c r="C1185" t="s">
        <v>72</v>
      </c>
      <c r="D1185" s="3">
        <v>45668</v>
      </c>
      <c r="E1185" t="str">
        <f>VLOOKUP(B1185,'PROCV GERENTES BD'!A:B,2,0)</f>
        <v>ADMINISTRAÇÃO</v>
      </c>
      <c r="F1185" s="4" t="str">
        <f t="shared" si="94"/>
        <v>2025-01-1</v>
      </c>
      <c r="G1185" t="str">
        <f t="shared" si="90"/>
        <v>ADMINISTRAÇÃO</v>
      </c>
      <c r="H1185" t="str">
        <f t="shared" si="91"/>
        <v>XEQUE MATE BEBIDAS LTDA ME</v>
      </c>
      <c r="I1185">
        <f t="shared" si="92"/>
        <v>1</v>
      </c>
      <c r="J1185">
        <f t="shared" si="93"/>
        <v>0</v>
      </c>
    </row>
    <row r="1186" spans="1:10" x14ac:dyDescent="0.25">
      <c r="A1186" t="s">
        <v>311</v>
      </c>
      <c r="B1186" t="s">
        <v>130</v>
      </c>
      <c r="C1186" t="s">
        <v>56</v>
      </c>
      <c r="D1186" s="3">
        <v>45668</v>
      </c>
      <c r="E1186" t="str">
        <f>VLOOKUP(B1186,'PROCV GERENTES BD'!A:B,2,0)</f>
        <v>ANTONIO CARLOS</v>
      </c>
      <c r="F1186" s="4" t="str">
        <f t="shared" si="94"/>
        <v>2025-01-1</v>
      </c>
      <c r="G1186" t="str">
        <f t="shared" si="90"/>
        <v>ANTONIO CARLOS</v>
      </c>
      <c r="H1186" t="str">
        <f t="shared" si="91"/>
        <v>VIC LOGISTICA LTDA EM RECUPERACAO JUDICIAL</v>
      </c>
      <c r="I1186">
        <f t="shared" si="92"/>
        <v>0</v>
      </c>
      <c r="J1186">
        <f t="shared" si="93"/>
        <v>1</v>
      </c>
    </row>
    <row r="1187" spans="1:10" x14ac:dyDescent="0.25">
      <c r="A1187" t="s">
        <v>326</v>
      </c>
      <c r="B1187" t="s">
        <v>86</v>
      </c>
      <c r="C1187" t="s">
        <v>56</v>
      </c>
      <c r="D1187" s="3">
        <v>45668</v>
      </c>
      <c r="E1187" t="str">
        <f>VLOOKUP(B1187,'PROCV GERENTES BD'!A:B,2,0)</f>
        <v>CELIO PIMENTA</v>
      </c>
      <c r="F1187" s="4" t="str">
        <f t="shared" si="94"/>
        <v>2025-01-1</v>
      </c>
      <c r="G1187" t="str">
        <f t="shared" si="90"/>
        <v>CELIO PIMENTA</v>
      </c>
      <c r="H1187" t="str">
        <f t="shared" si="91"/>
        <v>IMPORTEXTIL COMERCIO DE TECIDOS LTDA</v>
      </c>
      <c r="I1187">
        <f t="shared" si="92"/>
        <v>0</v>
      </c>
      <c r="J1187">
        <f t="shared" si="93"/>
        <v>1</v>
      </c>
    </row>
    <row r="1188" spans="1:10" x14ac:dyDescent="0.25">
      <c r="A1188" t="s">
        <v>331</v>
      </c>
      <c r="B1188" t="s">
        <v>126</v>
      </c>
      <c r="C1188" t="s">
        <v>56</v>
      </c>
      <c r="D1188" s="3">
        <v>45668</v>
      </c>
      <c r="E1188" t="str">
        <f>VLOOKUP(B1188,'PROCV GERENTES BD'!A:B,2,0)</f>
        <v>FITZ</v>
      </c>
      <c r="F1188" s="4" t="str">
        <f t="shared" si="94"/>
        <v>2025-01-1</v>
      </c>
      <c r="G1188" t="str">
        <f t="shared" si="90"/>
        <v>FITZ</v>
      </c>
      <c r="H1188" t="str">
        <f t="shared" si="91"/>
        <v>TRANSHENRY TRANSPORTES LTDA</v>
      </c>
      <c r="I1188">
        <f t="shared" si="92"/>
        <v>0</v>
      </c>
      <c r="J1188">
        <f t="shared" si="93"/>
        <v>1</v>
      </c>
    </row>
    <row r="1189" spans="1:10" x14ac:dyDescent="0.25">
      <c r="A1189" t="s">
        <v>436</v>
      </c>
      <c r="B1189" t="s">
        <v>186</v>
      </c>
      <c r="C1189" t="s">
        <v>59</v>
      </c>
      <c r="D1189" s="3">
        <v>45668</v>
      </c>
      <c r="E1189" t="str">
        <f>VLOOKUP(B1189,'PROCV GERENTES BD'!A:B,2,0)</f>
        <v xml:space="preserve">MARCUS VINICIUS </v>
      </c>
      <c r="F1189" s="4" t="str">
        <f t="shared" si="94"/>
        <v>2025-01-1</v>
      </c>
      <c r="G1189" t="str">
        <f t="shared" si="90"/>
        <v xml:space="preserve">MARCUS VINICIUS </v>
      </c>
      <c r="H1189" t="str">
        <f t="shared" si="91"/>
        <v>LABOR ELETRIC INDUSTRIA E COMERCIO UNIPESSOAL LTDA</v>
      </c>
      <c r="I1189">
        <f t="shared" si="92"/>
        <v>0</v>
      </c>
      <c r="J1189">
        <f t="shared" si="93"/>
        <v>0</v>
      </c>
    </row>
    <row r="1190" spans="1:10" x14ac:dyDescent="0.25">
      <c r="A1190" t="s">
        <v>430</v>
      </c>
      <c r="B1190" t="s">
        <v>180</v>
      </c>
      <c r="C1190" t="s">
        <v>56</v>
      </c>
      <c r="D1190" s="3">
        <v>45668</v>
      </c>
      <c r="E1190" t="str">
        <f>VLOOKUP(B1190,'PROCV GERENTES BD'!A:B,2,0)</f>
        <v>NOELI SALETE</v>
      </c>
      <c r="F1190" s="4" t="str">
        <f t="shared" si="94"/>
        <v>2025-01-1</v>
      </c>
      <c r="G1190" t="str">
        <f t="shared" si="90"/>
        <v>NOELI SALETE</v>
      </c>
      <c r="H1190" t="str">
        <f t="shared" si="91"/>
        <v>COMGROUP AGROINDUSTRIAL LTDA</v>
      </c>
      <c r="I1190">
        <f t="shared" si="92"/>
        <v>0</v>
      </c>
      <c r="J1190">
        <f t="shared" si="93"/>
        <v>1</v>
      </c>
    </row>
    <row r="1191" spans="1:10" x14ac:dyDescent="0.25">
      <c r="A1191" t="s">
        <v>427</v>
      </c>
      <c r="B1191" t="s">
        <v>206</v>
      </c>
      <c r="C1191" t="s">
        <v>56</v>
      </c>
      <c r="D1191" s="3">
        <v>45668</v>
      </c>
      <c r="E1191" t="str">
        <f>VLOOKUP(B1191,'PROCV GERENTES BD'!A:B,2,0)</f>
        <v>NOELI SALETE</v>
      </c>
      <c r="F1191" s="4" t="str">
        <f t="shared" si="94"/>
        <v>2025-01-1</v>
      </c>
      <c r="G1191" t="str">
        <f t="shared" si="90"/>
        <v>NOELI SALETE</v>
      </c>
      <c r="H1191" t="str">
        <f t="shared" si="91"/>
        <v>GLOBAL ACO SERV PRODUTOS SIDERURGICOS LTDA RECUPER</v>
      </c>
      <c r="I1191">
        <f t="shared" si="92"/>
        <v>0</v>
      </c>
      <c r="J1191">
        <f t="shared" si="93"/>
        <v>1</v>
      </c>
    </row>
    <row r="1192" spans="1:10" x14ac:dyDescent="0.25">
      <c r="A1192" t="s">
        <v>347</v>
      </c>
      <c r="B1192" t="s">
        <v>93</v>
      </c>
      <c r="C1192" t="s">
        <v>56</v>
      </c>
      <c r="D1192" s="3">
        <v>45668</v>
      </c>
      <c r="E1192" t="str">
        <f>VLOOKUP(B1192,'PROCV GERENTES BD'!A:B,2,0)</f>
        <v>NOELI SALETE</v>
      </c>
      <c r="F1192" s="4" t="str">
        <f t="shared" si="94"/>
        <v>2025-01-1</v>
      </c>
      <c r="G1192" t="str">
        <f t="shared" si="90"/>
        <v>NOELI SALETE</v>
      </c>
      <c r="H1192" t="str">
        <f t="shared" si="91"/>
        <v>RODOBOX TRANSPORTES E ARMAZENAGEM DE CARGAS LTDA</v>
      </c>
      <c r="I1192">
        <f t="shared" si="92"/>
        <v>0</v>
      </c>
      <c r="J1192">
        <f t="shared" si="93"/>
        <v>1</v>
      </c>
    </row>
    <row r="1193" spans="1:10" x14ac:dyDescent="0.25">
      <c r="A1193" t="s">
        <v>402</v>
      </c>
      <c r="B1193" t="s">
        <v>150</v>
      </c>
      <c r="C1193" t="s">
        <v>56</v>
      </c>
      <c r="D1193" s="3">
        <v>45668</v>
      </c>
      <c r="E1193" t="str">
        <f>VLOOKUP(B1193,'PROCV GERENTES BD'!A:B,2,0)</f>
        <v>NOELI SALETE</v>
      </c>
      <c r="F1193" s="4" t="str">
        <f t="shared" si="94"/>
        <v>2025-01-1</v>
      </c>
      <c r="G1193" t="str">
        <f t="shared" si="90"/>
        <v>NOELI SALETE</v>
      </c>
      <c r="H1193" t="str">
        <f t="shared" si="91"/>
        <v>ALBERTO H DA SILVA ME</v>
      </c>
      <c r="I1193">
        <f t="shared" si="92"/>
        <v>0</v>
      </c>
      <c r="J1193">
        <f t="shared" si="93"/>
        <v>1</v>
      </c>
    </row>
    <row r="1194" spans="1:10" x14ac:dyDescent="0.25">
      <c r="A1194" t="s">
        <v>397</v>
      </c>
      <c r="B1194" t="s">
        <v>143</v>
      </c>
      <c r="C1194" t="s">
        <v>72</v>
      </c>
      <c r="D1194" s="3">
        <v>45668</v>
      </c>
      <c r="E1194" t="str">
        <f>VLOOKUP(B1194,'PROCV GERENTES BD'!A:B,2,0)</f>
        <v>POENATELA</v>
      </c>
      <c r="F1194" s="4" t="str">
        <f t="shared" si="94"/>
        <v>2025-01-1</v>
      </c>
      <c r="G1194" t="str">
        <f t="shared" si="90"/>
        <v>POENATELA</v>
      </c>
      <c r="H1194" t="str">
        <f t="shared" si="91"/>
        <v>CONQUISTA INDUSTRIA DE MOVEIS S/A</v>
      </c>
      <c r="I1194">
        <f t="shared" si="92"/>
        <v>1</v>
      </c>
      <c r="J1194">
        <f t="shared" si="93"/>
        <v>0</v>
      </c>
    </row>
    <row r="1195" spans="1:10" x14ac:dyDescent="0.25">
      <c r="A1195" t="s">
        <v>449</v>
      </c>
      <c r="B1195" t="s">
        <v>199</v>
      </c>
      <c r="C1195" t="s">
        <v>72</v>
      </c>
      <c r="D1195" s="3">
        <v>45668</v>
      </c>
      <c r="E1195" t="s">
        <v>25</v>
      </c>
      <c r="F1195" s="4" t="str">
        <f t="shared" si="94"/>
        <v>2025-01-1</v>
      </c>
      <c r="G1195" t="str">
        <f t="shared" si="90"/>
        <v xml:space="preserve">ROGERIO </v>
      </c>
      <c r="H1195" t="str">
        <f t="shared" si="91"/>
        <v>FRUIT INDUSTRIA E COMERCIO LTDA ME</v>
      </c>
      <c r="I1195">
        <f t="shared" si="92"/>
        <v>1</v>
      </c>
      <c r="J1195">
        <f t="shared" si="93"/>
        <v>0</v>
      </c>
    </row>
    <row r="1196" spans="1:10" x14ac:dyDescent="0.25">
      <c r="A1196" t="s">
        <v>332</v>
      </c>
      <c r="B1196" t="s">
        <v>145</v>
      </c>
      <c r="C1196" t="s">
        <v>72</v>
      </c>
      <c r="D1196" s="3">
        <v>45668</v>
      </c>
      <c r="E1196" t="str">
        <f>VLOOKUP(B1196,'PROCV GERENTES BD'!A:B,2,0)</f>
        <v>SEM GERENTE</v>
      </c>
      <c r="F1196" s="4" t="str">
        <f t="shared" si="94"/>
        <v>2025-01-1</v>
      </c>
      <c r="G1196" t="str">
        <f t="shared" si="90"/>
        <v>SEM GERENTE</v>
      </c>
      <c r="H1196" t="str">
        <f t="shared" si="91"/>
        <v>ALLIAGE S A INDUSTRIAS MEDICO ODONTOLOGICA</v>
      </c>
      <c r="I1196">
        <f t="shared" si="92"/>
        <v>1</v>
      </c>
      <c r="J1196">
        <f t="shared" si="93"/>
        <v>0</v>
      </c>
    </row>
    <row r="1197" spans="1:10" x14ac:dyDescent="0.25">
      <c r="A1197" t="s">
        <v>339</v>
      </c>
      <c r="B1197" t="s">
        <v>151</v>
      </c>
      <c r="C1197" t="s">
        <v>56</v>
      </c>
      <c r="D1197" s="3">
        <v>45669</v>
      </c>
      <c r="E1197" t="str">
        <f>VLOOKUP(B1197,'PROCV GERENTES BD'!A:B,2,0)</f>
        <v>ADMINISTRAÇÃO</v>
      </c>
      <c r="F1197" s="4" t="str">
        <f t="shared" si="94"/>
        <v>2025-01-1</v>
      </c>
      <c r="G1197" t="str">
        <f t="shared" si="90"/>
        <v>ADMINISTRAÇÃO</v>
      </c>
      <c r="H1197" t="str">
        <f t="shared" si="91"/>
        <v>BOM PASTOR PAPEIS LTDA EM RECUPERACAO JUDICIAL</v>
      </c>
      <c r="I1197">
        <f t="shared" si="92"/>
        <v>0</v>
      </c>
      <c r="J1197">
        <f t="shared" si="93"/>
        <v>1</v>
      </c>
    </row>
    <row r="1198" spans="1:10" x14ac:dyDescent="0.25">
      <c r="A1198" t="s">
        <v>390</v>
      </c>
      <c r="B1198" t="s">
        <v>136</v>
      </c>
      <c r="C1198" t="s">
        <v>72</v>
      </c>
      <c r="D1198" s="3">
        <v>45669</v>
      </c>
      <c r="E1198" t="str">
        <f>VLOOKUP(B1198,'PROCV GERENTES BD'!A:B,2,0)</f>
        <v>ADMINISTRAÇÃO</v>
      </c>
      <c r="F1198" s="4" t="str">
        <f t="shared" si="94"/>
        <v>2025-01-1</v>
      </c>
      <c r="G1198" t="str">
        <f t="shared" si="90"/>
        <v>ADMINISTRAÇÃO</v>
      </c>
      <c r="H1198" t="str">
        <f t="shared" si="91"/>
        <v>XEQUE MATE BEBIDAS LTDA ME</v>
      </c>
      <c r="I1198">
        <f t="shared" si="92"/>
        <v>1</v>
      </c>
      <c r="J1198">
        <f t="shared" si="93"/>
        <v>0</v>
      </c>
    </row>
    <row r="1199" spans="1:10" x14ac:dyDescent="0.25">
      <c r="A1199" t="s">
        <v>380</v>
      </c>
      <c r="B1199" t="s">
        <v>123</v>
      </c>
      <c r="C1199" t="s">
        <v>56</v>
      </c>
      <c r="D1199" s="3">
        <v>45669</v>
      </c>
      <c r="E1199" t="str">
        <f>VLOOKUP(B1199,'PROCV GERENTES BD'!A:B,2,0)</f>
        <v>ANTONIO CARLOS</v>
      </c>
      <c r="F1199" s="4" t="str">
        <f t="shared" si="94"/>
        <v>2025-01-1</v>
      </c>
      <c r="G1199" t="str">
        <f t="shared" si="90"/>
        <v>ANTONIO CARLOS</v>
      </c>
      <c r="H1199" t="str">
        <f t="shared" si="91"/>
        <v>PREMOLDADOS MATOSINHOS LTDA EPP</v>
      </c>
      <c r="I1199">
        <f t="shared" si="92"/>
        <v>0</v>
      </c>
      <c r="J1199">
        <f t="shared" si="93"/>
        <v>1</v>
      </c>
    </row>
    <row r="1200" spans="1:10" x14ac:dyDescent="0.25">
      <c r="A1200" t="s">
        <v>381</v>
      </c>
      <c r="B1200" t="s">
        <v>124</v>
      </c>
      <c r="C1200" t="s">
        <v>56</v>
      </c>
      <c r="D1200" s="3">
        <v>45669</v>
      </c>
      <c r="E1200" t="str">
        <f>VLOOKUP(B1200,'PROCV GERENTES BD'!A:B,2,0)</f>
        <v>ANTONIO CARLOS</v>
      </c>
      <c r="F1200" s="4" t="str">
        <f t="shared" si="94"/>
        <v>2025-01-1</v>
      </c>
      <c r="G1200" t="str">
        <f t="shared" si="90"/>
        <v>ANTONIO CARLOS</v>
      </c>
      <c r="H1200" t="str">
        <f t="shared" si="91"/>
        <v>VIVAN TRANSPORTES LTDA</v>
      </c>
      <c r="I1200">
        <f t="shared" si="92"/>
        <v>0</v>
      </c>
      <c r="J1200">
        <f t="shared" si="93"/>
        <v>1</v>
      </c>
    </row>
    <row r="1201" spans="1:10" x14ac:dyDescent="0.25">
      <c r="A1201" t="s">
        <v>450</v>
      </c>
      <c r="B1201" t="s">
        <v>200</v>
      </c>
      <c r="C1201" t="s">
        <v>72</v>
      </c>
      <c r="D1201" s="3">
        <v>45669</v>
      </c>
      <c r="E1201" t="str">
        <f>VLOOKUP(B1201,'PROCV GERENTES BD'!A:B,2,0)</f>
        <v>CELIO PIMENTA</v>
      </c>
      <c r="F1201" s="4" t="str">
        <f t="shared" si="94"/>
        <v>2025-01-1</v>
      </c>
      <c r="G1201" t="str">
        <f t="shared" si="90"/>
        <v>CELIO PIMENTA</v>
      </c>
      <c r="H1201" t="str">
        <f t="shared" si="91"/>
        <v>CIA TEXTIL LTDA ME</v>
      </c>
      <c r="I1201">
        <f t="shared" si="92"/>
        <v>1</v>
      </c>
      <c r="J1201">
        <f t="shared" si="93"/>
        <v>0</v>
      </c>
    </row>
    <row r="1202" spans="1:10" x14ac:dyDescent="0.25">
      <c r="A1202" t="s">
        <v>331</v>
      </c>
      <c r="B1202" t="s">
        <v>126</v>
      </c>
      <c r="C1202" t="s">
        <v>56</v>
      </c>
      <c r="D1202" s="3">
        <v>45669</v>
      </c>
      <c r="E1202" t="str">
        <f>VLOOKUP(B1202,'PROCV GERENTES BD'!A:B,2,0)</f>
        <v>FITZ</v>
      </c>
      <c r="F1202" s="4" t="str">
        <f t="shared" si="94"/>
        <v>2025-01-1</v>
      </c>
      <c r="G1202" t="str">
        <f t="shared" si="90"/>
        <v>FITZ</v>
      </c>
      <c r="H1202" t="str">
        <f t="shared" si="91"/>
        <v>TRANSHENRY TRANSPORTES LTDA</v>
      </c>
      <c r="I1202">
        <f t="shared" si="92"/>
        <v>0</v>
      </c>
      <c r="J1202">
        <f t="shared" si="93"/>
        <v>1</v>
      </c>
    </row>
    <row r="1203" spans="1:10" x14ac:dyDescent="0.25">
      <c r="A1203" t="s">
        <v>330</v>
      </c>
      <c r="B1203" t="s">
        <v>116</v>
      </c>
      <c r="C1203" t="s">
        <v>56</v>
      </c>
      <c r="D1203" s="3">
        <v>45669</v>
      </c>
      <c r="E1203" t="str">
        <f>VLOOKUP(B1203,'PROCV GERENTES BD'!A:B,2,0)</f>
        <v>FITZ</v>
      </c>
      <c r="F1203" s="4" t="str">
        <f t="shared" si="94"/>
        <v>2025-01-1</v>
      </c>
      <c r="G1203" t="str">
        <f t="shared" si="90"/>
        <v>FITZ</v>
      </c>
      <c r="H1203" t="str">
        <f t="shared" si="91"/>
        <v>SIAP COMERCIO DE PRODUTOS AGROPECUARIOS LTDA</v>
      </c>
      <c r="I1203">
        <f t="shared" si="92"/>
        <v>0</v>
      </c>
      <c r="J1203">
        <f t="shared" si="93"/>
        <v>1</v>
      </c>
    </row>
    <row r="1204" spans="1:10" x14ac:dyDescent="0.25">
      <c r="A1204" t="s">
        <v>403</v>
      </c>
      <c r="B1204" t="s">
        <v>152</v>
      </c>
      <c r="C1204" t="s">
        <v>56</v>
      </c>
      <c r="D1204" s="3">
        <v>45669</v>
      </c>
      <c r="E1204" t="str">
        <f>VLOOKUP(B1204,'PROCV GERENTES BD'!A:B,2,0)</f>
        <v>MARCIO LEONEL</v>
      </c>
      <c r="F1204" s="4" t="str">
        <f t="shared" si="94"/>
        <v>2025-01-1</v>
      </c>
      <c r="G1204" t="str">
        <f t="shared" si="90"/>
        <v>MARCIO LEONEL</v>
      </c>
      <c r="H1204" t="str">
        <f t="shared" si="91"/>
        <v>MEDICAL PRIME IMP EXPORT DISTRIB PRODUTOS MEDICOS</v>
      </c>
      <c r="I1204">
        <f t="shared" si="92"/>
        <v>0</v>
      </c>
      <c r="J1204">
        <f t="shared" si="93"/>
        <v>1</v>
      </c>
    </row>
    <row r="1205" spans="1:10" x14ac:dyDescent="0.25">
      <c r="A1205" t="s">
        <v>436</v>
      </c>
      <c r="B1205" t="s">
        <v>186</v>
      </c>
      <c r="C1205" t="s">
        <v>56</v>
      </c>
      <c r="D1205" s="3">
        <v>45669</v>
      </c>
      <c r="E1205" t="str">
        <f>VLOOKUP(B1205,'PROCV GERENTES BD'!A:B,2,0)</f>
        <v xml:space="preserve">MARCUS VINICIUS </v>
      </c>
      <c r="F1205" s="4" t="str">
        <f t="shared" si="94"/>
        <v>2025-01-1</v>
      </c>
      <c r="G1205" t="str">
        <f t="shared" si="90"/>
        <v xml:space="preserve">MARCUS VINICIUS </v>
      </c>
      <c r="H1205" t="str">
        <f t="shared" si="91"/>
        <v>LABOR ELETRIC INDUSTRIA E COMERCIO UNIPESSOAL LTDA</v>
      </c>
      <c r="I1205">
        <f t="shared" si="92"/>
        <v>0</v>
      </c>
      <c r="J1205">
        <f t="shared" si="93"/>
        <v>1</v>
      </c>
    </row>
    <row r="1206" spans="1:10" x14ac:dyDescent="0.25">
      <c r="A1206" t="s">
        <v>427</v>
      </c>
      <c r="B1206" t="s">
        <v>206</v>
      </c>
      <c r="C1206" t="s">
        <v>56</v>
      </c>
      <c r="D1206" s="3">
        <v>45669</v>
      </c>
      <c r="E1206" t="str">
        <f>VLOOKUP(B1206,'PROCV GERENTES BD'!A:B,2,0)</f>
        <v>NOELI SALETE</v>
      </c>
      <c r="F1206" s="4" t="str">
        <f t="shared" si="94"/>
        <v>2025-01-1</v>
      </c>
      <c r="G1206" t="str">
        <f t="shared" si="90"/>
        <v>NOELI SALETE</v>
      </c>
      <c r="H1206" t="str">
        <f t="shared" si="91"/>
        <v>GLOBAL ACO SERV PRODUTOS SIDERURGICOS LTDA RECUPER</v>
      </c>
      <c r="I1206">
        <f t="shared" si="92"/>
        <v>0</v>
      </c>
      <c r="J1206">
        <f t="shared" si="93"/>
        <v>1</v>
      </c>
    </row>
    <row r="1207" spans="1:10" x14ac:dyDescent="0.25">
      <c r="A1207" t="s">
        <v>347</v>
      </c>
      <c r="B1207" t="s">
        <v>93</v>
      </c>
      <c r="C1207" t="s">
        <v>56</v>
      </c>
      <c r="D1207" s="3">
        <v>45669</v>
      </c>
      <c r="E1207" t="str">
        <f>VLOOKUP(B1207,'PROCV GERENTES BD'!A:B,2,0)</f>
        <v>NOELI SALETE</v>
      </c>
      <c r="F1207" s="4" t="str">
        <f t="shared" si="94"/>
        <v>2025-01-1</v>
      </c>
      <c r="G1207" t="str">
        <f t="shared" si="90"/>
        <v>NOELI SALETE</v>
      </c>
      <c r="H1207" t="str">
        <f t="shared" si="91"/>
        <v>RODOBOX TRANSPORTES E ARMAZENAGEM DE CARGAS LTDA</v>
      </c>
      <c r="I1207">
        <f t="shared" si="92"/>
        <v>0</v>
      </c>
      <c r="J1207">
        <f t="shared" si="93"/>
        <v>1</v>
      </c>
    </row>
    <row r="1208" spans="1:10" x14ac:dyDescent="0.25">
      <c r="A1208" t="s">
        <v>446</v>
      </c>
      <c r="B1208" t="s">
        <v>196</v>
      </c>
      <c r="C1208" t="s">
        <v>56</v>
      </c>
      <c r="D1208" s="3">
        <v>45669</v>
      </c>
      <c r="E1208" t="str">
        <f>VLOOKUP(B1208,'PROCV GERENTES BD'!A:B,2,0)</f>
        <v>NOELI SALETE</v>
      </c>
      <c r="F1208" s="4" t="str">
        <f t="shared" si="94"/>
        <v>2025-01-1</v>
      </c>
      <c r="G1208" t="str">
        <f t="shared" si="90"/>
        <v>NOELI SALETE</v>
      </c>
      <c r="H1208" t="str">
        <f t="shared" si="91"/>
        <v>AGRO INDUSTRIAL LAZZERI LTDA</v>
      </c>
      <c r="I1208">
        <f t="shared" si="92"/>
        <v>0</v>
      </c>
      <c r="J1208">
        <f t="shared" si="93"/>
        <v>1</v>
      </c>
    </row>
    <row r="1209" spans="1:10" x14ac:dyDescent="0.25">
      <c r="A1209" t="s">
        <v>397</v>
      </c>
      <c r="B1209" t="s">
        <v>143</v>
      </c>
      <c r="C1209" t="s">
        <v>72</v>
      </c>
      <c r="D1209" s="3">
        <v>45669</v>
      </c>
      <c r="E1209" t="str">
        <f>VLOOKUP(B1209,'PROCV GERENTES BD'!A:B,2,0)</f>
        <v>POENATELA</v>
      </c>
      <c r="F1209" s="4" t="str">
        <f t="shared" si="94"/>
        <v>2025-01-1</v>
      </c>
      <c r="G1209" t="str">
        <f t="shared" si="90"/>
        <v>POENATELA</v>
      </c>
      <c r="H1209" t="str">
        <f t="shared" si="91"/>
        <v>CONQUISTA INDUSTRIA DE MOVEIS S/A</v>
      </c>
      <c r="I1209">
        <f t="shared" si="92"/>
        <v>1</v>
      </c>
      <c r="J1209">
        <f t="shared" si="93"/>
        <v>0</v>
      </c>
    </row>
    <row r="1210" spans="1:10" x14ac:dyDescent="0.25">
      <c r="A1210" t="s">
        <v>428</v>
      </c>
      <c r="B1210" t="s">
        <v>177</v>
      </c>
      <c r="C1210" t="s">
        <v>56</v>
      </c>
      <c r="D1210" s="3">
        <v>45669</v>
      </c>
      <c r="E1210" t="str">
        <f>VLOOKUP(B1210,'PROCV GERENTES BD'!A:B,2,0)</f>
        <v>POENATELA</v>
      </c>
      <c r="F1210" s="4" t="str">
        <f t="shared" si="94"/>
        <v>2025-01-1</v>
      </c>
      <c r="G1210" t="str">
        <f t="shared" si="90"/>
        <v>POENATELA</v>
      </c>
      <c r="H1210" t="str">
        <f t="shared" si="91"/>
        <v>SAVIXX COMERCIO INTERNACIONAL S/A</v>
      </c>
      <c r="I1210">
        <f t="shared" si="92"/>
        <v>0</v>
      </c>
      <c r="J1210">
        <f t="shared" si="93"/>
        <v>1</v>
      </c>
    </row>
    <row r="1211" spans="1:10" x14ac:dyDescent="0.25">
      <c r="A1211" t="s">
        <v>354</v>
      </c>
      <c r="B1211" t="s">
        <v>97</v>
      </c>
      <c r="C1211" t="s">
        <v>56</v>
      </c>
      <c r="D1211" s="3">
        <v>45669</v>
      </c>
      <c r="E1211" t="str">
        <f>VLOOKUP(B1211,'PROCV GERENTES BD'!A:B,2,0)</f>
        <v>POENATELA</v>
      </c>
      <c r="F1211" s="4" t="str">
        <f t="shared" si="94"/>
        <v>2025-01-1</v>
      </c>
      <c r="G1211" t="str">
        <f t="shared" si="90"/>
        <v>POENATELA</v>
      </c>
      <c r="H1211" t="str">
        <f t="shared" si="91"/>
        <v>UBERTEC SERVICE USINAGEM LTDA EPP</v>
      </c>
      <c r="I1211">
        <f t="shared" si="92"/>
        <v>0</v>
      </c>
      <c r="J1211">
        <f t="shared" si="93"/>
        <v>1</v>
      </c>
    </row>
    <row r="1212" spans="1:10" x14ac:dyDescent="0.25">
      <c r="A1212" t="s">
        <v>417</v>
      </c>
      <c r="B1212" t="s">
        <v>166</v>
      </c>
      <c r="C1212" t="s">
        <v>56</v>
      </c>
      <c r="D1212" s="3">
        <v>45669</v>
      </c>
      <c r="E1212" t="str">
        <f>VLOOKUP(B1212,'PROCV GERENTES BD'!A:B,2,0)</f>
        <v>RAFAEL PARISE</v>
      </c>
      <c r="F1212" s="4" t="str">
        <f t="shared" si="94"/>
        <v>2025-01-1</v>
      </c>
      <c r="G1212" t="str">
        <f t="shared" si="90"/>
        <v>RAFAEL PARISE</v>
      </c>
      <c r="H1212" t="str">
        <f t="shared" si="91"/>
        <v>OXIGAS RESIDUOS ESPECIAIS LTDA EPP</v>
      </c>
      <c r="I1212">
        <f t="shared" si="92"/>
        <v>0</v>
      </c>
      <c r="J1212">
        <f t="shared" si="93"/>
        <v>1</v>
      </c>
    </row>
    <row r="1213" spans="1:10" x14ac:dyDescent="0.25">
      <c r="A1213" t="s">
        <v>57</v>
      </c>
      <c r="B1213" t="s">
        <v>58</v>
      </c>
      <c r="C1213" t="s">
        <v>56</v>
      </c>
      <c r="D1213" s="3">
        <v>45669</v>
      </c>
      <c r="E1213" t="str">
        <f>VLOOKUP(B1213,'PROCV GERENTES BD'!A:B,2,0)</f>
        <v>RAFAEL PARISE</v>
      </c>
      <c r="F1213" s="4" t="str">
        <f t="shared" si="94"/>
        <v>2025-01-1</v>
      </c>
      <c r="G1213" t="str">
        <f t="shared" si="90"/>
        <v>RAFAEL PARISE</v>
      </c>
      <c r="H1213" t="str">
        <f t="shared" si="91"/>
        <v>TDR TRANSPORTES LOGISTICA LTDA</v>
      </c>
      <c r="I1213">
        <f t="shared" si="92"/>
        <v>0</v>
      </c>
      <c r="J1213">
        <f t="shared" si="93"/>
        <v>1</v>
      </c>
    </row>
    <row r="1214" spans="1:10" x14ac:dyDescent="0.25">
      <c r="A1214" t="s">
        <v>82</v>
      </c>
      <c r="B1214" t="s">
        <v>83</v>
      </c>
      <c r="C1214" t="s">
        <v>56</v>
      </c>
      <c r="D1214" s="3">
        <v>45669</v>
      </c>
      <c r="E1214" t="str">
        <f>VLOOKUP(B1214,'PROCV GERENTES BD'!A:B,2,0)</f>
        <v>RAFAEL PARISE</v>
      </c>
      <c r="F1214" s="4" t="str">
        <f t="shared" si="94"/>
        <v>2025-01-1</v>
      </c>
      <c r="G1214" t="str">
        <f t="shared" si="90"/>
        <v>RAFAEL PARISE</v>
      </c>
      <c r="H1214" t="str">
        <f t="shared" si="91"/>
        <v>UNITA AUTO PECAS LTDA EPP</v>
      </c>
      <c r="I1214">
        <f t="shared" si="92"/>
        <v>0</v>
      </c>
      <c r="J1214">
        <f t="shared" si="93"/>
        <v>1</v>
      </c>
    </row>
    <row r="1215" spans="1:10" x14ac:dyDescent="0.25">
      <c r="A1215" t="s">
        <v>437</v>
      </c>
      <c r="B1215" t="s">
        <v>187</v>
      </c>
      <c r="C1215" t="s">
        <v>72</v>
      </c>
      <c r="D1215" s="3">
        <v>45669</v>
      </c>
      <c r="E1215" t="s">
        <v>25</v>
      </c>
      <c r="F1215" s="4" t="str">
        <f t="shared" si="94"/>
        <v>2025-01-1</v>
      </c>
      <c r="G1215" t="str">
        <f t="shared" si="90"/>
        <v xml:space="preserve">ROGERIO </v>
      </c>
      <c r="H1215" t="str">
        <f t="shared" si="91"/>
        <v>ENCADESP LTDA ME</v>
      </c>
      <c r="I1215">
        <f t="shared" si="92"/>
        <v>1</v>
      </c>
      <c r="J1215">
        <f t="shared" si="93"/>
        <v>0</v>
      </c>
    </row>
    <row r="1216" spans="1:10" x14ac:dyDescent="0.25">
      <c r="A1216" t="s">
        <v>455</v>
      </c>
      <c r="B1216" t="s">
        <v>207</v>
      </c>
      <c r="C1216" t="s">
        <v>56</v>
      </c>
      <c r="D1216" s="3">
        <v>45669</v>
      </c>
      <c r="E1216" t="s">
        <v>25</v>
      </c>
      <c r="F1216" s="4" t="str">
        <f t="shared" si="94"/>
        <v>2025-01-1</v>
      </c>
      <c r="G1216" t="str">
        <f t="shared" si="90"/>
        <v xml:space="preserve">ROGERIO </v>
      </c>
      <c r="H1216" t="str">
        <f t="shared" si="91"/>
        <v>ORTHOSIDE INDUSTRIA E COMERCIO LTDA EPP</v>
      </c>
      <c r="I1216">
        <f t="shared" si="92"/>
        <v>0</v>
      </c>
      <c r="J1216">
        <f t="shared" si="93"/>
        <v>1</v>
      </c>
    </row>
    <row r="1217" spans="1:10" x14ac:dyDescent="0.25">
      <c r="A1217" t="s">
        <v>387</v>
      </c>
      <c r="B1217" t="s">
        <v>133</v>
      </c>
      <c r="C1217" t="s">
        <v>56</v>
      </c>
      <c r="D1217" s="3">
        <v>45672</v>
      </c>
      <c r="E1217" t="str">
        <f>VLOOKUP(B1217,'PROCV GERENTES BD'!A:B,2,0)</f>
        <v>ADMINISTRAÇÃO</v>
      </c>
      <c r="F1217" s="4" t="str">
        <f t="shared" si="94"/>
        <v>2025-01-1</v>
      </c>
      <c r="G1217" t="str">
        <f t="shared" si="90"/>
        <v>ADMINISTRAÇÃO</v>
      </c>
      <c r="H1217" t="str">
        <f t="shared" si="91"/>
        <v>ENXOVAIS MINAS LTDA ME</v>
      </c>
      <c r="I1217">
        <f t="shared" si="92"/>
        <v>0</v>
      </c>
      <c r="J1217">
        <f t="shared" si="93"/>
        <v>1</v>
      </c>
    </row>
    <row r="1218" spans="1:10" x14ac:dyDescent="0.25">
      <c r="A1218" t="s">
        <v>453</v>
      </c>
      <c r="B1218" t="s">
        <v>204</v>
      </c>
      <c r="C1218" t="s">
        <v>336</v>
      </c>
      <c r="D1218" s="3">
        <v>45672</v>
      </c>
      <c r="E1218" t="str">
        <f>VLOOKUP(B1218,'PROCV GERENTES BD'!A:B,2,0)</f>
        <v>ADMINISTRAÇÃO</v>
      </c>
      <c r="F1218" s="4" t="str">
        <f t="shared" si="94"/>
        <v>2025-01-1</v>
      </c>
      <c r="G1218" t="str">
        <f t="shared" ref="G1218:G1281" si="95">E1218</f>
        <v>ADMINISTRAÇÃO</v>
      </c>
      <c r="H1218" t="str">
        <f t="shared" ref="H1218:H1281" si="96">B1218</f>
        <v>FARBIA CHEMICALS COMERCIO IMPORTACAO E EXPORTACAO</v>
      </c>
      <c r="I1218">
        <f t="shared" ref="I1218:I1281" si="97">IF(C1218="EXCLUSAO  ANOT.INADIMPLENCIA",1,0)</f>
        <v>0</v>
      </c>
      <c r="J1218">
        <f t="shared" ref="J1218:J1281" si="98">IF(C1218="INCLUSAO  ANOT.INADIMPLENCIA",1,0)</f>
        <v>0</v>
      </c>
    </row>
    <row r="1219" spans="1:10" x14ac:dyDescent="0.25">
      <c r="A1219" t="s">
        <v>326</v>
      </c>
      <c r="B1219" t="s">
        <v>86</v>
      </c>
      <c r="C1219" t="s">
        <v>59</v>
      </c>
      <c r="D1219" s="3">
        <v>45672</v>
      </c>
      <c r="E1219" t="str">
        <f>VLOOKUP(B1219,'PROCV GERENTES BD'!A:B,2,0)</f>
        <v>CELIO PIMENTA</v>
      </c>
      <c r="F1219" s="4" t="str">
        <f t="shared" ref="F1219:F1282" si="99">YEAR(D1219)&amp;"-"&amp;TEXT(MONTH(D1219),"00")&amp;"-"&amp;IF(DAY(D1219)&lt;=15,"1",IF(DAY(D1219)&gt;15,"2",""))</f>
        <v>2025-01-1</v>
      </c>
      <c r="G1219" t="str">
        <f t="shared" si="95"/>
        <v>CELIO PIMENTA</v>
      </c>
      <c r="H1219" t="str">
        <f t="shared" si="96"/>
        <v>IMPORTEXTIL COMERCIO DE TECIDOS LTDA</v>
      </c>
      <c r="I1219">
        <f t="shared" si="97"/>
        <v>0</v>
      </c>
      <c r="J1219">
        <f t="shared" si="98"/>
        <v>0</v>
      </c>
    </row>
    <row r="1220" spans="1:10" x14ac:dyDescent="0.25">
      <c r="A1220" t="s">
        <v>331</v>
      </c>
      <c r="B1220" t="s">
        <v>126</v>
      </c>
      <c r="C1220" t="s">
        <v>56</v>
      </c>
      <c r="D1220" s="3">
        <v>45672</v>
      </c>
      <c r="E1220" t="str">
        <f>VLOOKUP(B1220,'PROCV GERENTES BD'!A:B,2,0)</f>
        <v>FITZ</v>
      </c>
      <c r="F1220" s="4" t="str">
        <f t="shared" si="99"/>
        <v>2025-01-1</v>
      </c>
      <c r="G1220" t="str">
        <f t="shared" si="95"/>
        <v>FITZ</v>
      </c>
      <c r="H1220" t="str">
        <f t="shared" si="96"/>
        <v>TRANSHENRY TRANSPORTES LTDA</v>
      </c>
      <c r="I1220">
        <f t="shared" si="97"/>
        <v>0</v>
      </c>
      <c r="J1220">
        <f t="shared" si="98"/>
        <v>1</v>
      </c>
    </row>
    <row r="1221" spans="1:10" x14ac:dyDescent="0.25">
      <c r="A1221" t="s">
        <v>403</v>
      </c>
      <c r="B1221" t="s">
        <v>152</v>
      </c>
      <c r="C1221" t="s">
        <v>72</v>
      </c>
      <c r="D1221" s="3">
        <v>45672</v>
      </c>
      <c r="E1221" t="str">
        <f>VLOOKUP(B1221,'PROCV GERENTES BD'!A:B,2,0)</f>
        <v>MARCIO LEONEL</v>
      </c>
      <c r="F1221" s="4" t="str">
        <f t="shared" si="99"/>
        <v>2025-01-1</v>
      </c>
      <c r="G1221" t="str">
        <f t="shared" si="95"/>
        <v>MARCIO LEONEL</v>
      </c>
      <c r="H1221" t="str">
        <f t="shared" si="96"/>
        <v>MEDICAL PRIME IMP EXPORT DISTRIB PRODUTOS MEDICOS</v>
      </c>
      <c r="I1221">
        <f t="shared" si="97"/>
        <v>1</v>
      </c>
      <c r="J1221">
        <f t="shared" si="98"/>
        <v>0</v>
      </c>
    </row>
    <row r="1222" spans="1:10" x14ac:dyDescent="0.25">
      <c r="A1222" t="s">
        <v>436</v>
      </c>
      <c r="B1222" t="s">
        <v>186</v>
      </c>
      <c r="C1222" t="s">
        <v>59</v>
      </c>
      <c r="D1222" s="3">
        <v>45672</v>
      </c>
      <c r="E1222" t="str">
        <f>VLOOKUP(B1222,'PROCV GERENTES BD'!A:B,2,0)</f>
        <v xml:space="preserve">MARCUS VINICIUS </v>
      </c>
      <c r="F1222" s="4" t="str">
        <f t="shared" si="99"/>
        <v>2025-01-1</v>
      </c>
      <c r="G1222" t="str">
        <f t="shared" si="95"/>
        <v xml:space="preserve">MARCUS VINICIUS </v>
      </c>
      <c r="H1222" t="str">
        <f t="shared" si="96"/>
        <v>LABOR ELETRIC INDUSTRIA E COMERCIO UNIPESSOAL LTDA</v>
      </c>
      <c r="I1222">
        <f t="shared" si="97"/>
        <v>0</v>
      </c>
      <c r="J1222">
        <f t="shared" si="98"/>
        <v>0</v>
      </c>
    </row>
    <row r="1223" spans="1:10" x14ac:dyDescent="0.25">
      <c r="A1223" t="s">
        <v>347</v>
      </c>
      <c r="B1223" t="s">
        <v>93</v>
      </c>
      <c r="C1223" t="s">
        <v>56</v>
      </c>
      <c r="D1223" s="3">
        <v>45672</v>
      </c>
      <c r="E1223" t="str">
        <f>VLOOKUP(B1223,'PROCV GERENTES BD'!A:B,2,0)</f>
        <v>NOELI SALETE</v>
      </c>
      <c r="F1223" s="4" t="str">
        <f t="shared" si="99"/>
        <v>2025-01-1</v>
      </c>
      <c r="G1223" t="str">
        <f t="shared" si="95"/>
        <v>NOELI SALETE</v>
      </c>
      <c r="H1223" t="str">
        <f t="shared" si="96"/>
        <v>RODOBOX TRANSPORTES E ARMAZENAGEM DE CARGAS LTDA</v>
      </c>
      <c r="I1223">
        <f t="shared" si="97"/>
        <v>0</v>
      </c>
      <c r="J1223">
        <f t="shared" si="98"/>
        <v>1</v>
      </c>
    </row>
    <row r="1224" spans="1:10" x14ac:dyDescent="0.25">
      <c r="A1224" t="s">
        <v>402</v>
      </c>
      <c r="B1224" t="s">
        <v>150</v>
      </c>
      <c r="C1224" t="s">
        <v>56</v>
      </c>
      <c r="D1224" s="3">
        <v>45672</v>
      </c>
      <c r="E1224" t="str">
        <f>VLOOKUP(B1224,'PROCV GERENTES BD'!A:B,2,0)</f>
        <v>NOELI SALETE</v>
      </c>
      <c r="F1224" s="4" t="str">
        <f t="shared" si="99"/>
        <v>2025-01-1</v>
      </c>
      <c r="G1224" t="str">
        <f t="shared" si="95"/>
        <v>NOELI SALETE</v>
      </c>
      <c r="H1224" t="str">
        <f t="shared" si="96"/>
        <v>ALBERTO H DA SILVA ME</v>
      </c>
      <c r="I1224">
        <f t="shared" si="97"/>
        <v>0</v>
      </c>
      <c r="J1224">
        <f t="shared" si="98"/>
        <v>1</v>
      </c>
    </row>
    <row r="1225" spans="1:10" x14ac:dyDescent="0.25">
      <c r="A1225" t="s">
        <v>354</v>
      </c>
      <c r="B1225" t="s">
        <v>97</v>
      </c>
      <c r="C1225" t="s">
        <v>72</v>
      </c>
      <c r="D1225" s="3">
        <v>45672</v>
      </c>
      <c r="E1225" t="str">
        <f>VLOOKUP(B1225,'PROCV GERENTES BD'!A:B,2,0)</f>
        <v>POENATELA</v>
      </c>
      <c r="F1225" s="4" t="str">
        <f t="shared" si="99"/>
        <v>2025-01-1</v>
      </c>
      <c r="G1225" t="str">
        <f t="shared" si="95"/>
        <v>POENATELA</v>
      </c>
      <c r="H1225" t="str">
        <f t="shared" si="96"/>
        <v>UBERTEC SERVICE USINAGEM LTDA EPP</v>
      </c>
      <c r="I1225">
        <f t="shared" si="97"/>
        <v>1</v>
      </c>
      <c r="J1225">
        <f t="shared" si="98"/>
        <v>0</v>
      </c>
    </row>
    <row r="1226" spans="1:10" x14ac:dyDescent="0.25">
      <c r="A1226" t="s">
        <v>456</v>
      </c>
      <c r="B1226" t="s">
        <v>208</v>
      </c>
      <c r="C1226" t="s">
        <v>56</v>
      </c>
      <c r="D1226" s="3">
        <v>45672</v>
      </c>
      <c r="E1226" t="str">
        <f>VLOOKUP(B1226,'PROCV GERENTES BD'!A:B,2,0)</f>
        <v>PRISCILA METZ</v>
      </c>
      <c r="F1226" s="4" t="str">
        <f t="shared" si="99"/>
        <v>2025-01-1</v>
      </c>
      <c r="G1226" t="str">
        <f t="shared" si="95"/>
        <v>PRISCILA METZ</v>
      </c>
      <c r="H1226" t="str">
        <f t="shared" si="96"/>
        <v>M TRATORES LTDA EPP</v>
      </c>
      <c r="I1226">
        <f t="shared" si="97"/>
        <v>0</v>
      </c>
      <c r="J1226">
        <f t="shared" si="98"/>
        <v>1</v>
      </c>
    </row>
    <row r="1227" spans="1:10" x14ac:dyDescent="0.25">
      <c r="A1227" t="s">
        <v>432</v>
      </c>
      <c r="B1227" t="s">
        <v>209</v>
      </c>
      <c r="C1227" t="s">
        <v>336</v>
      </c>
      <c r="D1227" s="3">
        <v>45672</v>
      </c>
      <c r="E1227" t="str">
        <f>VLOOKUP(B1227,'PROCV GERENTES BD'!A:B,2,0)</f>
        <v>RAFAEL PARISE</v>
      </c>
      <c r="F1227" s="4" t="str">
        <f t="shared" si="99"/>
        <v>2025-01-1</v>
      </c>
      <c r="G1227" t="str">
        <f t="shared" si="95"/>
        <v>RAFAEL PARISE</v>
      </c>
      <c r="H1227" t="str">
        <f t="shared" si="96"/>
        <v>FRUTAS JARDINS LTDA</v>
      </c>
      <c r="I1227">
        <f t="shared" si="97"/>
        <v>0</v>
      </c>
      <c r="J1227">
        <f t="shared" si="98"/>
        <v>0</v>
      </c>
    </row>
    <row r="1228" spans="1:10" x14ac:dyDescent="0.25">
      <c r="A1228" t="s">
        <v>57</v>
      </c>
      <c r="B1228" t="s">
        <v>58</v>
      </c>
      <c r="C1228" t="s">
        <v>72</v>
      </c>
      <c r="D1228" s="3">
        <v>45672</v>
      </c>
      <c r="E1228" t="str">
        <f>VLOOKUP(B1228,'PROCV GERENTES BD'!A:B,2,0)</f>
        <v>RAFAEL PARISE</v>
      </c>
      <c r="F1228" s="4" t="str">
        <f t="shared" si="99"/>
        <v>2025-01-1</v>
      </c>
      <c r="G1228" t="str">
        <f t="shared" si="95"/>
        <v>RAFAEL PARISE</v>
      </c>
      <c r="H1228" t="str">
        <f t="shared" si="96"/>
        <v>TDR TRANSPORTES LOGISTICA LTDA</v>
      </c>
      <c r="I1228">
        <f t="shared" si="97"/>
        <v>1</v>
      </c>
      <c r="J1228">
        <f t="shared" si="98"/>
        <v>0</v>
      </c>
    </row>
    <row r="1229" spans="1:10" x14ac:dyDescent="0.25">
      <c r="A1229" t="s">
        <v>82</v>
      </c>
      <c r="B1229" t="s">
        <v>83</v>
      </c>
      <c r="C1229" t="s">
        <v>72</v>
      </c>
      <c r="D1229" s="3">
        <v>45672</v>
      </c>
      <c r="E1229" t="str">
        <f>VLOOKUP(B1229,'PROCV GERENTES BD'!A:B,2,0)</f>
        <v>RAFAEL PARISE</v>
      </c>
      <c r="F1229" s="4" t="str">
        <f t="shared" si="99"/>
        <v>2025-01-1</v>
      </c>
      <c r="G1229" t="str">
        <f t="shared" si="95"/>
        <v>RAFAEL PARISE</v>
      </c>
      <c r="H1229" t="str">
        <f t="shared" si="96"/>
        <v>UNITA AUTO PECAS LTDA EPP</v>
      </c>
      <c r="I1229">
        <f t="shared" si="97"/>
        <v>1</v>
      </c>
      <c r="J1229">
        <f t="shared" si="98"/>
        <v>0</v>
      </c>
    </row>
    <row r="1230" spans="1:10" x14ac:dyDescent="0.25">
      <c r="A1230" t="s">
        <v>439</v>
      </c>
      <c r="B1230" t="s">
        <v>203</v>
      </c>
      <c r="C1230" t="s">
        <v>72</v>
      </c>
      <c r="D1230" s="3">
        <v>45672</v>
      </c>
      <c r="E1230" t="s">
        <v>25</v>
      </c>
      <c r="F1230" s="4" t="str">
        <f t="shared" si="99"/>
        <v>2025-01-1</v>
      </c>
      <c r="G1230" t="str">
        <f t="shared" si="95"/>
        <v xml:space="preserve">ROGERIO </v>
      </c>
      <c r="H1230" t="str">
        <f t="shared" si="96"/>
        <v>GRF JEANS WEAR LTDA EPP</v>
      </c>
      <c r="I1230">
        <f t="shared" si="97"/>
        <v>1</v>
      </c>
      <c r="J1230">
        <f t="shared" si="98"/>
        <v>0</v>
      </c>
    </row>
    <row r="1231" spans="1:10" x14ac:dyDescent="0.25">
      <c r="A1231" t="s">
        <v>332</v>
      </c>
      <c r="B1231" t="s">
        <v>145</v>
      </c>
      <c r="C1231" t="s">
        <v>56</v>
      </c>
      <c r="D1231" s="3">
        <v>45672</v>
      </c>
      <c r="E1231" t="str">
        <f>VLOOKUP(B1231,'PROCV GERENTES BD'!A:B,2,0)</f>
        <v>SEM GERENTE</v>
      </c>
      <c r="F1231" s="4" t="str">
        <f t="shared" si="99"/>
        <v>2025-01-1</v>
      </c>
      <c r="G1231" t="str">
        <f t="shared" si="95"/>
        <v>SEM GERENTE</v>
      </c>
      <c r="H1231" t="str">
        <f t="shared" si="96"/>
        <v>ALLIAGE S A INDUSTRIAS MEDICO ODONTOLOGICA</v>
      </c>
      <c r="I1231">
        <f t="shared" si="97"/>
        <v>0</v>
      </c>
      <c r="J1231">
        <f t="shared" si="98"/>
        <v>1</v>
      </c>
    </row>
    <row r="1232" spans="1:10" x14ac:dyDescent="0.25">
      <c r="A1232" t="s">
        <v>331</v>
      </c>
      <c r="B1232" t="s">
        <v>126</v>
      </c>
      <c r="C1232" t="s">
        <v>72</v>
      </c>
      <c r="D1232" s="3">
        <v>45673</v>
      </c>
      <c r="E1232" t="str">
        <f>VLOOKUP(B1232,'PROCV GERENTES BD'!A:B,2,0)</f>
        <v>FITZ</v>
      </c>
      <c r="F1232" s="4" t="str">
        <f t="shared" si="99"/>
        <v>2025-01-2</v>
      </c>
      <c r="G1232" t="str">
        <f t="shared" si="95"/>
        <v>FITZ</v>
      </c>
      <c r="H1232" t="str">
        <f t="shared" si="96"/>
        <v>TRANSHENRY TRANSPORTES LTDA</v>
      </c>
      <c r="I1232">
        <f t="shared" si="97"/>
        <v>1</v>
      </c>
      <c r="J1232">
        <f t="shared" si="98"/>
        <v>0</v>
      </c>
    </row>
    <row r="1233" spans="1:10" x14ac:dyDescent="0.25">
      <c r="A1233" t="s">
        <v>430</v>
      </c>
      <c r="B1233" t="s">
        <v>180</v>
      </c>
      <c r="C1233" t="s">
        <v>72</v>
      </c>
      <c r="D1233" s="3">
        <v>45673</v>
      </c>
      <c r="E1233" t="str">
        <f>VLOOKUP(B1233,'PROCV GERENTES BD'!A:B,2,0)</f>
        <v>NOELI SALETE</v>
      </c>
      <c r="F1233" s="4" t="str">
        <f t="shared" si="99"/>
        <v>2025-01-2</v>
      </c>
      <c r="G1233" t="str">
        <f t="shared" si="95"/>
        <v>NOELI SALETE</v>
      </c>
      <c r="H1233" t="str">
        <f t="shared" si="96"/>
        <v>COMGROUP AGROINDUSTRIAL LTDA</v>
      </c>
      <c r="I1233">
        <f t="shared" si="97"/>
        <v>1</v>
      </c>
      <c r="J1233">
        <f t="shared" si="98"/>
        <v>0</v>
      </c>
    </row>
    <row r="1234" spans="1:10" x14ac:dyDescent="0.25">
      <c r="A1234" t="s">
        <v>427</v>
      </c>
      <c r="B1234" t="s">
        <v>206</v>
      </c>
      <c r="C1234" t="s">
        <v>72</v>
      </c>
      <c r="D1234" s="3">
        <v>45673</v>
      </c>
      <c r="E1234" t="str">
        <f>VLOOKUP(B1234,'PROCV GERENTES BD'!A:B,2,0)</f>
        <v>NOELI SALETE</v>
      </c>
      <c r="F1234" s="4" t="str">
        <f t="shared" si="99"/>
        <v>2025-01-2</v>
      </c>
      <c r="G1234" t="str">
        <f t="shared" si="95"/>
        <v>NOELI SALETE</v>
      </c>
      <c r="H1234" t="str">
        <f t="shared" si="96"/>
        <v>GLOBAL ACO SERV PRODUTOS SIDERURGICOS LTDA RECUPER</v>
      </c>
      <c r="I1234">
        <f t="shared" si="97"/>
        <v>1</v>
      </c>
      <c r="J1234">
        <f t="shared" si="98"/>
        <v>0</v>
      </c>
    </row>
    <row r="1235" spans="1:10" x14ac:dyDescent="0.25">
      <c r="A1235" t="s">
        <v>397</v>
      </c>
      <c r="B1235" t="s">
        <v>143</v>
      </c>
      <c r="C1235" t="s">
        <v>72</v>
      </c>
      <c r="D1235" s="3">
        <v>45673</v>
      </c>
      <c r="E1235" t="str">
        <f>VLOOKUP(B1235,'PROCV GERENTES BD'!A:B,2,0)</f>
        <v>POENATELA</v>
      </c>
      <c r="F1235" s="4" t="str">
        <f t="shared" si="99"/>
        <v>2025-01-2</v>
      </c>
      <c r="G1235" t="str">
        <f t="shared" si="95"/>
        <v>POENATELA</v>
      </c>
      <c r="H1235" t="str">
        <f t="shared" si="96"/>
        <v>CONQUISTA INDUSTRIA DE MOVEIS S/A</v>
      </c>
      <c r="I1235">
        <f t="shared" si="97"/>
        <v>1</v>
      </c>
      <c r="J1235">
        <f t="shared" si="98"/>
        <v>0</v>
      </c>
    </row>
    <row r="1236" spans="1:10" x14ac:dyDescent="0.25">
      <c r="A1236" t="s">
        <v>354</v>
      </c>
      <c r="B1236" t="s">
        <v>97</v>
      </c>
      <c r="C1236" t="s">
        <v>59</v>
      </c>
      <c r="D1236" s="3">
        <v>45673</v>
      </c>
      <c r="E1236" t="str">
        <f>VLOOKUP(B1236,'PROCV GERENTES BD'!A:B,2,0)</f>
        <v>POENATELA</v>
      </c>
      <c r="F1236" s="4" t="str">
        <f t="shared" si="99"/>
        <v>2025-01-2</v>
      </c>
      <c r="G1236" t="str">
        <f t="shared" si="95"/>
        <v>POENATELA</v>
      </c>
      <c r="H1236" t="str">
        <f t="shared" si="96"/>
        <v>UBERTEC SERVICE USINAGEM LTDA EPP</v>
      </c>
      <c r="I1236">
        <f t="shared" si="97"/>
        <v>0</v>
      </c>
      <c r="J1236">
        <f t="shared" si="98"/>
        <v>0</v>
      </c>
    </row>
    <row r="1237" spans="1:10" x14ac:dyDescent="0.25">
      <c r="A1237" t="s">
        <v>333</v>
      </c>
      <c r="B1237" t="s">
        <v>129</v>
      </c>
      <c r="C1237" t="s">
        <v>72</v>
      </c>
      <c r="D1237" s="3">
        <v>45673</v>
      </c>
      <c r="E1237" t="s">
        <v>25</v>
      </c>
      <c r="F1237" s="4" t="str">
        <f t="shared" si="99"/>
        <v>2025-01-2</v>
      </c>
      <c r="G1237" t="str">
        <f t="shared" si="95"/>
        <v xml:space="preserve">ROGERIO </v>
      </c>
      <c r="H1237" t="str">
        <f t="shared" si="96"/>
        <v>BIBE PRODUTOS INFANTIS LTDA</v>
      </c>
      <c r="I1237">
        <f t="shared" si="97"/>
        <v>1</v>
      </c>
      <c r="J1237">
        <f t="shared" si="98"/>
        <v>0</v>
      </c>
    </row>
    <row r="1238" spans="1:10" x14ac:dyDescent="0.25">
      <c r="A1238" t="s">
        <v>436</v>
      </c>
      <c r="B1238" t="s">
        <v>186</v>
      </c>
      <c r="C1238" t="s">
        <v>56</v>
      </c>
      <c r="D1238" s="3">
        <v>45674</v>
      </c>
      <c r="E1238" t="str">
        <f>VLOOKUP(B1238,'PROCV GERENTES BD'!A:B,2,0)</f>
        <v xml:space="preserve">MARCUS VINICIUS </v>
      </c>
      <c r="F1238" s="4" t="str">
        <f t="shared" si="99"/>
        <v>2025-01-2</v>
      </c>
      <c r="G1238" t="str">
        <f t="shared" si="95"/>
        <v xml:space="preserve">MARCUS VINICIUS </v>
      </c>
      <c r="H1238" t="str">
        <f t="shared" si="96"/>
        <v>LABOR ELETRIC INDUSTRIA E COMERCIO UNIPESSOAL LTDA</v>
      </c>
      <c r="I1238">
        <f t="shared" si="97"/>
        <v>0</v>
      </c>
      <c r="J1238">
        <f t="shared" si="98"/>
        <v>1</v>
      </c>
    </row>
    <row r="1239" spans="1:10" x14ac:dyDescent="0.25">
      <c r="A1239" t="s">
        <v>402</v>
      </c>
      <c r="B1239" t="s">
        <v>150</v>
      </c>
      <c r="C1239" t="s">
        <v>56</v>
      </c>
      <c r="D1239" s="3">
        <v>45674</v>
      </c>
      <c r="E1239" t="str">
        <f>VLOOKUP(B1239,'PROCV GERENTES BD'!A:B,2,0)</f>
        <v>NOELI SALETE</v>
      </c>
      <c r="F1239" s="4" t="str">
        <f t="shared" si="99"/>
        <v>2025-01-2</v>
      </c>
      <c r="G1239" t="str">
        <f t="shared" si="95"/>
        <v>NOELI SALETE</v>
      </c>
      <c r="H1239" t="str">
        <f t="shared" si="96"/>
        <v>ALBERTO H DA SILVA ME</v>
      </c>
      <c r="I1239">
        <f t="shared" si="97"/>
        <v>0</v>
      </c>
      <c r="J1239">
        <f t="shared" si="98"/>
        <v>1</v>
      </c>
    </row>
    <row r="1240" spans="1:10" x14ac:dyDescent="0.25">
      <c r="A1240" t="s">
        <v>397</v>
      </c>
      <c r="B1240" t="s">
        <v>143</v>
      </c>
      <c r="C1240" t="s">
        <v>72</v>
      </c>
      <c r="D1240" s="3">
        <v>45674</v>
      </c>
      <c r="E1240" t="str">
        <f>VLOOKUP(B1240,'PROCV GERENTES BD'!A:B,2,0)</f>
        <v>POENATELA</v>
      </c>
      <c r="F1240" s="4" t="str">
        <f t="shared" si="99"/>
        <v>2025-01-2</v>
      </c>
      <c r="G1240" t="str">
        <f t="shared" si="95"/>
        <v>POENATELA</v>
      </c>
      <c r="H1240" t="str">
        <f t="shared" si="96"/>
        <v>CONQUISTA INDUSTRIA DE MOVEIS S/A</v>
      </c>
      <c r="I1240">
        <f t="shared" si="97"/>
        <v>1</v>
      </c>
      <c r="J1240">
        <f t="shared" si="98"/>
        <v>0</v>
      </c>
    </row>
    <row r="1241" spans="1:10" x14ac:dyDescent="0.25">
      <c r="A1241" t="s">
        <v>376</v>
      </c>
      <c r="B1241" t="s">
        <v>118</v>
      </c>
      <c r="C1241" t="s">
        <v>56</v>
      </c>
      <c r="D1241" s="3">
        <v>45675</v>
      </c>
      <c r="E1241" t="str">
        <f>VLOOKUP(B1241,'PROCV GERENTES BD'!A:B,2,0)</f>
        <v>ADMINISTRAÇÃO</v>
      </c>
      <c r="F1241" s="4" t="str">
        <f t="shared" si="99"/>
        <v>2025-01-2</v>
      </c>
      <c r="G1241" t="str">
        <f t="shared" si="95"/>
        <v>ADMINISTRAÇÃO</v>
      </c>
      <c r="H1241" t="str">
        <f t="shared" si="96"/>
        <v>ARTECAL ELETROCENTROS S/A</v>
      </c>
      <c r="I1241">
        <f t="shared" si="97"/>
        <v>0</v>
      </c>
      <c r="J1241">
        <f t="shared" si="98"/>
        <v>1</v>
      </c>
    </row>
    <row r="1242" spans="1:10" x14ac:dyDescent="0.25">
      <c r="A1242" t="s">
        <v>331</v>
      </c>
      <c r="B1242" t="s">
        <v>126</v>
      </c>
      <c r="C1242" t="s">
        <v>72</v>
      </c>
      <c r="D1242" s="3">
        <v>45675</v>
      </c>
      <c r="E1242" t="str">
        <f>VLOOKUP(B1242,'PROCV GERENTES BD'!A:B,2,0)</f>
        <v>FITZ</v>
      </c>
      <c r="F1242" s="4" t="str">
        <f t="shared" si="99"/>
        <v>2025-01-2</v>
      </c>
      <c r="G1242" t="str">
        <f t="shared" si="95"/>
        <v>FITZ</v>
      </c>
      <c r="H1242" t="str">
        <f t="shared" si="96"/>
        <v>TRANSHENRY TRANSPORTES LTDA</v>
      </c>
      <c r="I1242">
        <f t="shared" si="97"/>
        <v>1</v>
      </c>
      <c r="J1242">
        <f t="shared" si="98"/>
        <v>0</v>
      </c>
    </row>
    <row r="1243" spans="1:10" x14ac:dyDescent="0.25">
      <c r="A1243" t="s">
        <v>325</v>
      </c>
      <c r="B1243" t="s">
        <v>210</v>
      </c>
      <c r="C1243" t="s">
        <v>59</v>
      </c>
      <c r="D1243" s="3">
        <v>45675</v>
      </c>
      <c r="E1243" t="str">
        <f>VLOOKUP(B1243,'PROCV GERENTES BD'!A:B,2,0)</f>
        <v>JOSE ROBERTO</v>
      </c>
      <c r="F1243" s="4" t="str">
        <f t="shared" si="99"/>
        <v>2025-01-2</v>
      </c>
      <c r="G1243" t="str">
        <f t="shared" si="95"/>
        <v>JOSE ROBERTO</v>
      </c>
      <c r="H1243" t="str">
        <f t="shared" si="96"/>
        <v>FUNDACAO DE ENSINO E PESQUISA DO SUL DE MINAS FEPE</v>
      </c>
      <c r="I1243">
        <f t="shared" si="97"/>
        <v>0</v>
      </c>
      <c r="J1243">
        <f t="shared" si="98"/>
        <v>0</v>
      </c>
    </row>
    <row r="1244" spans="1:10" x14ac:dyDescent="0.25">
      <c r="A1244" t="s">
        <v>317</v>
      </c>
      <c r="B1244" t="s">
        <v>211</v>
      </c>
      <c r="C1244" t="s">
        <v>56</v>
      </c>
      <c r="D1244" s="3">
        <v>45675</v>
      </c>
      <c r="E1244" t="str">
        <f>VLOOKUP(B1244,'PROCV GERENTES BD'!A:B,2,0)</f>
        <v xml:space="preserve">MARCUS VINICIUS </v>
      </c>
      <c r="F1244" s="4" t="str">
        <f t="shared" si="99"/>
        <v>2025-01-2</v>
      </c>
      <c r="G1244" t="str">
        <f t="shared" si="95"/>
        <v xml:space="preserve">MARCUS VINICIUS </v>
      </c>
      <c r="H1244" t="str">
        <f t="shared" si="96"/>
        <v>INDUSTRIA E COMERCIO DE CHURRASQUEIRAS BOM JESUS L</v>
      </c>
      <c r="I1244">
        <f t="shared" si="97"/>
        <v>0</v>
      </c>
      <c r="J1244">
        <f t="shared" si="98"/>
        <v>1</v>
      </c>
    </row>
    <row r="1245" spans="1:10" x14ac:dyDescent="0.25">
      <c r="A1245" t="s">
        <v>436</v>
      </c>
      <c r="B1245" t="s">
        <v>186</v>
      </c>
      <c r="C1245" t="s">
        <v>56</v>
      </c>
      <c r="D1245" s="3">
        <v>45675</v>
      </c>
      <c r="E1245" t="str">
        <f>VLOOKUP(B1245,'PROCV GERENTES BD'!A:B,2,0)</f>
        <v xml:space="preserve">MARCUS VINICIUS </v>
      </c>
      <c r="F1245" s="4" t="str">
        <f t="shared" si="99"/>
        <v>2025-01-2</v>
      </c>
      <c r="G1245" t="str">
        <f t="shared" si="95"/>
        <v xml:space="preserve">MARCUS VINICIUS </v>
      </c>
      <c r="H1245" t="str">
        <f t="shared" si="96"/>
        <v>LABOR ELETRIC INDUSTRIA E COMERCIO UNIPESSOAL LTDA</v>
      </c>
      <c r="I1245">
        <f t="shared" si="97"/>
        <v>0</v>
      </c>
      <c r="J1245">
        <f t="shared" si="98"/>
        <v>1</v>
      </c>
    </row>
    <row r="1246" spans="1:10" x14ac:dyDescent="0.25">
      <c r="A1246" t="s">
        <v>392</v>
      </c>
      <c r="B1246" t="s">
        <v>138</v>
      </c>
      <c r="C1246" t="s">
        <v>72</v>
      </c>
      <c r="D1246" s="3">
        <v>45675</v>
      </c>
      <c r="E1246" t="str">
        <f>VLOOKUP(B1246,'PROCV GERENTES BD'!A:B,2,0)</f>
        <v xml:space="preserve">MARCUS VINICIUS </v>
      </c>
      <c r="F1246" s="4" t="str">
        <f t="shared" si="99"/>
        <v>2025-01-2</v>
      </c>
      <c r="G1246" t="str">
        <f t="shared" si="95"/>
        <v xml:space="preserve">MARCUS VINICIUS </v>
      </c>
      <c r="H1246" t="str">
        <f t="shared" si="96"/>
        <v>PALMILHADO INDUSTRIA E COMERCIO LTDA</v>
      </c>
      <c r="I1246">
        <f t="shared" si="97"/>
        <v>1</v>
      </c>
      <c r="J1246">
        <f t="shared" si="98"/>
        <v>0</v>
      </c>
    </row>
    <row r="1247" spans="1:10" x14ac:dyDescent="0.25">
      <c r="A1247" t="s">
        <v>393</v>
      </c>
      <c r="B1247" t="s">
        <v>139</v>
      </c>
      <c r="C1247" t="s">
        <v>56</v>
      </c>
      <c r="D1247" s="3">
        <v>45675</v>
      </c>
      <c r="E1247" t="str">
        <f>VLOOKUP(B1247,'PROCV GERENTES BD'!A:B,2,0)</f>
        <v xml:space="preserve">MARCUS VINICIUS </v>
      </c>
      <c r="F1247" s="4" t="str">
        <f t="shared" si="99"/>
        <v>2025-01-2</v>
      </c>
      <c r="G1247" t="str">
        <f t="shared" si="95"/>
        <v xml:space="preserve">MARCUS VINICIUS </v>
      </c>
      <c r="H1247" t="str">
        <f t="shared" si="96"/>
        <v>RODOANEL REFORMADORA DE IMPLEMENTOS RODOVIARIOS LT</v>
      </c>
      <c r="I1247">
        <f t="shared" si="97"/>
        <v>0</v>
      </c>
      <c r="J1247">
        <f t="shared" si="98"/>
        <v>1</v>
      </c>
    </row>
    <row r="1248" spans="1:10" x14ac:dyDescent="0.25">
      <c r="A1248" t="s">
        <v>383</v>
      </c>
      <c r="B1248" t="s">
        <v>127</v>
      </c>
      <c r="C1248" t="s">
        <v>72</v>
      </c>
      <c r="D1248" s="3">
        <v>45675</v>
      </c>
      <c r="E1248" t="str">
        <f>VLOOKUP(B1248,'PROCV GERENTES BD'!A:B,2,0)</f>
        <v>NATALIA NUBIA</v>
      </c>
      <c r="F1248" s="4" t="str">
        <f t="shared" si="99"/>
        <v>2025-01-2</v>
      </c>
      <c r="G1248" t="str">
        <f t="shared" si="95"/>
        <v>NATALIA NUBIA</v>
      </c>
      <c r="H1248" t="str">
        <f t="shared" si="96"/>
        <v>FARINELLI NUTRIMENTOS LTDA</v>
      </c>
      <c r="I1248">
        <f t="shared" si="97"/>
        <v>1</v>
      </c>
      <c r="J1248">
        <f t="shared" si="98"/>
        <v>0</v>
      </c>
    </row>
    <row r="1249" spans="1:10" x14ac:dyDescent="0.25">
      <c r="A1249" t="s">
        <v>427</v>
      </c>
      <c r="B1249" t="s">
        <v>206</v>
      </c>
      <c r="C1249" t="s">
        <v>56</v>
      </c>
      <c r="D1249" s="3">
        <v>45675</v>
      </c>
      <c r="E1249" t="str">
        <f>VLOOKUP(B1249,'PROCV GERENTES BD'!A:B,2,0)</f>
        <v>NOELI SALETE</v>
      </c>
      <c r="F1249" s="4" t="str">
        <f t="shared" si="99"/>
        <v>2025-01-2</v>
      </c>
      <c r="G1249" t="str">
        <f t="shared" si="95"/>
        <v>NOELI SALETE</v>
      </c>
      <c r="H1249" t="str">
        <f t="shared" si="96"/>
        <v>GLOBAL ACO SERV PRODUTOS SIDERURGICOS LTDA RECUPER</v>
      </c>
      <c r="I1249">
        <f t="shared" si="97"/>
        <v>0</v>
      </c>
      <c r="J1249">
        <f t="shared" si="98"/>
        <v>1</v>
      </c>
    </row>
    <row r="1250" spans="1:10" x14ac:dyDescent="0.25">
      <c r="A1250" t="s">
        <v>397</v>
      </c>
      <c r="B1250" t="s">
        <v>143</v>
      </c>
      <c r="C1250" t="s">
        <v>72</v>
      </c>
      <c r="D1250" s="3">
        <v>45675</v>
      </c>
      <c r="E1250" t="str">
        <f>VLOOKUP(B1250,'PROCV GERENTES BD'!A:B,2,0)</f>
        <v>POENATELA</v>
      </c>
      <c r="F1250" s="4" t="str">
        <f t="shared" si="99"/>
        <v>2025-01-2</v>
      </c>
      <c r="G1250" t="str">
        <f t="shared" si="95"/>
        <v>POENATELA</v>
      </c>
      <c r="H1250" t="str">
        <f t="shared" si="96"/>
        <v>CONQUISTA INDUSTRIA DE MOVEIS S/A</v>
      </c>
      <c r="I1250">
        <f t="shared" si="97"/>
        <v>1</v>
      </c>
      <c r="J1250">
        <f t="shared" si="98"/>
        <v>0</v>
      </c>
    </row>
    <row r="1251" spans="1:10" x14ac:dyDescent="0.25">
      <c r="A1251" t="s">
        <v>354</v>
      </c>
      <c r="B1251" t="s">
        <v>97</v>
      </c>
      <c r="C1251" t="s">
        <v>59</v>
      </c>
      <c r="D1251" s="3">
        <v>45675</v>
      </c>
      <c r="E1251" t="str">
        <f>VLOOKUP(B1251,'PROCV GERENTES BD'!A:B,2,0)</f>
        <v>POENATELA</v>
      </c>
      <c r="F1251" s="4" t="str">
        <f t="shared" si="99"/>
        <v>2025-01-2</v>
      </c>
      <c r="G1251" t="str">
        <f t="shared" si="95"/>
        <v>POENATELA</v>
      </c>
      <c r="H1251" t="str">
        <f t="shared" si="96"/>
        <v>UBERTEC SERVICE USINAGEM LTDA EPP</v>
      </c>
      <c r="I1251">
        <f t="shared" si="97"/>
        <v>0</v>
      </c>
      <c r="J1251">
        <f t="shared" si="98"/>
        <v>0</v>
      </c>
    </row>
    <row r="1252" spans="1:10" x14ac:dyDescent="0.25">
      <c r="A1252" t="s">
        <v>456</v>
      </c>
      <c r="B1252" t="s">
        <v>208</v>
      </c>
      <c r="C1252" t="s">
        <v>72</v>
      </c>
      <c r="D1252" s="3">
        <v>45675</v>
      </c>
      <c r="E1252" t="str">
        <f>VLOOKUP(B1252,'PROCV GERENTES BD'!A:B,2,0)</f>
        <v>PRISCILA METZ</v>
      </c>
      <c r="F1252" s="4" t="str">
        <f t="shared" si="99"/>
        <v>2025-01-2</v>
      </c>
      <c r="G1252" t="str">
        <f t="shared" si="95"/>
        <v>PRISCILA METZ</v>
      </c>
      <c r="H1252" t="str">
        <f t="shared" si="96"/>
        <v>M TRATORES LTDA EPP</v>
      </c>
      <c r="I1252">
        <f t="shared" si="97"/>
        <v>1</v>
      </c>
      <c r="J1252">
        <f t="shared" si="98"/>
        <v>0</v>
      </c>
    </row>
    <row r="1253" spans="1:10" x14ac:dyDescent="0.25">
      <c r="A1253" t="s">
        <v>442</v>
      </c>
      <c r="B1253" t="s">
        <v>192</v>
      </c>
      <c r="C1253" t="s">
        <v>56</v>
      </c>
      <c r="D1253" s="3">
        <v>45675</v>
      </c>
      <c r="E1253" t="str">
        <f>VLOOKUP(B1253,'PROCV GERENTES BD'!A:B,2,0)</f>
        <v>RAFAEL PARISE</v>
      </c>
      <c r="F1253" s="4" t="str">
        <f t="shared" si="99"/>
        <v>2025-01-2</v>
      </c>
      <c r="G1253" t="str">
        <f t="shared" si="95"/>
        <v>RAFAEL PARISE</v>
      </c>
      <c r="H1253" t="str">
        <f t="shared" si="96"/>
        <v>MARCAS COMERCIO LTDA ME</v>
      </c>
      <c r="I1253">
        <f t="shared" si="97"/>
        <v>0</v>
      </c>
      <c r="J1253">
        <f t="shared" si="98"/>
        <v>1</v>
      </c>
    </row>
    <row r="1254" spans="1:10" x14ac:dyDescent="0.25">
      <c r="A1254" t="s">
        <v>333</v>
      </c>
      <c r="B1254" t="s">
        <v>129</v>
      </c>
      <c r="C1254" t="s">
        <v>56</v>
      </c>
      <c r="D1254" s="3">
        <v>45675</v>
      </c>
      <c r="E1254" t="s">
        <v>25</v>
      </c>
      <c r="F1254" s="4" t="str">
        <f t="shared" si="99"/>
        <v>2025-01-2</v>
      </c>
      <c r="G1254" t="str">
        <f t="shared" si="95"/>
        <v xml:space="preserve">ROGERIO </v>
      </c>
      <c r="H1254" t="str">
        <f t="shared" si="96"/>
        <v>BIBE PRODUTOS INFANTIS LTDA</v>
      </c>
      <c r="I1254">
        <f t="shared" si="97"/>
        <v>0</v>
      </c>
      <c r="J1254">
        <f t="shared" si="98"/>
        <v>1</v>
      </c>
    </row>
    <row r="1255" spans="1:10" x14ac:dyDescent="0.25">
      <c r="A1255" t="s">
        <v>356</v>
      </c>
      <c r="B1255" t="s">
        <v>99</v>
      </c>
      <c r="C1255" t="s">
        <v>72</v>
      </c>
      <c r="D1255" s="3">
        <v>45675</v>
      </c>
      <c r="E1255" t="str">
        <f>VLOOKUP(B1255,'PROCV GERENTES BD'!A:B,2,0)</f>
        <v>WHELKYA IRIS</v>
      </c>
      <c r="F1255" s="4" t="str">
        <f t="shared" si="99"/>
        <v>2025-01-2</v>
      </c>
      <c r="G1255" t="str">
        <f t="shared" si="95"/>
        <v>WHELKYA IRIS</v>
      </c>
      <c r="H1255" t="str">
        <f t="shared" si="96"/>
        <v>DIVINA INDUSTRIA DE COURO LTDA</v>
      </c>
      <c r="I1255">
        <f t="shared" si="97"/>
        <v>1</v>
      </c>
      <c r="J1255">
        <f t="shared" si="98"/>
        <v>0</v>
      </c>
    </row>
    <row r="1256" spans="1:10" x14ac:dyDescent="0.25">
      <c r="A1256" t="s">
        <v>330</v>
      </c>
      <c r="B1256" t="s">
        <v>116</v>
      </c>
      <c r="C1256" t="s">
        <v>72</v>
      </c>
      <c r="D1256" s="3">
        <v>45676</v>
      </c>
      <c r="E1256" t="str">
        <f>VLOOKUP(B1256,'PROCV GERENTES BD'!A:B,2,0)</f>
        <v>FITZ</v>
      </c>
      <c r="F1256" s="4" t="str">
        <f t="shared" si="99"/>
        <v>2025-01-2</v>
      </c>
      <c r="G1256" t="str">
        <f t="shared" si="95"/>
        <v>FITZ</v>
      </c>
      <c r="H1256" t="str">
        <f t="shared" si="96"/>
        <v>SIAP COMERCIO DE PRODUTOS AGROPECUARIOS LTDA</v>
      </c>
      <c r="I1256">
        <f t="shared" si="97"/>
        <v>1</v>
      </c>
      <c r="J1256">
        <f t="shared" si="98"/>
        <v>0</v>
      </c>
    </row>
    <row r="1257" spans="1:10" x14ac:dyDescent="0.25">
      <c r="A1257" t="s">
        <v>427</v>
      </c>
      <c r="B1257" t="s">
        <v>206</v>
      </c>
      <c r="C1257" t="s">
        <v>59</v>
      </c>
      <c r="D1257" s="3">
        <v>45677</v>
      </c>
      <c r="E1257" t="str">
        <f>VLOOKUP(B1257,'PROCV GERENTES BD'!A:B,2,0)</f>
        <v>NOELI SALETE</v>
      </c>
      <c r="F1257" s="4" t="str">
        <f t="shared" si="99"/>
        <v>2025-01-2</v>
      </c>
      <c r="G1257" t="str">
        <f t="shared" si="95"/>
        <v>NOELI SALETE</v>
      </c>
      <c r="H1257" t="str">
        <f t="shared" si="96"/>
        <v>GLOBAL ACO SERV PRODUTOS SIDERURGICOS LTDA RECUPER</v>
      </c>
      <c r="I1257">
        <f t="shared" si="97"/>
        <v>0</v>
      </c>
      <c r="J1257">
        <f t="shared" si="98"/>
        <v>0</v>
      </c>
    </row>
    <row r="1258" spans="1:10" x14ac:dyDescent="0.25">
      <c r="A1258" t="s">
        <v>339</v>
      </c>
      <c r="B1258" t="s">
        <v>151</v>
      </c>
      <c r="C1258" t="s">
        <v>56</v>
      </c>
      <c r="D1258" s="3">
        <v>45678</v>
      </c>
      <c r="E1258" t="str">
        <f>VLOOKUP(B1258,'PROCV GERENTES BD'!A:B,2,0)</f>
        <v>ADMINISTRAÇÃO</v>
      </c>
      <c r="F1258" s="4" t="str">
        <f t="shared" si="99"/>
        <v>2025-01-2</v>
      </c>
      <c r="G1258" t="str">
        <f t="shared" si="95"/>
        <v>ADMINISTRAÇÃO</v>
      </c>
      <c r="H1258" t="str">
        <f t="shared" si="96"/>
        <v>BOM PASTOR PAPEIS LTDA EM RECUPERACAO JUDICIAL</v>
      </c>
      <c r="I1258">
        <f t="shared" si="97"/>
        <v>0</v>
      </c>
      <c r="J1258">
        <f t="shared" si="98"/>
        <v>1</v>
      </c>
    </row>
    <row r="1259" spans="1:10" x14ac:dyDescent="0.25">
      <c r="A1259" t="s">
        <v>311</v>
      </c>
      <c r="B1259" t="s">
        <v>130</v>
      </c>
      <c r="C1259" t="s">
        <v>72</v>
      </c>
      <c r="D1259" s="3">
        <v>45678</v>
      </c>
      <c r="E1259" t="str">
        <f>VLOOKUP(B1259,'PROCV GERENTES BD'!A:B,2,0)</f>
        <v>ANTONIO CARLOS</v>
      </c>
      <c r="F1259" s="4" t="str">
        <f t="shared" si="99"/>
        <v>2025-01-2</v>
      </c>
      <c r="G1259" t="str">
        <f t="shared" si="95"/>
        <v>ANTONIO CARLOS</v>
      </c>
      <c r="H1259" t="str">
        <f t="shared" si="96"/>
        <v>VIC LOGISTICA LTDA EM RECUPERACAO JUDICIAL</v>
      </c>
      <c r="I1259">
        <f t="shared" si="97"/>
        <v>1</v>
      </c>
      <c r="J1259">
        <f t="shared" si="98"/>
        <v>0</v>
      </c>
    </row>
    <row r="1260" spans="1:10" x14ac:dyDescent="0.25">
      <c r="A1260" t="s">
        <v>450</v>
      </c>
      <c r="B1260" t="s">
        <v>200</v>
      </c>
      <c r="C1260" t="s">
        <v>56</v>
      </c>
      <c r="D1260" s="3">
        <v>45678</v>
      </c>
      <c r="E1260" t="str">
        <f>VLOOKUP(B1260,'PROCV GERENTES BD'!A:B,2,0)</f>
        <v>CELIO PIMENTA</v>
      </c>
      <c r="F1260" s="4" t="str">
        <f t="shared" si="99"/>
        <v>2025-01-2</v>
      </c>
      <c r="G1260" t="str">
        <f t="shared" si="95"/>
        <v>CELIO PIMENTA</v>
      </c>
      <c r="H1260" t="str">
        <f t="shared" si="96"/>
        <v>CIA TEXTIL LTDA ME</v>
      </c>
      <c r="I1260">
        <f t="shared" si="97"/>
        <v>0</v>
      </c>
      <c r="J1260">
        <f t="shared" si="98"/>
        <v>1</v>
      </c>
    </row>
    <row r="1261" spans="1:10" x14ac:dyDescent="0.25">
      <c r="A1261" t="s">
        <v>326</v>
      </c>
      <c r="B1261" t="s">
        <v>86</v>
      </c>
      <c r="C1261" t="s">
        <v>56</v>
      </c>
      <c r="D1261" s="3">
        <v>45678</v>
      </c>
      <c r="E1261" t="str">
        <f>VLOOKUP(B1261,'PROCV GERENTES BD'!A:B,2,0)</f>
        <v>CELIO PIMENTA</v>
      </c>
      <c r="F1261" s="4" t="str">
        <f t="shared" si="99"/>
        <v>2025-01-2</v>
      </c>
      <c r="G1261" t="str">
        <f t="shared" si="95"/>
        <v>CELIO PIMENTA</v>
      </c>
      <c r="H1261" t="str">
        <f t="shared" si="96"/>
        <v>IMPORTEXTIL COMERCIO DE TECIDOS LTDA</v>
      </c>
      <c r="I1261">
        <f t="shared" si="97"/>
        <v>0</v>
      </c>
      <c r="J1261">
        <f t="shared" si="98"/>
        <v>1</v>
      </c>
    </row>
    <row r="1262" spans="1:10" x14ac:dyDescent="0.25">
      <c r="A1262" t="s">
        <v>60</v>
      </c>
      <c r="B1262" t="s">
        <v>61</v>
      </c>
      <c r="C1262" t="s">
        <v>56</v>
      </c>
      <c r="D1262" s="3">
        <v>45678</v>
      </c>
      <c r="E1262" t="str">
        <f>VLOOKUP(B1262,'PROCV GERENTES BD'!A:B,2,0)</f>
        <v>CELIO PIMENTA</v>
      </c>
      <c r="F1262" s="4" t="str">
        <f t="shared" si="99"/>
        <v>2025-01-2</v>
      </c>
      <c r="G1262" t="str">
        <f t="shared" si="95"/>
        <v>CELIO PIMENTA</v>
      </c>
      <c r="H1262" t="str">
        <f t="shared" si="96"/>
        <v>WJ CALDEIRARIA INDUSTRIA E COMERCIO LTDA ME</v>
      </c>
      <c r="I1262">
        <f t="shared" si="97"/>
        <v>0</v>
      </c>
      <c r="J1262">
        <f t="shared" si="98"/>
        <v>1</v>
      </c>
    </row>
    <row r="1263" spans="1:10" x14ac:dyDescent="0.25">
      <c r="A1263" t="s">
        <v>366</v>
      </c>
      <c r="B1263" t="s">
        <v>111</v>
      </c>
      <c r="C1263" t="s">
        <v>56</v>
      </c>
      <c r="D1263" s="3">
        <v>45678</v>
      </c>
      <c r="E1263" t="str">
        <f>VLOOKUP(B1263,'PROCV GERENTES BD'!A:B,2,0)</f>
        <v>DIOGO AZEVEDO</v>
      </c>
      <c r="F1263" s="4" t="str">
        <f t="shared" si="99"/>
        <v>2025-01-2</v>
      </c>
      <c r="G1263" t="str">
        <f t="shared" si="95"/>
        <v>DIOGO AZEVEDO</v>
      </c>
      <c r="H1263" t="str">
        <f t="shared" si="96"/>
        <v>INDUSTRIA E CERVEJARIA ARTESANAL DE MINAS GERAIS L</v>
      </c>
      <c r="I1263">
        <f t="shared" si="97"/>
        <v>0</v>
      </c>
      <c r="J1263">
        <f t="shared" si="98"/>
        <v>1</v>
      </c>
    </row>
    <row r="1264" spans="1:10" x14ac:dyDescent="0.25">
      <c r="A1264" t="s">
        <v>385</v>
      </c>
      <c r="B1264" t="s">
        <v>131</v>
      </c>
      <c r="C1264" t="s">
        <v>56</v>
      </c>
      <c r="D1264" s="3">
        <v>45678</v>
      </c>
      <c r="E1264" t="str">
        <f>VLOOKUP(B1264,'PROCV GERENTES BD'!A:B,2,0)</f>
        <v>EDUARDO MATOSO</v>
      </c>
      <c r="F1264" s="4" t="str">
        <f t="shared" si="99"/>
        <v>2025-01-2</v>
      </c>
      <c r="G1264" t="str">
        <f t="shared" si="95"/>
        <v>EDUARDO MATOSO</v>
      </c>
      <c r="H1264" t="str">
        <f t="shared" si="96"/>
        <v>STONE ENGENHARIA E MONTAGENS INDUSTRIAIS LTDA</v>
      </c>
      <c r="I1264">
        <f t="shared" si="97"/>
        <v>0</v>
      </c>
      <c r="J1264">
        <f t="shared" si="98"/>
        <v>1</v>
      </c>
    </row>
    <row r="1265" spans="1:10" x14ac:dyDescent="0.25">
      <c r="A1265" t="s">
        <v>451</v>
      </c>
      <c r="B1265" t="s">
        <v>201</v>
      </c>
      <c r="C1265" t="s">
        <v>56</v>
      </c>
      <c r="D1265" s="3">
        <v>45678</v>
      </c>
      <c r="E1265" t="str">
        <f>VLOOKUP(B1265,'PROCV GERENTES BD'!A:B,2,0)</f>
        <v>FITZ</v>
      </c>
      <c r="F1265" s="4" t="str">
        <f t="shared" si="99"/>
        <v>2025-01-2</v>
      </c>
      <c r="G1265" t="str">
        <f t="shared" si="95"/>
        <v>FITZ</v>
      </c>
      <c r="H1265" t="str">
        <f t="shared" si="96"/>
        <v>ALPLAST ATACADISTA E APOIO ADMINISTRATIVO LTDA EPP</v>
      </c>
      <c r="I1265">
        <f t="shared" si="97"/>
        <v>0</v>
      </c>
      <c r="J1265">
        <f t="shared" si="98"/>
        <v>1</v>
      </c>
    </row>
    <row r="1266" spans="1:10" x14ac:dyDescent="0.25">
      <c r="A1266" t="s">
        <v>331</v>
      </c>
      <c r="B1266" t="s">
        <v>126</v>
      </c>
      <c r="C1266" t="s">
        <v>72</v>
      </c>
      <c r="D1266" s="3">
        <v>45678</v>
      </c>
      <c r="E1266" t="str">
        <f>VLOOKUP(B1266,'PROCV GERENTES BD'!A:B,2,0)</f>
        <v>FITZ</v>
      </c>
      <c r="F1266" s="4" t="str">
        <f t="shared" si="99"/>
        <v>2025-01-2</v>
      </c>
      <c r="G1266" t="str">
        <f t="shared" si="95"/>
        <v>FITZ</v>
      </c>
      <c r="H1266" t="str">
        <f t="shared" si="96"/>
        <v>TRANSHENRY TRANSPORTES LTDA</v>
      </c>
      <c r="I1266">
        <f t="shared" si="97"/>
        <v>1</v>
      </c>
      <c r="J1266">
        <f t="shared" si="98"/>
        <v>0</v>
      </c>
    </row>
    <row r="1267" spans="1:10" x14ac:dyDescent="0.25">
      <c r="A1267" t="s">
        <v>403</v>
      </c>
      <c r="B1267" t="s">
        <v>152</v>
      </c>
      <c r="C1267" t="s">
        <v>56</v>
      </c>
      <c r="D1267" s="3">
        <v>45678</v>
      </c>
      <c r="E1267" t="str">
        <f>VLOOKUP(B1267,'PROCV GERENTES BD'!A:B,2,0)</f>
        <v>MARCIO LEONEL</v>
      </c>
      <c r="F1267" s="4" t="str">
        <f t="shared" si="99"/>
        <v>2025-01-2</v>
      </c>
      <c r="G1267" t="str">
        <f t="shared" si="95"/>
        <v>MARCIO LEONEL</v>
      </c>
      <c r="H1267" t="str">
        <f t="shared" si="96"/>
        <v>MEDICAL PRIME IMP EXPORT DISTRIB PRODUTOS MEDICOS</v>
      </c>
      <c r="I1267">
        <f t="shared" si="97"/>
        <v>0</v>
      </c>
      <c r="J1267">
        <f t="shared" si="98"/>
        <v>1</v>
      </c>
    </row>
    <row r="1268" spans="1:10" x14ac:dyDescent="0.25">
      <c r="A1268" t="s">
        <v>327</v>
      </c>
      <c r="B1268" t="s">
        <v>212</v>
      </c>
      <c r="C1268" t="s">
        <v>72</v>
      </c>
      <c r="D1268" s="3">
        <v>45678</v>
      </c>
      <c r="E1268" t="str">
        <f>VLOOKUP(B1268,'PROCV GERENTES BD'!A:B,2,0)</f>
        <v xml:space="preserve">MARCUS VINICIUS </v>
      </c>
      <c r="F1268" s="4" t="str">
        <f t="shared" si="99"/>
        <v>2025-01-2</v>
      </c>
      <c r="G1268" t="str">
        <f t="shared" si="95"/>
        <v xml:space="preserve">MARCUS VINICIUS </v>
      </c>
      <c r="H1268" t="str">
        <f t="shared" si="96"/>
        <v>COMERCIAL GODINHO FERREIRA LTDA</v>
      </c>
      <c r="I1268">
        <f t="shared" si="97"/>
        <v>1</v>
      </c>
      <c r="J1268">
        <f t="shared" si="98"/>
        <v>0</v>
      </c>
    </row>
    <row r="1269" spans="1:10" x14ac:dyDescent="0.25">
      <c r="A1269" t="s">
        <v>377</v>
      </c>
      <c r="B1269" t="s">
        <v>120</v>
      </c>
      <c r="C1269" t="s">
        <v>56</v>
      </c>
      <c r="D1269" s="3">
        <v>45678</v>
      </c>
      <c r="E1269" t="str">
        <f>VLOOKUP(B1269,'PROCV GERENTES BD'!A:B,2,0)</f>
        <v xml:space="preserve">MARCUS VINICIUS </v>
      </c>
      <c r="F1269" s="4" t="str">
        <f t="shared" si="99"/>
        <v>2025-01-2</v>
      </c>
      <c r="G1269" t="str">
        <f t="shared" si="95"/>
        <v xml:space="preserve">MARCUS VINICIUS </v>
      </c>
      <c r="H1269" t="str">
        <f t="shared" si="96"/>
        <v>ISOBASE POLIESTIRENO LTDA EPP</v>
      </c>
      <c r="I1269">
        <f t="shared" si="97"/>
        <v>0</v>
      </c>
      <c r="J1269">
        <f t="shared" si="98"/>
        <v>1</v>
      </c>
    </row>
    <row r="1270" spans="1:10" x14ac:dyDescent="0.25">
      <c r="A1270" t="s">
        <v>436</v>
      </c>
      <c r="B1270" t="s">
        <v>186</v>
      </c>
      <c r="C1270" t="s">
        <v>56</v>
      </c>
      <c r="D1270" s="3">
        <v>45678</v>
      </c>
      <c r="E1270" t="str">
        <f>VLOOKUP(B1270,'PROCV GERENTES BD'!A:B,2,0)</f>
        <v xml:space="preserve">MARCUS VINICIUS </v>
      </c>
      <c r="F1270" s="4" t="str">
        <f t="shared" si="99"/>
        <v>2025-01-2</v>
      </c>
      <c r="G1270" t="str">
        <f t="shared" si="95"/>
        <v xml:space="preserve">MARCUS VINICIUS </v>
      </c>
      <c r="H1270" t="str">
        <f t="shared" si="96"/>
        <v>LABOR ELETRIC INDUSTRIA E COMERCIO UNIPESSOAL LTDA</v>
      </c>
      <c r="I1270">
        <f t="shared" si="97"/>
        <v>0</v>
      </c>
      <c r="J1270">
        <f t="shared" si="98"/>
        <v>1</v>
      </c>
    </row>
    <row r="1271" spans="1:10" x14ac:dyDescent="0.25">
      <c r="A1271" t="s">
        <v>392</v>
      </c>
      <c r="B1271" t="s">
        <v>138</v>
      </c>
      <c r="C1271" t="s">
        <v>72</v>
      </c>
      <c r="D1271" s="3">
        <v>45678</v>
      </c>
      <c r="E1271" t="str">
        <f>VLOOKUP(B1271,'PROCV GERENTES BD'!A:B,2,0)</f>
        <v xml:space="preserve">MARCUS VINICIUS </v>
      </c>
      <c r="F1271" s="4" t="str">
        <f t="shared" si="99"/>
        <v>2025-01-2</v>
      </c>
      <c r="G1271" t="str">
        <f t="shared" si="95"/>
        <v xml:space="preserve">MARCUS VINICIUS </v>
      </c>
      <c r="H1271" t="str">
        <f t="shared" si="96"/>
        <v>PALMILHADO INDUSTRIA E COMERCIO LTDA</v>
      </c>
      <c r="I1271">
        <f t="shared" si="97"/>
        <v>1</v>
      </c>
      <c r="J1271">
        <f t="shared" si="98"/>
        <v>0</v>
      </c>
    </row>
    <row r="1272" spans="1:10" x14ac:dyDescent="0.25">
      <c r="A1272" t="s">
        <v>393</v>
      </c>
      <c r="B1272" t="s">
        <v>139</v>
      </c>
      <c r="C1272" t="s">
        <v>56</v>
      </c>
      <c r="D1272" s="3">
        <v>45678</v>
      </c>
      <c r="E1272" t="str">
        <f>VLOOKUP(B1272,'PROCV GERENTES BD'!A:B,2,0)</f>
        <v xml:space="preserve">MARCUS VINICIUS </v>
      </c>
      <c r="F1272" s="4" t="str">
        <f t="shared" si="99"/>
        <v>2025-01-2</v>
      </c>
      <c r="G1272" t="str">
        <f t="shared" si="95"/>
        <v xml:space="preserve">MARCUS VINICIUS </v>
      </c>
      <c r="H1272" t="str">
        <f t="shared" si="96"/>
        <v>RODOANEL REFORMADORA DE IMPLEMENTOS RODOVIARIOS LT</v>
      </c>
      <c r="I1272">
        <f t="shared" si="97"/>
        <v>0</v>
      </c>
      <c r="J1272">
        <f t="shared" si="98"/>
        <v>1</v>
      </c>
    </row>
    <row r="1273" spans="1:10" x14ac:dyDescent="0.25">
      <c r="A1273" t="s">
        <v>430</v>
      </c>
      <c r="B1273" t="s">
        <v>180</v>
      </c>
      <c r="C1273" t="s">
        <v>72</v>
      </c>
      <c r="D1273" s="3">
        <v>45678</v>
      </c>
      <c r="E1273" t="str">
        <f>VLOOKUP(B1273,'PROCV GERENTES BD'!A:B,2,0)</f>
        <v>NOELI SALETE</v>
      </c>
      <c r="F1273" s="4" t="str">
        <f t="shared" si="99"/>
        <v>2025-01-2</v>
      </c>
      <c r="G1273" t="str">
        <f t="shared" si="95"/>
        <v>NOELI SALETE</v>
      </c>
      <c r="H1273" t="str">
        <f t="shared" si="96"/>
        <v>COMGROUP AGROINDUSTRIAL LTDA</v>
      </c>
      <c r="I1273">
        <f t="shared" si="97"/>
        <v>1</v>
      </c>
      <c r="J1273">
        <f t="shared" si="98"/>
        <v>0</v>
      </c>
    </row>
    <row r="1274" spans="1:10" x14ac:dyDescent="0.25">
      <c r="A1274" t="s">
        <v>347</v>
      </c>
      <c r="B1274" t="s">
        <v>93</v>
      </c>
      <c r="C1274" t="s">
        <v>56</v>
      </c>
      <c r="D1274" s="3">
        <v>45678</v>
      </c>
      <c r="E1274" t="str">
        <f>VLOOKUP(B1274,'PROCV GERENTES BD'!A:B,2,0)</f>
        <v>NOELI SALETE</v>
      </c>
      <c r="F1274" s="4" t="str">
        <f t="shared" si="99"/>
        <v>2025-01-2</v>
      </c>
      <c r="G1274" t="str">
        <f t="shared" si="95"/>
        <v>NOELI SALETE</v>
      </c>
      <c r="H1274" t="str">
        <f t="shared" si="96"/>
        <v>RODOBOX TRANSPORTES E ARMAZENAGEM DE CARGAS LTDA</v>
      </c>
      <c r="I1274">
        <f t="shared" si="97"/>
        <v>0</v>
      </c>
      <c r="J1274">
        <f t="shared" si="98"/>
        <v>1</v>
      </c>
    </row>
    <row r="1275" spans="1:10" x14ac:dyDescent="0.25">
      <c r="A1275" t="s">
        <v>347</v>
      </c>
      <c r="B1275" t="s">
        <v>93</v>
      </c>
      <c r="C1275" t="s">
        <v>56</v>
      </c>
      <c r="D1275" s="3">
        <v>45678</v>
      </c>
      <c r="E1275" t="str">
        <f>VLOOKUP(B1275,'PROCV GERENTES BD'!A:B,2,0)</f>
        <v>NOELI SALETE</v>
      </c>
      <c r="F1275" s="4" t="str">
        <f t="shared" si="99"/>
        <v>2025-01-2</v>
      </c>
      <c r="G1275" t="str">
        <f t="shared" si="95"/>
        <v>NOELI SALETE</v>
      </c>
      <c r="H1275" t="str">
        <f t="shared" si="96"/>
        <v>RODOBOX TRANSPORTES E ARMAZENAGEM DE CARGAS LTDA</v>
      </c>
      <c r="I1275">
        <f t="shared" si="97"/>
        <v>0</v>
      </c>
      <c r="J1275">
        <f t="shared" si="98"/>
        <v>1</v>
      </c>
    </row>
    <row r="1276" spans="1:10" x14ac:dyDescent="0.25">
      <c r="A1276" t="s">
        <v>446</v>
      </c>
      <c r="B1276" t="s">
        <v>196</v>
      </c>
      <c r="C1276" t="s">
        <v>56</v>
      </c>
      <c r="D1276" s="3">
        <v>45678</v>
      </c>
      <c r="E1276" t="str">
        <f>VLOOKUP(B1276,'PROCV GERENTES BD'!A:B,2,0)</f>
        <v>NOELI SALETE</v>
      </c>
      <c r="F1276" s="4" t="str">
        <f t="shared" si="99"/>
        <v>2025-01-2</v>
      </c>
      <c r="G1276" t="str">
        <f t="shared" si="95"/>
        <v>NOELI SALETE</v>
      </c>
      <c r="H1276" t="str">
        <f t="shared" si="96"/>
        <v>AGRO INDUSTRIAL LAZZERI LTDA</v>
      </c>
      <c r="I1276">
        <f t="shared" si="97"/>
        <v>0</v>
      </c>
      <c r="J1276">
        <f t="shared" si="98"/>
        <v>1</v>
      </c>
    </row>
    <row r="1277" spans="1:10" x14ac:dyDescent="0.25">
      <c r="A1277" t="s">
        <v>397</v>
      </c>
      <c r="B1277" t="s">
        <v>143</v>
      </c>
      <c r="C1277" t="s">
        <v>72</v>
      </c>
      <c r="D1277" s="3">
        <v>45678</v>
      </c>
      <c r="E1277" t="str">
        <f>VLOOKUP(B1277,'PROCV GERENTES BD'!A:B,2,0)</f>
        <v>POENATELA</v>
      </c>
      <c r="F1277" s="4" t="str">
        <f t="shared" si="99"/>
        <v>2025-01-2</v>
      </c>
      <c r="G1277" t="str">
        <f t="shared" si="95"/>
        <v>POENATELA</v>
      </c>
      <c r="H1277" t="str">
        <f t="shared" si="96"/>
        <v>CONQUISTA INDUSTRIA DE MOVEIS S/A</v>
      </c>
      <c r="I1277">
        <f t="shared" si="97"/>
        <v>1</v>
      </c>
      <c r="J1277">
        <f t="shared" si="98"/>
        <v>0</v>
      </c>
    </row>
    <row r="1278" spans="1:10" x14ac:dyDescent="0.25">
      <c r="A1278" t="s">
        <v>425</v>
      </c>
      <c r="B1278" t="s">
        <v>174</v>
      </c>
      <c r="C1278" t="s">
        <v>56</v>
      </c>
      <c r="D1278" s="3">
        <v>45678</v>
      </c>
      <c r="E1278" t="str">
        <f>VLOOKUP(B1278,'PROCV GERENTES BD'!A:B,2,0)</f>
        <v>POENATELA</v>
      </c>
      <c r="F1278" s="4" t="str">
        <f t="shared" si="99"/>
        <v>2025-01-2</v>
      </c>
      <c r="G1278" t="str">
        <f t="shared" si="95"/>
        <v>POENATELA</v>
      </c>
      <c r="H1278" t="str">
        <f t="shared" si="96"/>
        <v>DETRONIC ENERGIA E SERVICOS LTDA</v>
      </c>
      <c r="I1278">
        <f t="shared" si="97"/>
        <v>0</v>
      </c>
      <c r="J1278">
        <f t="shared" si="98"/>
        <v>1</v>
      </c>
    </row>
    <row r="1279" spans="1:10" x14ac:dyDescent="0.25">
      <c r="A1279" t="s">
        <v>354</v>
      </c>
      <c r="B1279" t="s">
        <v>97</v>
      </c>
      <c r="C1279" t="s">
        <v>56</v>
      </c>
      <c r="D1279" s="3">
        <v>45678</v>
      </c>
      <c r="E1279" t="str">
        <f>VLOOKUP(B1279,'PROCV GERENTES BD'!A:B,2,0)</f>
        <v>POENATELA</v>
      </c>
      <c r="F1279" s="4" t="str">
        <f t="shared" si="99"/>
        <v>2025-01-2</v>
      </c>
      <c r="G1279" t="str">
        <f t="shared" si="95"/>
        <v>POENATELA</v>
      </c>
      <c r="H1279" t="str">
        <f t="shared" si="96"/>
        <v>UBERTEC SERVICE USINAGEM LTDA EPP</v>
      </c>
      <c r="I1279">
        <f t="shared" si="97"/>
        <v>0</v>
      </c>
      <c r="J1279">
        <f t="shared" si="98"/>
        <v>1</v>
      </c>
    </row>
    <row r="1280" spans="1:10" x14ac:dyDescent="0.25">
      <c r="A1280" t="s">
        <v>398</v>
      </c>
      <c r="B1280" t="s">
        <v>144</v>
      </c>
      <c r="C1280" t="s">
        <v>56</v>
      </c>
      <c r="D1280" s="3">
        <v>45678</v>
      </c>
      <c r="E1280" t="str">
        <f>VLOOKUP(B1280,'PROCV GERENTES BD'!A:B,2,0)</f>
        <v>PRISCILA METZ</v>
      </c>
      <c r="F1280" s="4" t="str">
        <f t="shared" si="99"/>
        <v>2025-01-2</v>
      </c>
      <c r="G1280" t="str">
        <f t="shared" si="95"/>
        <v>PRISCILA METZ</v>
      </c>
      <c r="H1280" t="str">
        <f t="shared" si="96"/>
        <v>VLF IMPERIAL LATICINIOS LTDA ME</v>
      </c>
      <c r="I1280">
        <f t="shared" si="97"/>
        <v>0</v>
      </c>
      <c r="J1280">
        <f t="shared" si="98"/>
        <v>1</v>
      </c>
    </row>
    <row r="1281" spans="1:10" x14ac:dyDescent="0.25">
      <c r="A1281" t="s">
        <v>442</v>
      </c>
      <c r="B1281" t="s">
        <v>192</v>
      </c>
      <c r="C1281" t="s">
        <v>56</v>
      </c>
      <c r="D1281" s="3">
        <v>45678</v>
      </c>
      <c r="E1281" t="str">
        <f>VLOOKUP(B1281,'PROCV GERENTES BD'!A:B,2,0)</f>
        <v>RAFAEL PARISE</v>
      </c>
      <c r="F1281" s="4" t="str">
        <f t="shared" si="99"/>
        <v>2025-01-2</v>
      </c>
      <c r="G1281" t="str">
        <f t="shared" si="95"/>
        <v>RAFAEL PARISE</v>
      </c>
      <c r="H1281" t="str">
        <f t="shared" si="96"/>
        <v>MARCAS COMERCIO LTDA ME</v>
      </c>
      <c r="I1281">
        <f t="shared" si="97"/>
        <v>0</v>
      </c>
      <c r="J1281">
        <f t="shared" si="98"/>
        <v>1</v>
      </c>
    </row>
    <row r="1282" spans="1:10" x14ac:dyDescent="0.25">
      <c r="A1282" t="s">
        <v>437</v>
      </c>
      <c r="B1282" t="s">
        <v>187</v>
      </c>
      <c r="C1282" t="s">
        <v>72</v>
      </c>
      <c r="D1282" s="3">
        <v>45678</v>
      </c>
      <c r="E1282" t="s">
        <v>25</v>
      </c>
      <c r="F1282" s="4" t="str">
        <f t="shared" si="99"/>
        <v>2025-01-2</v>
      </c>
      <c r="G1282" t="str">
        <f t="shared" ref="G1282:G1345" si="100">E1282</f>
        <v xml:space="preserve">ROGERIO </v>
      </c>
      <c r="H1282" t="str">
        <f t="shared" ref="H1282:H1345" si="101">B1282</f>
        <v>ENCADESP LTDA ME</v>
      </c>
      <c r="I1282">
        <f t="shared" ref="I1282:I1345" si="102">IF(C1282="EXCLUSAO  ANOT.INADIMPLENCIA",1,0)</f>
        <v>1</v>
      </c>
      <c r="J1282">
        <f t="shared" ref="J1282:J1345" si="103">IF(C1282="INCLUSAO  ANOT.INADIMPLENCIA",1,0)</f>
        <v>0</v>
      </c>
    </row>
    <row r="1283" spans="1:10" x14ac:dyDescent="0.25">
      <c r="A1283" t="s">
        <v>445</v>
      </c>
      <c r="B1283" t="s">
        <v>195</v>
      </c>
      <c r="C1283" t="s">
        <v>56</v>
      </c>
      <c r="D1283" s="3">
        <v>45678</v>
      </c>
      <c r="E1283" t="s">
        <v>25</v>
      </c>
      <c r="F1283" s="4" t="str">
        <f t="shared" ref="F1283:F1346" si="104">YEAR(D1283)&amp;"-"&amp;TEXT(MONTH(D1283),"00")&amp;"-"&amp;IF(DAY(D1283)&lt;=15,"1",IF(DAY(D1283)&gt;15,"2",""))</f>
        <v>2025-01-2</v>
      </c>
      <c r="G1283" t="str">
        <f t="shared" si="100"/>
        <v xml:space="preserve">ROGERIO </v>
      </c>
      <c r="H1283" t="str">
        <f t="shared" si="101"/>
        <v>OFFICER INDUSTRIA QUIMICA LTDA EPP</v>
      </c>
      <c r="I1283">
        <f t="shared" si="102"/>
        <v>0</v>
      </c>
      <c r="J1283">
        <f t="shared" si="103"/>
        <v>1</v>
      </c>
    </row>
    <row r="1284" spans="1:10" x14ac:dyDescent="0.25">
      <c r="A1284" t="s">
        <v>321</v>
      </c>
      <c r="B1284" t="s">
        <v>104</v>
      </c>
      <c r="C1284" t="s">
        <v>56</v>
      </c>
      <c r="D1284" s="3">
        <v>45678</v>
      </c>
      <c r="E1284" t="str">
        <f>VLOOKUP(B1284,'PROCV GERENTES BD'!A:B,2,0)</f>
        <v>THAYNA/COMERCIAL</v>
      </c>
      <c r="F1284" s="4" t="str">
        <f t="shared" si="104"/>
        <v>2025-01-2</v>
      </c>
      <c r="G1284" t="str">
        <f t="shared" si="100"/>
        <v>THAYNA/COMERCIAL</v>
      </c>
      <c r="H1284" t="str">
        <f t="shared" si="101"/>
        <v>MUTCD CENTRO DISTRIBUICAO IND FABRICANTE COSMETICO</v>
      </c>
      <c r="I1284">
        <f t="shared" si="102"/>
        <v>0</v>
      </c>
      <c r="J1284">
        <f t="shared" si="103"/>
        <v>1</v>
      </c>
    </row>
    <row r="1285" spans="1:10" x14ac:dyDescent="0.25">
      <c r="A1285" t="s">
        <v>339</v>
      </c>
      <c r="B1285" t="s">
        <v>151</v>
      </c>
      <c r="C1285" t="s">
        <v>56</v>
      </c>
      <c r="D1285" s="3">
        <v>45679</v>
      </c>
      <c r="E1285" t="str">
        <f>VLOOKUP(B1285,'PROCV GERENTES BD'!A:B,2,0)</f>
        <v>ADMINISTRAÇÃO</v>
      </c>
      <c r="F1285" s="4" t="str">
        <f t="shared" si="104"/>
        <v>2025-01-2</v>
      </c>
      <c r="G1285" t="str">
        <f t="shared" si="100"/>
        <v>ADMINISTRAÇÃO</v>
      </c>
      <c r="H1285" t="str">
        <f t="shared" si="101"/>
        <v>BOM PASTOR PAPEIS LTDA EM RECUPERACAO JUDICIAL</v>
      </c>
      <c r="I1285">
        <f t="shared" si="102"/>
        <v>0</v>
      </c>
      <c r="J1285">
        <f t="shared" si="103"/>
        <v>1</v>
      </c>
    </row>
    <row r="1286" spans="1:10" x14ac:dyDescent="0.25">
      <c r="A1286" t="s">
        <v>435</v>
      </c>
      <c r="B1286" t="s">
        <v>185</v>
      </c>
      <c r="C1286" t="s">
        <v>335</v>
      </c>
      <c r="D1286" s="3">
        <v>45679</v>
      </c>
      <c r="E1286" t="str">
        <f>VLOOKUP(B1286,'PROCV GERENTES BD'!A:B,2,0)</f>
        <v>ADMINISTRAÇÃO</v>
      </c>
      <c r="F1286" s="4" t="str">
        <f t="shared" si="104"/>
        <v>2025-01-2</v>
      </c>
      <c r="G1286" t="str">
        <f t="shared" si="100"/>
        <v>ADMINISTRAÇÃO</v>
      </c>
      <c r="H1286" t="str">
        <f t="shared" si="101"/>
        <v>LIZZENA COSMETICOS LTDA EPP</v>
      </c>
      <c r="I1286">
        <f t="shared" si="102"/>
        <v>0</v>
      </c>
      <c r="J1286">
        <f t="shared" si="103"/>
        <v>0</v>
      </c>
    </row>
    <row r="1287" spans="1:10" x14ac:dyDescent="0.25">
      <c r="A1287" t="s">
        <v>435</v>
      </c>
      <c r="B1287" t="s">
        <v>185</v>
      </c>
      <c r="C1287" t="s">
        <v>337</v>
      </c>
      <c r="D1287" s="3">
        <v>45679</v>
      </c>
      <c r="E1287" t="str">
        <f>VLOOKUP(B1287,'PROCV GERENTES BD'!A:B,2,0)</f>
        <v>ADMINISTRAÇÃO</v>
      </c>
      <c r="F1287" s="4" t="str">
        <f t="shared" si="104"/>
        <v>2025-01-2</v>
      </c>
      <c r="G1287" t="str">
        <f t="shared" si="100"/>
        <v>ADMINISTRAÇÃO</v>
      </c>
      <c r="H1287" t="str">
        <f t="shared" si="101"/>
        <v>LIZZENA COSMETICOS LTDA EPP</v>
      </c>
      <c r="I1287">
        <f t="shared" si="102"/>
        <v>0</v>
      </c>
      <c r="J1287">
        <f t="shared" si="103"/>
        <v>0</v>
      </c>
    </row>
    <row r="1288" spans="1:10" x14ac:dyDescent="0.25">
      <c r="A1288" t="s">
        <v>457</v>
      </c>
      <c r="B1288" t="s">
        <v>213</v>
      </c>
      <c r="C1288" t="s">
        <v>335</v>
      </c>
      <c r="D1288" s="3">
        <v>45679</v>
      </c>
      <c r="E1288" t="str">
        <f>VLOOKUP(B1288,'PROCV GERENTES BD'!A:B,2,0)</f>
        <v>ANTONIO CARLOS</v>
      </c>
      <c r="F1288" s="4" t="str">
        <f t="shared" si="104"/>
        <v>2025-01-2</v>
      </c>
      <c r="G1288" t="str">
        <f t="shared" si="100"/>
        <v>ANTONIO CARLOS</v>
      </c>
      <c r="H1288" t="str">
        <f t="shared" si="101"/>
        <v>P P DISTRIBUIDORA LTDA</v>
      </c>
      <c r="I1288">
        <f t="shared" si="102"/>
        <v>0</v>
      </c>
      <c r="J1288">
        <f t="shared" si="103"/>
        <v>0</v>
      </c>
    </row>
    <row r="1289" spans="1:10" x14ac:dyDescent="0.25">
      <c r="A1289" t="s">
        <v>311</v>
      </c>
      <c r="B1289" t="s">
        <v>130</v>
      </c>
      <c r="C1289" t="s">
        <v>72</v>
      </c>
      <c r="D1289" s="3">
        <v>45679</v>
      </c>
      <c r="E1289" t="str">
        <f>VLOOKUP(B1289,'PROCV GERENTES BD'!A:B,2,0)</f>
        <v>ANTONIO CARLOS</v>
      </c>
      <c r="F1289" s="4" t="str">
        <f t="shared" si="104"/>
        <v>2025-01-2</v>
      </c>
      <c r="G1289" t="str">
        <f t="shared" si="100"/>
        <v>ANTONIO CARLOS</v>
      </c>
      <c r="H1289" t="str">
        <f t="shared" si="101"/>
        <v>VIC LOGISTICA LTDA EM RECUPERACAO JUDICIAL</v>
      </c>
      <c r="I1289">
        <f t="shared" si="102"/>
        <v>1</v>
      </c>
      <c r="J1289">
        <f t="shared" si="103"/>
        <v>0</v>
      </c>
    </row>
    <row r="1290" spans="1:10" x14ac:dyDescent="0.25">
      <c r="A1290" t="s">
        <v>458</v>
      </c>
      <c r="B1290" t="s">
        <v>214</v>
      </c>
      <c r="C1290" t="s">
        <v>56</v>
      </c>
      <c r="D1290" s="3">
        <v>45679</v>
      </c>
      <c r="E1290" t="str">
        <f>VLOOKUP(B1290,'PROCV GERENTES BD'!A:B,2,0)</f>
        <v>CELIO PIMENTA</v>
      </c>
      <c r="F1290" s="4" t="str">
        <f t="shared" si="104"/>
        <v>2025-01-2</v>
      </c>
      <c r="G1290" t="str">
        <f t="shared" si="100"/>
        <v>CELIO PIMENTA</v>
      </c>
      <c r="H1290" t="str">
        <f t="shared" si="101"/>
        <v>LIDER COMERCIO DE UNIFORMES E EPI S LTDA ME</v>
      </c>
      <c r="I1290">
        <f t="shared" si="102"/>
        <v>0</v>
      </c>
      <c r="J1290">
        <f t="shared" si="103"/>
        <v>1</v>
      </c>
    </row>
    <row r="1291" spans="1:10" x14ac:dyDescent="0.25">
      <c r="A1291" t="s">
        <v>382</v>
      </c>
      <c r="B1291" t="s">
        <v>125</v>
      </c>
      <c r="C1291" t="s">
        <v>56</v>
      </c>
      <c r="D1291" s="3">
        <v>45679</v>
      </c>
      <c r="E1291" t="str">
        <f>VLOOKUP(B1291,'PROCV GERENTES BD'!A:B,2,0)</f>
        <v>CELIO PIMENTA</v>
      </c>
      <c r="F1291" s="4" t="str">
        <f t="shared" si="104"/>
        <v>2025-01-2</v>
      </c>
      <c r="G1291" t="str">
        <f t="shared" si="100"/>
        <v>CELIO PIMENTA</v>
      </c>
      <c r="H1291" t="str">
        <f t="shared" si="101"/>
        <v>MINAS ALIMENTOS E FRUTAS SECAS LTDA EPP</v>
      </c>
      <c r="I1291">
        <f t="shared" si="102"/>
        <v>0</v>
      </c>
      <c r="J1291">
        <f t="shared" si="103"/>
        <v>1</v>
      </c>
    </row>
    <row r="1292" spans="1:10" x14ac:dyDescent="0.25">
      <c r="A1292" t="s">
        <v>386</v>
      </c>
      <c r="B1292" t="s">
        <v>132</v>
      </c>
      <c r="C1292" t="s">
        <v>72</v>
      </c>
      <c r="D1292" s="3">
        <v>45679</v>
      </c>
      <c r="E1292" t="str">
        <f>VLOOKUP(B1292,'PROCV GERENTES BD'!A:B,2,0)</f>
        <v>CELIO PIMENTA</v>
      </c>
      <c r="F1292" s="4" t="str">
        <f t="shared" si="104"/>
        <v>2025-01-2</v>
      </c>
      <c r="G1292" t="str">
        <f t="shared" si="100"/>
        <v>CELIO PIMENTA</v>
      </c>
      <c r="H1292" t="str">
        <f t="shared" si="101"/>
        <v>PHOENIX LOG TRANSPORTES LTDA EPP</v>
      </c>
      <c r="I1292">
        <f t="shared" si="102"/>
        <v>1</v>
      </c>
      <c r="J1292">
        <f t="shared" si="103"/>
        <v>0</v>
      </c>
    </row>
    <row r="1293" spans="1:10" x14ac:dyDescent="0.25">
      <c r="A1293" t="s">
        <v>385</v>
      </c>
      <c r="B1293" t="s">
        <v>131</v>
      </c>
      <c r="C1293" t="s">
        <v>56</v>
      </c>
      <c r="D1293" s="3">
        <v>45679</v>
      </c>
      <c r="E1293" t="str">
        <f>VLOOKUP(B1293,'PROCV GERENTES BD'!A:B,2,0)</f>
        <v>EDUARDO MATOSO</v>
      </c>
      <c r="F1293" s="4" t="str">
        <f t="shared" si="104"/>
        <v>2025-01-2</v>
      </c>
      <c r="G1293" t="str">
        <f t="shared" si="100"/>
        <v>EDUARDO MATOSO</v>
      </c>
      <c r="H1293" t="str">
        <f t="shared" si="101"/>
        <v>STONE ENGENHARIA E MONTAGENS INDUSTRIAIS LTDA</v>
      </c>
      <c r="I1293">
        <f t="shared" si="102"/>
        <v>0</v>
      </c>
      <c r="J1293">
        <f t="shared" si="103"/>
        <v>1</v>
      </c>
    </row>
    <row r="1294" spans="1:10" x14ac:dyDescent="0.25">
      <c r="A1294" t="s">
        <v>331</v>
      </c>
      <c r="B1294" t="s">
        <v>126</v>
      </c>
      <c r="C1294" t="s">
        <v>56</v>
      </c>
      <c r="D1294" s="3">
        <v>45679</v>
      </c>
      <c r="E1294" t="str">
        <f>VLOOKUP(B1294,'PROCV GERENTES BD'!A:B,2,0)</f>
        <v>FITZ</v>
      </c>
      <c r="F1294" s="4" t="str">
        <f t="shared" si="104"/>
        <v>2025-01-2</v>
      </c>
      <c r="G1294" t="str">
        <f t="shared" si="100"/>
        <v>FITZ</v>
      </c>
      <c r="H1294" t="str">
        <f t="shared" si="101"/>
        <v>TRANSHENRY TRANSPORTES LTDA</v>
      </c>
      <c r="I1294">
        <f t="shared" si="102"/>
        <v>0</v>
      </c>
      <c r="J1294">
        <f t="shared" si="103"/>
        <v>1</v>
      </c>
    </row>
    <row r="1295" spans="1:10" x14ac:dyDescent="0.25">
      <c r="A1295" t="s">
        <v>325</v>
      </c>
      <c r="B1295" t="s">
        <v>210</v>
      </c>
      <c r="C1295" t="s">
        <v>56</v>
      </c>
      <c r="D1295" s="3">
        <v>45679</v>
      </c>
      <c r="E1295" t="str">
        <f>VLOOKUP(B1295,'PROCV GERENTES BD'!A:B,2,0)</f>
        <v>JOSE ROBERTO</v>
      </c>
      <c r="F1295" s="4" t="str">
        <f t="shared" si="104"/>
        <v>2025-01-2</v>
      </c>
      <c r="G1295" t="str">
        <f t="shared" si="100"/>
        <v>JOSE ROBERTO</v>
      </c>
      <c r="H1295" t="str">
        <f t="shared" si="101"/>
        <v>FUNDACAO DE ENSINO E PESQUISA DO SUL DE MINAS FEPE</v>
      </c>
      <c r="I1295">
        <f t="shared" si="102"/>
        <v>0</v>
      </c>
      <c r="J1295">
        <f t="shared" si="103"/>
        <v>1</v>
      </c>
    </row>
    <row r="1296" spans="1:10" x14ac:dyDescent="0.25">
      <c r="A1296" t="s">
        <v>403</v>
      </c>
      <c r="B1296" t="s">
        <v>152</v>
      </c>
      <c r="C1296" t="s">
        <v>56</v>
      </c>
      <c r="D1296" s="3">
        <v>45679</v>
      </c>
      <c r="E1296" t="str">
        <f>VLOOKUP(B1296,'PROCV GERENTES BD'!A:B,2,0)</f>
        <v>MARCIO LEONEL</v>
      </c>
      <c r="F1296" s="4" t="str">
        <f t="shared" si="104"/>
        <v>2025-01-2</v>
      </c>
      <c r="G1296" t="str">
        <f t="shared" si="100"/>
        <v>MARCIO LEONEL</v>
      </c>
      <c r="H1296" t="str">
        <f t="shared" si="101"/>
        <v>MEDICAL PRIME IMP EXPORT DISTRIB PRODUTOS MEDICOS</v>
      </c>
      <c r="I1296">
        <f t="shared" si="102"/>
        <v>0</v>
      </c>
      <c r="J1296">
        <f t="shared" si="103"/>
        <v>1</v>
      </c>
    </row>
    <row r="1297" spans="1:10" x14ac:dyDescent="0.25">
      <c r="A1297" t="s">
        <v>317</v>
      </c>
      <c r="B1297" t="s">
        <v>211</v>
      </c>
      <c r="C1297" t="s">
        <v>56</v>
      </c>
      <c r="D1297" s="3">
        <v>45679</v>
      </c>
      <c r="E1297" t="str">
        <f>VLOOKUP(B1297,'PROCV GERENTES BD'!A:B,2,0)</f>
        <v xml:space="preserve">MARCUS VINICIUS </v>
      </c>
      <c r="F1297" s="4" t="str">
        <f t="shared" si="104"/>
        <v>2025-01-2</v>
      </c>
      <c r="G1297" t="str">
        <f t="shared" si="100"/>
        <v xml:space="preserve">MARCUS VINICIUS </v>
      </c>
      <c r="H1297" t="str">
        <f t="shared" si="101"/>
        <v>INDUSTRIA E COMERCIO DE CHURRASQUEIRAS BOM JESUS L</v>
      </c>
      <c r="I1297">
        <f t="shared" si="102"/>
        <v>0</v>
      </c>
      <c r="J1297">
        <f t="shared" si="103"/>
        <v>1</v>
      </c>
    </row>
    <row r="1298" spans="1:10" x14ac:dyDescent="0.25">
      <c r="A1298" t="s">
        <v>383</v>
      </c>
      <c r="B1298" t="s">
        <v>127</v>
      </c>
      <c r="C1298" t="s">
        <v>72</v>
      </c>
      <c r="D1298" s="3">
        <v>45679</v>
      </c>
      <c r="E1298" t="str">
        <f>VLOOKUP(B1298,'PROCV GERENTES BD'!A:B,2,0)</f>
        <v>NATALIA NUBIA</v>
      </c>
      <c r="F1298" s="4" t="str">
        <f t="shared" si="104"/>
        <v>2025-01-2</v>
      </c>
      <c r="G1298" t="str">
        <f t="shared" si="100"/>
        <v>NATALIA NUBIA</v>
      </c>
      <c r="H1298" t="str">
        <f t="shared" si="101"/>
        <v>FARINELLI NUTRIMENTOS LTDA</v>
      </c>
      <c r="I1298">
        <f t="shared" si="102"/>
        <v>1</v>
      </c>
      <c r="J1298">
        <f t="shared" si="103"/>
        <v>0</v>
      </c>
    </row>
    <row r="1299" spans="1:10" x14ac:dyDescent="0.25">
      <c r="A1299" t="s">
        <v>347</v>
      </c>
      <c r="B1299" t="s">
        <v>93</v>
      </c>
      <c r="C1299" t="s">
        <v>56</v>
      </c>
      <c r="D1299" s="3">
        <v>45679</v>
      </c>
      <c r="E1299" t="str">
        <f>VLOOKUP(B1299,'PROCV GERENTES BD'!A:B,2,0)</f>
        <v>NOELI SALETE</v>
      </c>
      <c r="F1299" s="4" t="str">
        <f t="shared" si="104"/>
        <v>2025-01-2</v>
      </c>
      <c r="G1299" t="str">
        <f t="shared" si="100"/>
        <v>NOELI SALETE</v>
      </c>
      <c r="H1299" t="str">
        <f t="shared" si="101"/>
        <v>RODOBOX TRANSPORTES E ARMAZENAGEM DE CARGAS LTDA</v>
      </c>
      <c r="I1299">
        <f t="shared" si="102"/>
        <v>0</v>
      </c>
      <c r="J1299">
        <f t="shared" si="103"/>
        <v>1</v>
      </c>
    </row>
    <row r="1300" spans="1:10" x14ac:dyDescent="0.25">
      <c r="A1300" t="s">
        <v>446</v>
      </c>
      <c r="B1300" t="s">
        <v>196</v>
      </c>
      <c r="C1300" t="s">
        <v>56</v>
      </c>
      <c r="D1300" s="3">
        <v>45679</v>
      </c>
      <c r="E1300" t="str">
        <f>VLOOKUP(B1300,'PROCV GERENTES BD'!A:B,2,0)</f>
        <v>NOELI SALETE</v>
      </c>
      <c r="F1300" s="4" t="str">
        <f t="shared" si="104"/>
        <v>2025-01-2</v>
      </c>
      <c r="G1300" t="str">
        <f t="shared" si="100"/>
        <v>NOELI SALETE</v>
      </c>
      <c r="H1300" t="str">
        <f t="shared" si="101"/>
        <v>AGRO INDUSTRIAL LAZZERI LTDA</v>
      </c>
      <c r="I1300">
        <f t="shared" si="102"/>
        <v>0</v>
      </c>
      <c r="J1300">
        <f t="shared" si="103"/>
        <v>1</v>
      </c>
    </row>
    <row r="1301" spans="1:10" x14ac:dyDescent="0.25">
      <c r="A1301" t="s">
        <v>459</v>
      </c>
      <c r="B1301" t="s">
        <v>215</v>
      </c>
      <c r="C1301" t="s">
        <v>56</v>
      </c>
      <c r="D1301" s="3">
        <v>45679</v>
      </c>
      <c r="E1301" t="str">
        <f>VLOOKUP(B1301,'PROCV GERENTES BD'!A:B,2,0)</f>
        <v>NOELI SALETE</v>
      </c>
      <c r="F1301" s="4" t="str">
        <f t="shared" si="104"/>
        <v>2025-01-2</v>
      </c>
      <c r="G1301" t="str">
        <f t="shared" si="100"/>
        <v>NOELI SALETE</v>
      </c>
      <c r="H1301" t="str">
        <f t="shared" si="101"/>
        <v>USIPARTS COMERCIO DE PECAS PARA USINAS LTDA ME</v>
      </c>
      <c r="I1301">
        <f t="shared" si="102"/>
        <v>0</v>
      </c>
      <c r="J1301">
        <f t="shared" si="103"/>
        <v>1</v>
      </c>
    </row>
    <row r="1302" spans="1:10" x14ac:dyDescent="0.25">
      <c r="A1302" t="s">
        <v>397</v>
      </c>
      <c r="B1302" t="s">
        <v>143</v>
      </c>
      <c r="C1302" t="s">
        <v>72</v>
      </c>
      <c r="D1302" s="3">
        <v>45679</v>
      </c>
      <c r="E1302" t="str">
        <f>VLOOKUP(B1302,'PROCV GERENTES BD'!A:B,2,0)</f>
        <v>POENATELA</v>
      </c>
      <c r="F1302" s="4" t="str">
        <f t="shared" si="104"/>
        <v>2025-01-2</v>
      </c>
      <c r="G1302" t="str">
        <f t="shared" si="100"/>
        <v>POENATELA</v>
      </c>
      <c r="H1302" t="str">
        <f t="shared" si="101"/>
        <v>CONQUISTA INDUSTRIA DE MOVEIS S/A</v>
      </c>
      <c r="I1302">
        <f t="shared" si="102"/>
        <v>1</v>
      </c>
      <c r="J1302">
        <f t="shared" si="103"/>
        <v>0</v>
      </c>
    </row>
    <row r="1303" spans="1:10" x14ac:dyDescent="0.25">
      <c r="A1303" t="s">
        <v>354</v>
      </c>
      <c r="B1303" t="s">
        <v>97</v>
      </c>
      <c r="C1303" t="s">
        <v>56</v>
      </c>
      <c r="D1303" s="3">
        <v>45679</v>
      </c>
      <c r="E1303" t="str">
        <f>VLOOKUP(B1303,'PROCV GERENTES BD'!A:B,2,0)</f>
        <v>POENATELA</v>
      </c>
      <c r="F1303" s="4" t="str">
        <f t="shared" si="104"/>
        <v>2025-01-2</v>
      </c>
      <c r="G1303" t="str">
        <f t="shared" si="100"/>
        <v>POENATELA</v>
      </c>
      <c r="H1303" t="str">
        <f t="shared" si="101"/>
        <v>UBERTEC SERVICE USINAGEM LTDA EPP</v>
      </c>
      <c r="I1303">
        <f t="shared" si="102"/>
        <v>0</v>
      </c>
      <c r="J1303">
        <f t="shared" si="103"/>
        <v>1</v>
      </c>
    </row>
    <row r="1304" spans="1:10" x14ac:dyDescent="0.25">
      <c r="A1304" t="s">
        <v>460</v>
      </c>
      <c r="B1304" t="s">
        <v>216</v>
      </c>
      <c r="C1304" t="s">
        <v>56</v>
      </c>
      <c r="D1304" s="3">
        <v>45679</v>
      </c>
      <c r="E1304" t="str">
        <f>VLOOKUP(B1304,'PROCV GERENTES BD'!A:B,2,0)</f>
        <v>PRISCILA METZ</v>
      </c>
      <c r="F1304" s="4" t="str">
        <f t="shared" si="104"/>
        <v>2025-01-2</v>
      </c>
      <c r="G1304" t="str">
        <f t="shared" si="100"/>
        <v>PRISCILA METZ</v>
      </c>
      <c r="H1304" t="str">
        <f t="shared" si="101"/>
        <v>D M RODRIGUES LTDA ME</v>
      </c>
      <c r="I1304">
        <f t="shared" si="102"/>
        <v>0</v>
      </c>
      <c r="J1304">
        <f t="shared" si="103"/>
        <v>1</v>
      </c>
    </row>
    <row r="1305" spans="1:10" x14ac:dyDescent="0.25">
      <c r="A1305" t="s">
        <v>369</v>
      </c>
      <c r="B1305" t="s">
        <v>113</v>
      </c>
      <c r="C1305" t="s">
        <v>72</v>
      </c>
      <c r="D1305" s="3">
        <v>45679</v>
      </c>
      <c r="E1305" t="str">
        <f>VLOOKUP(B1305,'PROCV GERENTES BD'!A:B,2,0)</f>
        <v>PRISCILA METZ</v>
      </c>
      <c r="F1305" s="4" t="str">
        <f t="shared" si="104"/>
        <v>2025-01-2</v>
      </c>
      <c r="G1305" t="str">
        <f t="shared" si="100"/>
        <v>PRISCILA METZ</v>
      </c>
      <c r="H1305" t="str">
        <f t="shared" si="101"/>
        <v>HERBAMED LABORATORIO NUTRACEUTICO LTDA</v>
      </c>
      <c r="I1305">
        <f t="shared" si="102"/>
        <v>1</v>
      </c>
      <c r="J1305">
        <f t="shared" si="103"/>
        <v>0</v>
      </c>
    </row>
    <row r="1306" spans="1:10" x14ac:dyDescent="0.25">
      <c r="A1306" t="s">
        <v>461</v>
      </c>
      <c r="B1306" t="s">
        <v>217</v>
      </c>
      <c r="C1306" t="s">
        <v>56</v>
      </c>
      <c r="D1306" s="3">
        <v>45679</v>
      </c>
      <c r="E1306" t="str">
        <f>VLOOKUP(B1306,'PROCV GERENTES BD'!A:B,2,0)</f>
        <v>RAFAEL PARISE</v>
      </c>
      <c r="F1306" s="4" t="str">
        <f t="shared" si="104"/>
        <v>2025-01-2</v>
      </c>
      <c r="G1306" t="str">
        <f t="shared" si="100"/>
        <v>RAFAEL PARISE</v>
      </c>
      <c r="H1306" t="str">
        <f t="shared" si="101"/>
        <v>BEIJA FLOR COMERCIO DE TINTAS LTDA</v>
      </c>
      <c r="I1306">
        <f t="shared" si="102"/>
        <v>0</v>
      </c>
      <c r="J1306">
        <f t="shared" si="103"/>
        <v>1</v>
      </c>
    </row>
    <row r="1307" spans="1:10" x14ac:dyDescent="0.25">
      <c r="A1307" t="s">
        <v>462</v>
      </c>
      <c r="B1307" t="s">
        <v>218</v>
      </c>
      <c r="C1307" t="s">
        <v>56</v>
      </c>
      <c r="D1307" s="3">
        <v>45679</v>
      </c>
      <c r="E1307" t="str">
        <f>VLOOKUP(B1307,'PROCV GERENTES BD'!A:B,2,0)</f>
        <v>RAFAEL PARISE</v>
      </c>
      <c r="F1307" s="4" t="str">
        <f t="shared" si="104"/>
        <v>2025-01-2</v>
      </c>
      <c r="G1307" t="str">
        <f t="shared" si="100"/>
        <v>RAFAEL PARISE</v>
      </c>
      <c r="H1307" t="str">
        <f t="shared" si="101"/>
        <v>TREGA FILHOS EMPACOTAMENTO E DISTRIBUICAO LTDA ME</v>
      </c>
      <c r="I1307">
        <f t="shared" si="102"/>
        <v>0</v>
      </c>
      <c r="J1307">
        <f t="shared" si="103"/>
        <v>1</v>
      </c>
    </row>
    <row r="1308" spans="1:10" x14ac:dyDescent="0.25">
      <c r="A1308" t="s">
        <v>370</v>
      </c>
      <c r="B1308" t="s">
        <v>114</v>
      </c>
      <c r="C1308" t="s">
        <v>56</v>
      </c>
      <c r="D1308" s="3">
        <v>45679</v>
      </c>
      <c r="E1308" t="s">
        <v>25</v>
      </c>
      <c r="F1308" s="4" t="str">
        <f t="shared" si="104"/>
        <v>2025-01-2</v>
      </c>
      <c r="G1308" t="str">
        <f t="shared" si="100"/>
        <v xml:space="preserve">ROGERIO </v>
      </c>
      <c r="H1308" t="str">
        <f t="shared" si="101"/>
        <v>EVOLUTION MACHINES LTDA ME</v>
      </c>
      <c r="I1308">
        <f t="shared" si="102"/>
        <v>0</v>
      </c>
      <c r="J1308">
        <f t="shared" si="103"/>
        <v>1</v>
      </c>
    </row>
    <row r="1309" spans="1:10" x14ac:dyDescent="0.25">
      <c r="A1309" t="s">
        <v>321</v>
      </c>
      <c r="B1309" t="s">
        <v>104</v>
      </c>
      <c r="C1309" t="s">
        <v>335</v>
      </c>
      <c r="D1309" s="3">
        <v>45679</v>
      </c>
      <c r="E1309" t="str">
        <f>VLOOKUP(B1309,'PROCV GERENTES BD'!A:B,2,0)</f>
        <v>THAYNA/COMERCIAL</v>
      </c>
      <c r="F1309" s="4" t="str">
        <f t="shared" si="104"/>
        <v>2025-01-2</v>
      </c>
      <c r="G1309" t="str">
        <f t="shared" si="100"/>
        <v>THAYNA/COMERCIAL</v>
      </c>
      <c r="H1309" t="str">
        <f t="shared" si="101"/>
        <v>MUTCD CENTRO DISTRIBUICAO IND FABRICANTE COSMETICO</v>
      </c>
      <c r="I1309">
        <f t="shared" si="102"/>
        <v>0</v>
      </c>
      <c r="J1309">
        <f t="shared" si="103"/>
        <v>0</v>
      </c>
    </row>
    <row r="1310" spans="1:10" x14ac:dyDescent="0.25">
      <c r="A1310" t="s">
        <v>321</v>
      </c>
      <c r="B1310" t="s">
        <v>104</v>
      </c>
      <c r="C1310" t="s">
        <v>56</v>
      </c>
      <c r="D1310" s="3">
        <v>45679</v>
      </c>
      <c r="E1310" t="str">
        <f>VLOOKUP(B1310,'PROCV GERENTES BD'!A:B,2,0)</f>
        <v>THAYNA/COMERCIAL</v>
      </c>
      <c r="F1310" s="4" t="str">
        <f t="shared" si="104"/>
        <v>2025-01-2</v>
      </c>
      <c r="G1310" t="str">
        <f t="shared" si="100"/>
        <v>THAYNA/COMERCIAL</v>
      </c>
      <c r="H1310" t="str">
        <f t="shared" si="101"/>
        <v>MUTCD CENTRO DISTRIBUICAO IND FABRICANTE COSMETICO</v>
      </c>
      <c r="I1310">
        <f t="shared" si="102"/>
        <v>0</v>
      </c>
      <c r="J1310">
        <f t="shared" si="103"/>
        <v>1</v>
      </c>
    </row>
    <row r="1311" spans="1:10" x14ac:dyDescent="0.25">
      <c r="A1311" t="s">
        <v>463</v>
      </c>
      <c r="B1311" t="s">
        <v>219</v>
      </c>
      <c r="C1311" t="s">
        <v>72</v>
      </c>
      <c r="D1311" s="3">
        <v>45680</v>
      </c>
      <c r="E1311" t="str">
        <f>VLOOKUP(B1311,'PROCV GERENTES BD'!A:B,2,0)</f>
        <v>ADMINISTRAÇÃO</v>
      </c>
      <c r="F1311" s="4" t="str">
        <f t="shared" si="104"/>
        <v>2025-01-2</v>
      </c>
      <c r="G1311" t="str">
        <f t="shared" si="100"/>
        <v>ADMINISTRAÇÃO</v>
      </c>
      <c r="H1311" t="str">
        <f t="shared" si="101"/>
        <v>MAIS LAR ENGENHARIA LTDA</v>
      </c>
      <c r="I1311">
        <f t="shared" si="102"/>
        <v>1</v>
      </c>
      <c r="J1311">
        <f t="shared" si="103"/>
        <v>0</v>
      </c>
    </row>
    <row r="1312" spans="1:10" x14ac:dyDescent="0.25">
      <c r="A1312" t="s">
        <v>311</v>
      </c>
      <c r="B1312" t="s">
        <v>130</v>
      </c>
      <c r="C1312" t="s">
        <v>72</v>
      </c>
      <c r="D1312" s="3">
        <v>45680</v>
      </c>
      <c r="E1312" t="str">
        <f>VLOOKUP(B1312,'PROCV GERENTES BD'!A:B,2,0)</f>
        <v>ANTONIO CARLOS</v>
      </c>
      <c r="F1312" s="4" t="str">
        <f t="shared" si="104"/>
        <v>2025-01-2</v>
      </c>
      <c r="G1312" t="str">
        <f t="shared" si="100"/>
        <v>ANTONIO CARLOS</v>
      </c>
      <c r="H1312" t="str">
        <f t="shared" si="101"/>
        <v>VIC LOGISTICA LTDA EM RECUPERACAO JUDICIAL</v>
      </c>
      <c r="I1312">
        <f t="shared" si="102"/>
        <v>1</v>
      </c>
      <c r="J1312">
        <f t="shared" si="103"/>
        <v>0</v>
      </c>
    </row>
    <row r="1313" spans="1:10" x14ac:dyDescent="0.25">
      <c r="A1313" t="s">
        <v>450</v>
      </c>
      <c r="B1313" t="s">
        <v>200</v>
      </c>
      <c r="C1313" t="s">
        <v>72</v>
      </c>
      <c r="D1313" s="3">
        <v>45680</v>
      </c>
      <c r="E1313" t="str">
        <f>VLOOKUP(B1313,'PROCV GERENTES BD'!A:B,2,0)</f>
        <v>CELIO PIMENTA</v>
      </c>
      <c r="F1313" s="4" t="str">
        <f t="shared" si="104"/>
        <v>2025-01-2</v>
      </c>
      <c r="G1313" t="str">
        <f t="shared" si="100"/>
        <v>CELIO PIMENTA</v>
      </c>
      <c r="H1313" t="str">
        <f t="shared" si="101"/>
        <v>CIA TEXTIL LTDA ME</v>
      </c>
      <c r="I1313">
        <f t="shared" si="102"/>
        <v>1</v>
      </c>
      <c r="J1313">
        <f t="shared" si="103"/>
        <v>0</v>
      </c>
    </row>
    <row r="1314" spans="1:10" x14ac:dyDescent="0.25">
      <c r="A1314" t="s">
        <v>326</v>
      </c>
      <c r="B1314" t="s">
        <v>86</v>
      </c>
      <c r="C1314" t="s">
        <v>59</v>
      </c>
      <c r="D1314" s="3">
        <v>45680</v>
      </c>
      <c r="E1314" t="str">
        <f>VLOOKUP(B1314,'PROCV GERENTES BD'!A:B,2,0)</f>
        <v>CELIO PIMENTA</v>
      </c>
      <c r="F1314" s="4" t="str">
        <f t="shared" si="104"/>
        <v>2025-01-2</v>
      </c>
      <c r="G1314" t="str">
        <f t="shared" si="100"/>
        <v>CELIO PIMENTA</v>
      </c>
      <c r="H1314" t="str">
        <f t="shared" si="101"/>
        <v>IMPORTEXTIL COMERCIO DE TECIDOS LTDA</v>
      </c>
      <c r="I1314">
        <f t="shared" si="102"/>
        <v>0</v>
      </c>
      <c r="J1314">
        <f t="shared" si="103"/>
        <v>0</v>
      </c>
    </row>
    <row r="1315" spans="1:10" x14ac:dyDescent="0.25">
      <c r="A1315" t="s">
        <v>331</v>
      </c>
      <c r="B1315" t="s">
        <v>126</v>
      </c>
      <c r="C1315" t="s">
        <v>72</v>
      </c>
      <c r="D1315" s="3">
        <v>45680</v>
      </c>
      <c r="E1315" t="str">
        <f>VLOOKUP(B1315,'PROCV GERENTES BD'!A:B,2,0)</f>
        <v>FITZ</v>
      </c>
      <c r="F1315" s="4" t="str">
        <f t="shared" si="104"/>
        <v>2025-01-2</v>
      </c>
      <c r="G1315" t="str">
        <f t="shared" si="100"/>
        <v>FITZ</v>
      </c>
      <c r="H1315" t="str">
        <f t="shared" si="101"/>
        <v>TRANSHENRY TRANSPORTES LTDA</v>
      </c>
      <c r="I1315">
        <f t="shared" si="102"/>
        <v>1</v>
      </c>
      <c r="J1315">
        <f t="shared" si="103"/>
        <v>0</v>
      </c>
    </row>
    <row r="1316" spans="1:10" x14ac:dyDescent="0.25">
      <c r="A1316" t="s">
        <v>325</v>
      </c>
      <c r="B1316" t="s">
        <v>210</v>
      </c>
      <c r="C1316" t="s">
        <v>72</v>
      </c>
      <c r="D1316" s="3">
        <v>45680</v>
      </c>
      <c r="E1316" t="str">
        <f>VLOOKUP(B1316,'PROCV GERENTES BD'!A:B,2,0)</f>
        <v>JOSE ROBERTO</v>
      </c>
      <c r="F1316" s="4" t="str">
        <f t="shared" si="104"/>
        <v>2025-01-2</v>
      </c>
      <c r="G1316" t="str">
        <f t="shared" si="100"/>
        <v>JOSE ROBERTO</v>
      </c>
      <c r="H1316" t="str">
        <f t="shared" si="101"/>
        <v>FUNDACAO DE ENSINO E PESQUISA DO SUL DE MINAS FEPE</v>
      </c>
      <c r="I1316">
        <f t="shared" si="102"/>
        <v>1</v>
      </c>
      <c r="J1316">
        <f t="shared" si="103"/>
        <v>0</v>
      </c>
    </row>
    <row r="1317" spans="1:10" x14ac:dyDescent="0.25">
      <c r="A1317" t="s">
        <v>403</v>
      </c>
      <c r="B1317" t="s">
        <v>152</v>
      </c>
      <c r="C1317" t="s">
        <v>56</v>
      </c>
      <c r="D1317" s="3">
        <v>45680</v>
      </c>
      <c r="E1317" t="str">
        <f>VLOOKUP(B1317,'PROCV GERENTES BD'!A:B,2,0)</f>
        <v>MARCIO LEONEL</v>
      </c>
      <c r="F1317" s="4" t="str">
        <f t="shared" si="104"/>
        <v>2025-01-2</v>
      </c>
      <c r="G1317" t="str">
        <f t="shared" si="100"/>
        <v>MARCIO LEONEL</v>
      </c>
      <c r="H1317" t="str">
        <f t="shared" si="101"/>
        <v>MEDICAL PRIME IMP EXPORT DISTRIB PRODUTOS MEDICOS</v>
      </c>
      <c r="I1317">
        <f t="shared" si="102"/>
        <v>0</v>
      </c>
      <c r="J1317">
        <f t="shared" si="103"/>
        <v>1</v>
      </c>
    </row>
    <row r="1318" spans="1:10" x14ac:dyDescent="0.25">
      <c r="A1318" t="s">
        <v>66</v>
      </c>
      <c r="B1318" t="s">
        <v>67</v>
      </c>
      <c r="C1318" t="s">
        <v>56</v>
      </c>
      <c r="D1318" s="3">
        <v>45680</v>
      </c>
      <c r="E1318" t="str">
        <f>VLOOKUP(B1318,'PROCV GERENTES BD'!A:B,2,0)</f>
        <v xml:space="preserve">MARCUS VINICIUS </v>
      </c>
      <c r="F1318" s="4" t="str">
        <f t="shared" si="104"/>
        <v>2025-01-2</v>
      </c>
      <c r="G1318" t="str">
        <f t="shared" si="100"/>
        <v xml:space="preserve">MARCUS VINICIUS </v>
      </c>
      <c r="H1318" t="str">
        <f t="shared" si="101"/>
        <v>COM IND DE CEREAIS E TRANSPORTES MACIEL LTDA</v>
      </c>
      <c r="I1318">
        <f t="shared" si="102"/>
        <v>0</v>
      </c>
      <c r="J1318">
        <f t="shared" si="103"/>
        <v>1</v>
      </c>
    </row>
    <row r="1319" spans="1:10" x14ac:dyDescent="0.25">
      <c r="A1319" t="s">
        <v>377</v>
      </c>
      <c r="B1319" t="s">
        <v>120</v>
      </c>
      <c r="C1319" t="s">
        <v>56</v>
      </c>
      <c r="D1319" s="3">
        <v>45680</v>
      </c>
      <c r="E1319" t="str">
        <f>VLOOKUP(B1319,'PROCV GERENTES BD'!A:B,2,0)</f>
        <v xml:space="preserve">MARCUS VINICIUS </v>
      </c>
      <c r="F1319" s="4" t="str">
        <f t="shared" si="104"/>
        <v>2025-01-2</v>
      </c>
      <c r="G1319" t="str">
        <f t="shared" si="100"/>
        <v xml:space="preserve">MARCUS VINICIUS </v>
      </c>
      <c r="H1319" t="str">
        <f t="shared" si="101"/>
        <v>ISOBASE POLIESTIRENO LTDA EPP</v>
      </c>
      <c r="I1319">
        <f t="shared" si="102"/>
        <v>0</v>
      </c>
      <c r="J1319">
        <f t="shared" si="103"/>
        <v>1</v>
      </c>
    </row>
    <row r="1320" spans="1:10" x14ac:dyDescent="0.25">
      <c r="A1320" t="s">
        <v>436</v>
      </c>
      <c r="B1320" t="s">
        <v>186</v>
      </c>
      <c r="C1320" t="s">
        <v>56</v>
      </c>
      <c r="D1320" s="3">
        <v>45680</v>
      </c>
      <c r="E1320" t="str">
        <f>VLOOKUP(B1320,'PROCV GERENTES BD'!A:B,2,0)</f>
        <v xml:space="preserve">MARCUS VINICIUS </v>
      </c>
      <c r="F1320" s="4" t="str">
        <f t="shared" si="104"/>
        <v>2025-01-2</v>
      </c>
      <c r="G1320" t="str">
        <f t="shared" si="100"/>
        <v xml:space="preserve">MARCUS VINICIUS </v>
      </c>
      <c r="H1320" t="str">
        <f t="shared" si="101"/>
        <v>LABOR ELETRIC INDUSTRIA E COMERCIO UNIPESSOAL LTDA</v>
      </c>
      <c r="I1320">
        <f t="shared" si="102"/>
        <v>0</v>
      </c>
      <c r="J1320">
        <f t="shared" si="103"/>
        <v>1</v>
      </c>
    </row>
    <row r="1321" spans="1:10" x14ac:dyDescent="0.25">
      <c r="A1321" t="s">
        <v>392</v>
      </c>
      <c r="B1321" t="s">
        <v>138</v>
      </c>
      <c r="C1321" t="s">
        <v>56</v>
      </c>
      <c r="D1321" s="3">
        <v>45680</v>
      </c>
      <c r="E1321" t="str">
        <f>VLOOKUP(B1321,'PROCV GERENTES BD'!A:B,2,0)</f>
        <v xml:space="preserve">MARCUS VINICIUS </v>
      </c>
      <c r="F1321" s="4" t="str">
        <f t="shared" si="104"/>
        <v>2025-01-2</v>
      </c>
      <c r="G1321" t="str">
        <f t="shared" si="100"/>
        <v xml:space="preserve">MARCUS VINICIUS </v>
      </c>
      <c r="H1321" t="str">
        <f t="shared" si="101"/>
        <v>PALMILHADO INDUSTRIA E COMERCIO LTDA</v>
      </c>
      <c r="I1321">
        <f t="shared" si="102"/>
        <v>0</v>
      </c>
      <c r="J1321">
        <f t="shared" si="103"/>
        <v>1</v>
      </c>
    </row>
    <row r="1322" spans="1:10" x14ac:dyDescent="0.25">
      <c r="A1322" t="s">
        <v>393</v>
      </c>
      <c r="B1322" t="s">
        <v>139</v>
      </c>
      <c r="C1322" t="s">
        <v>59</v>
      </c>
      <c r="D1322" s="3">
        <v>45680</v>
      </c>
      <c r="E1322" t="str">
        <f>VLOOKUP(B1322,'PROCV GERENTES BD'!A:B,2,0)</f>
        <v xml:space="preserve">MARCUS VINICIUS </v>
      </c>
      <c r="F1322" s="4" t="str">
        <f t="shared" si="104"/>
        <v>2025-01-2</v>
      </c>
      <c r="G1322" t="str">
        <f t="shared" si="100"/>
        <v xml:space="preserve">MARCUS VINICIUS </v>
      </c>
      <c r="H1322" t="str">
        <f t="shared" si="101"/>
        <v>RODOANEL REFORMADORA DE IMPLEMENTOS RODOVIARIOS LT</v>
      </c>
      <c r="I1322">
        <f t="shared" si="102"/>
        <v>0</v>
      </c>
      <c r="J1322">
        <f t="shared" si="103"/>
        <v>0</v>
      </c>
    </row>
    <row r="1323" spans="1:10" x14ac:dyDescent="0.25">
      <c r="A1323" t="s">
        <v>426</v>
      </c>
      <c r="B1323" t="s">
        <v>175</v>
      </c>
      <c r="C1323" t="s">
        <v>56</v>
      </c>
      <c r="D1323" s="3">
        <v>45680</v>
      </c>
      <c r="E1323" t="str">
        <f>VLOOKUP(B1323,'PROCV GERENTES BD'!A:B,2,0)</f>
        <v>NATALIA NUBIA</v>
      </c>
      <c r="F1323" s="4" t="str">
        <f t="shared" si="104"/>
        <v>2025-01-2</v>
      </c>
      <c r="G1323" t="str">
        <f t="shared" si="100"/>
        <v>NATALIA NUBIA</v>
      </c>
      <c r="H1323" t="str">
        <f t="shared" si="101"/>
        <v>MAAT COMERCIO DE VESTUARIO LTDA EPP</v>
      </c>
      <c r="I1323">
        <f t="shared" si="102"/>
        <v>0</v>
      </c>
      <c r="J1323">
        <f t="shared" si="103"/>
        <v>1</v>
      </c>
    </row>
    <row r="1324" spans="1:10" x14ac:dyDescent="0.25">
      <c r="A1324" t="s">
        <v>446</v>
      </c>
      <c r="B1324" t="s">
        <v>196</v>
      </c>
      <c r="C1324" t="s">
        <v>59</v>
      </c>
      <c r="D1324" s="3">
        <v>45680</v>
      </c>
      <c r="E1324" t="str">
        <f>VLOOKUP(B1324,'PROCV GERENTES BD'!A:B,2,0)</f>
        <v>NOELI SALETE</v>
      </c>
      <c r="F1324" s="4" t="str">
        <f t="shared" si="104"/>
        <v>2025-01-2</v>
      </c>
      <c r="G1324" t="str">
        <f t="shared" si="100"/>
        <v>NOELI SALETE</v>
      </c>
      <c r="H1324" t="str">
        <f t="shared" si="101"/>
        <v>AGRO INDUSTRIAL LAZZERI LTDA</v>
      </c>
      <c r="I1324">
        <f t="shared" si="102"/>
        <v>0</v>
      </c>
      <c r="J1324">
        <f t="shared" si="103"/>
        <v>0</v>
      </c>
    </row>
    <row r="1325" spans="1:10" x14ac:dyDescent="0.25">
      <c r="A1325" t="s">
        <v>408</v>
      </c>
      <c r="B1325" t="s">
        <v>157</v>
      </c>
      <c r="C1325" t="s">
        <v>72</v>
      </c>
      <c r="D1325" s="3">
        <v>45680</v>
      </c>
      <c r="E1325" t="str">
        <f>VLOOKUP(B1325,'PROCV GERENTES BD'!A:B,2,0)</f>
        <v>NOELI SALETE</v>
      </c>
      <c r="F1325" s="4" t="str">
        <f t="shared" si="104"/>
        <v>2025-01-2</v>
      </c>
      <c r="G1325" t="str">
        <f t="shared" si="100"/>
        <v>NOELI SALETE</v>
      </c>
      <c r="H1325" t="str">
        <f t="shared" si="101"/>
        <v>POOLMAK SISTEMAS ESTRUTURAIS LTDA</v>
      </c>
      <c r="I1325">
        <f t="shared" si="102"/>
        <v>1</v>
      </c>
      <c r="J1325">
        <f t="shared" si="103"/>
        <v>0</v>
      </c>
    </row>
    <row r="1326" spans="1:10" x14ac:dyDescent="0.25">
      <c r="A1326" t="s">
        <v>397</v>
      </c>
      <c r="B1326" t="s">
        <v>143</v>
      </c>
      <c r="C1326" t="s">
        <v>72</v>
      </c>
      <c r="D1326" s="3">
        <v>45680</v>
      </c>
      <c r="E1326" t="str">
        <f>VLOOKUP(B1326,'PROCV GERENTES BD'!A:B,2,0)</f>
        <v>POENATELA</v>
      </c>
      <c r="F1326" s="4" t="str">
        <f t="shared" si="104"/>
        <v>2025-01-2</v>
      </c>
      <c r="G1326" t="str">
        <f t="shared" si="100"/>
        <v>POENATELA</v>
      </c>
      <c r="H1326" t="str">
        <f t="shared" si="101"/>
        <v>CONQUISTA INDUSTRIA DE MOVEIS S/A</v>
      </c>
      <c r="I1326">
        <f t="shared" si="102"/>
        <v>1</v>
      </c>
      <c r="J1326">
        <f t="shared" si="103"/>
        <v>0</v>
      </c>
    </row>
    <row r="1327" spans="1:10" x14ac:dyDescent="0.25">
      <c r="A1327" t="s">
        <v>360</v>
      </c>
      <c r="B1327" t="s">
        <v>102</v>
      </c>
      <c r="C1327" t="s">
        <v>335</v>
      </c>
      <c r="D1327" s="3">
        <v>45680</v>
      </c>
      <c r="E1327" t="str">
        <f>VLOOKUP(B1327,'PROCV GERENTES BD'!A:B,2,0)</f>
        <v>POENATELA</v>
      </c>
      <c r="F1327" s="4" t="str">
        <f t="shared" si="104"/>
        <v>2025-01-2</v>
      </c>
      <c r="G1327" t="str">
        <f t="shared" si="100"/>
        <v>POENATELA</v>
      </c>
      <c r="H1327" t="str">
        <f t="shared" si="101"/>
        <v>SUPER HARD TECNOLOGIA EM TRATAMENTO DE SUPERFICIES</v>
      </c>
      <c r="I1327">
        <f t="shared" si="102"/>
        <v>0</v>
      </c>
      <c r="J1327">
        <f t="shared" si="103"/>
        <v>0</v>
      </c>
    </row>
    <row r="1328" spans="1:10" x14ac:dyDescent="0.25">
      <c r="A1328" t="s">
        <v>360</v>
      </c>
      <c r="B1328" t="s">
        <v>102</v>
      </c>
      <c r="C1328" t="s">
        <v>337</v>
      </c>
      <c r="D1328" s="3">
        <v>45680</v>
      </c>
      <c r="E1328" t="str">
        <f>VLOOKUP(B1328,'PROCV GERENTES BD'!A:B,2,0)</f>
        <v>POENATELA</v>
      </c>
      <c r="F1328" s="4" t="str">
        <f t="shared" si="104"/>
        <v>2025-01-2</v>
      </c>
      <c r="G1328" t="str">
        <f t="shared" si="100"/>
        <v>POENATELA</v>
      </c>
      <c r="H1328" t="str">
        <f t="shared" si="101"/>
        <v>SUPER HARD TECNOLOGIA EM TRATAMENTO DE SUPERFICIES</v>
      </c>
      <c r="I1328">
        <f t="shared" si="102"/>
        <v>0</v>
      </c>
      <c r="J1328">
        <f t="shared" si="103"/>
        <v>0</v>
      </c>
    </row>
    <row r="1329" spans="1:10" x14ac:dyDescent="0.25">
      <c r="A1329" t="s">
        <v>354</v>
      </c>
      <c r="B1329" t="s">
        <v>97</v>
      </c>
      <c r="C1329" t="s">
        <v>72</v>
      </c>
      <c r="D1329" s="3">
        <v>45680</v>
      </c>
      <c r="E1329" t="str">
        <f>VLOOKUP(B1329,'PROCV GERENTES BD'!A:B,2,0)</f>
        <v>POENATELA</v>
      </c>
      <c r="F1329" s="4" t="str">
        <f t="shared" si="104"/>
        <v>2025-01-2</v>
      </c>
      <c r="G1329" t="str">
        <f t="shared" si="100"/>
        <v>POENATELA</v>
      </c>
      <c r="H1329" t="str">
        <f t="shared" si="101"/>
        <v>UBERTEC SERVICE USINAGEM LTDA EPP</v>
      </c>
      <c r="I1329">
        <f t="shared" si="102"/>
        <v>1</v>
      </c>
      <c r="J1329">
        <f t="shared" si="103"/>
        <v>0</v>
      </c>
    </row>
    <row r="1330" spans="1:10" x14ac:dyDescent="0.25">
      <c r="A1330" t="s">
        <v>416</v>
      </c>
      <c r="B1330" t="s">
        <v>165</v>
      </c>
      <c r="C1330" t="s">
        <v>72</v>
      </c>
      <c r="D1330" s="3">
        <v>45680</v>
      </c>
      <c r="E1330" t="str">
        <f>VLOOKUP(B1330,'PROCV GERENTES BD'!A:B,2,0)</f>
        <v>PRISCILA METZ</v>
      </c>
      <c r="F1330" s="4" t="str">
        <f t="shared" si="104"/>
        <v>2025-01-2</v>
      </c>
      <c r="G1330" t="str">
        <f t="shared" si="100"/>
        <v>PRISCILA METZ</v>
      </c>
      <c r="H1330" t="str">
        <f t="shared" si="101"/>
        <v>37 054 821 LARISSA GONTIJO AZEVEDO ME</v>
      </c>
      <c r="I1330">
        <f t="shared" si="102"/>
        <v>1</v>
      </c>
      <c r="J1330">
        <f t="shared" si="103"/>
        <v>0</v>
      </c>
    </row>
    <row r="1331" spans="1:10" x14ac:dyDescent="0.25">
      <c r="A1331" t="s">
        <v>460</v>
      </c>
      <c r="B1331" t="s">
        <v>216</v>
      </c>
      <c r="C1331" t="s">
        <v>56</v>
      </c>
      <c r="D1331" s="3">
        <v>45680</v>
      </c>
      <c r="E1331" t="str">
        <f>VLOOKUP(B1331,'PROCV GERENTES BD'!A:B,2,0)</f>
        <v>PRISCILA METZ</v>
      </c>
      <c r="F1331" s="4" t="str">
        <f t="shared" si="104"/>
        <v>2025-01-2</v>
      </c>
      <c r="G1331" t="str">
        <f t="shared" si="100"/>
        <v>PRISCILA METZ</v>
      </c>
      <c r="H1331" t="str">
        <f t="shared" si="101"/>
        <v>D M RODRIGUES LTDA ME</v>
      </c>
      <c r="I1331">
        <f t="shared" si="102"/>
        <v>0</v>
      </c>
      <c r="J1331">
        <f t="shared" si="103"/>
        <v>1</v>
      </c>
    </row>
    <row r="1332" spans="1:10" x14ac:dyDescent="0.25">
      <c r="A1332" t="s">
        <v>441</v>
      </c>
      <c r="B1332" t="s">
        <v>191</v>
      </c>
      <c r="C1332" t="s">
        <v>77</v>
      </c>
      <c r="D1332" s="3">
        <v>45680</v>
      </c>
      <c r="E1332" t="str">
        <f>VLOOKUP(B1332,'PROCV GERENTES BD'!A:B,2,0)</f>
        <v>PRISCILA METZ</v>
      </c>
      <c r="F1332" s="4" t="str">
        <f t="shared" si="104"/>
        <v>2025-01-2</v>
      </c>
      <c r="G1332" t="str">
        <f t="shared" si="100"/>
        <v>PRISCILA METZ</v>
      </c>
      <c r="H1332" t="str">
        <f t="shared" si="101"/>
        <v>FRANZAO COLCHOES LTDA EPP</v>
      </c>
      <c r="I1332">
        <f t="shared" si="102"/>
        <v>0</v>
      </c>
      <c r="J1332">
        <f t="shared" si="103"/>
        <v>0</v>
      </c>
    </row>
    <row r="1333" spans="1:10" x14ac:dyDescent="0.25">
      <c r="A1333" t="s">
        <v>398</v>
      </c>
      <c r="B1333" t="s">
        <v>144</v>
      </c>
      <c r="C1333" t="s">
        <v>56</v>
      </c>
      <c r="D1333" s="3">
        <v>45680</v>
      </c>
      <c r="E1333" t="str">
        <f>VLOOKUP(B1333,'PROCV GERENTES BD'!A:B,2,0)</f>
        <v>PRISCILA METZ</v>
      </c>
      <c r="F1333" s="4" t="str">
        <f t="shared" si="104"/>
        <v>2025-01-2</v>
      </c>
      <c r="G1333" t="str">
        <f t="shared" si="100"/>
        <v>PRISCILA METZ</v>
      </c>
      <c r="H1333" t="str">
        <f t="shared" si="101"/>
        <v>VLF IMPERIAL LATICINIOS LTDA ME</v>
      </c>
      <c r="I1333">
        <f t="shared" si="102"/>
        <v>0</v>
      </c>
      <c r="J1333">
        <f t="shared" si="103"/>
        <v>1</v>
      </c>
    </row>
    <row r="1334" spans="1:10" x14ac:dyDescent="0.25">
      <c r="A1334" t="s">
        <v>464</v>
      </c>
      <c r="B1334" t="s">
        <v>220</v>
      </c>
      <c r="C1334" t="s">
        <v>72</v>
      </c>
      <c r="D1334" s="3">
        <v>45680</v>
      </c>
      <c r="E1334" t="str">
        <f>VLOOKUP(B1334,'PROCV GERENTES BD'!A:B,2,0)</f>
        <v>RAFAEL PARISE</v>
      </c>
      <c r="F1334" s="4" t="str">
        <f t="shared" si="104"/>
        <v>2025-01-2</v>
      </c>
      <c r="G1334" t="str">
        <f t="shared" si="100"/>
        <v>RAFAEL PARISE</v>
      </c>
      <c r="H1334" t="str">
        <f t="shared" si="101"/>
        <v>ORNELAS RESENDE TORRES TRANSPORTE E LOGISTICA LTDA</v>
      </c>
      <c r="I1334">
        <f t="shared" si="102"/>
        <v>1</v>
      </c>
      <c r="J1334">
        <f t="shared" si="103"/>
        <v>0</v>
      </c>
    </row>
    <row r="1335" spans="1:10" x14ac:dyDescent="0.25">
      <c r="A1335" t="s">
        <v>417</v>
      </c>
      <c r="B1335" t="s">
        <v>166</v>
      </c>
      <c r="C1335" t="s">
        <v>56</v>
      </c>
      <c r="D1335" s="3">
        <v>45680</v>
      </c>
      <c r="E1335" t="str">
        <f>VLOOKUP(B1335,'PROCV GERENTES BD'!A:B,2,0)</f>
        <v>RAFAEL PARISE</v>
      </c>
      <c r="F1335" s="4" t="str">
        <f t="shared" si="104"/>
        <v>2025-01-2</v>
      </c>
      <c r="G1335" t="str">
        <f t="shared" si="100"/>
        <v>RAFAEL PARISE</v>
      </c>
      <c r="H1335" t="str">
        <f t="shared" si="101"/>
        <v>OXIGAS RESIDUOS ESPECIAIS LTDA EPP</v>
      </c>
      <c r="I1335">
        <f t="shared" si="102"/>
        <v>0</v>
      </c>
      <c r="J1335">
        <f t="shared" si="103"/>
        <v>1</v>
      </c>
    </row>
    <row r="1336" spans="1:10" x14ac:dyDescent="0.25">
      <c r="A1336" t="s">
        <v>82</v>
      </c>
      <c r="B1336" t="s">
        <v>83</v>
      </c>
      <c r="C1336" t="s">
        <v>56</v>
      </c>
      <c r="D1336" s="3">
        <v>45680</v>
      </c>
      <c r="E1336" t="str">
        <f>VLOOKUP(B1336,'PROCV GERENTES BD'!A:B,2,0)</f>
        <v>RAFAEL PARISE</v>
      </c>
      <c r="F1336" s="4" t="str">
        <f t="shared" si="104"/>
        <v>2025-01-2</v>
      </c>
      <c r="G1336" t="str">
        <f t="shared" si="100"/>
        <v>RAFAEL PARISE</v>
      </c>
      <c r="H1336" t="str">
        <f t="shared" si="101"/>
        <v>UNITA AUTO PECAS LTDA EPP</v>
      </c>
      <c r="I1336">
        <f t="shared" si="102"/>
        <v>0</v>
      </c>
      <c r="J1336">
        <f t="shared" si="103"/>
        <v>1</v>
      </c>
    </row>
    <row r="1337" spans="1:10" x14ac:dyDescent="0.25">
      <c r="A1337" t="s">
        <v>333</v>
      </c>
      <c r="B1337" t="s">
        <v>129</v>
      </c>
      <c r="C1337" t="s">
        <v>72</v>
      </c>
      <c r="D1337" s="3">
        <v>45680</v>
      </c>
      <c r="E1337" t="s">
        <v>25</v>
      </c>
      <c r="F1337" s="4" t="str">
        <f t="shared" si="104"/>
        <v>2025-01-2</v>
      </c>
      <c r="G1337" t="str">
        <f t="shared" si="100"/>
        <v xml:space="preserve">ROGERIO </v>
      </c>
      <c r="H1337" t="str">
        <f t="shared" si="101"/>
        <v>BIBE PRODUTOS INFANTIS LTDA</v>
      </c>
      <c r="I1337">
        <f t="shared" si="102"/>
        <v>1</v>
      </c>
      <c r="J1337">
        <f t="shared" si="103"/>
        <v>0</v>
      </c>
    </row>
    <row r="1338" spans="1:10" x14ac:dyDescent="0.25">
      <c r="A1338" t="s">
        <v>465</v>
      </c>
      <c r="B1338" t="s">
        <v>221</v>
      </c>
      <c r="C1338" t="s">
        <v>72</v>
      </c>
      <c r="D1338" s="3">
        <v>45680</v>
      </c>
      <c r="E1338" t="s">
        <v>25</v>
      </c>
      <c r="F1338" s="4" t="str">
        <f t="shared" si="104"/>
        <v>2025-01-2</v>
      </c>
      <c r="G1338" t="str">
        <f t="shared" si="100"/>
        <v xml:space="preserve">ROGERIO </v>
      </c>
      <c r="H1338" t="str">
        <f t="shared" si="101"/>
        <v>METAL STAMP INDUSTRIA E COMERCIO LTDA</v>
      </c>
      <c r="I1338">
        <f t="shared" si="102"/>
        <v>1</v>
      </c>
      <c r="J1338">
        <f t="shared" si="103"/>
        <v>0</v>
      </c>
    </row>
    <row r="1339" spans="1:10" x14ac:dyDescent="0.25">
      <c r="A1339" t="s">
        <v>466</v>
      </c>
      <c r="B1339" t="s">
        <v>222</v>
      </c>
      <c r="C1339" t="s">
        <v>72</v>
      </c>
      <c r="D1339" s="3">
        <v>45680</v>
      </c>
      <c r="E1339" t="s">
        <v>25</v>
      </c>
      <c r="F1339" s="4" t="str">
        <f t="shared" si="104"/>
        <v>2025-01-2</v>
      </c>
      <c r="G1339" t="str">
        <f t="shared" si="100"/>
        <v xml:space="preserve">ROGERIO </v>
      </c>
      <c r="H1339" t="str">
        <f t="shared" si="101"/>
        <v>QUALITY PACK INDUSTRIA E COMERCIO LTDA ME</v>
      </c>
      <c r="I1339">
        <f t="shared" si="102"/>
        <v>1</v>
      </c>
      <c r="J1339">
        <f t="shared" si="103"/>
        <v>0</v>
      </c>
    </row>
    <row r="1340" spans="1:10" x14ac:dyDescent="0.25">
      <c r="A1340" t="s">
        <v>339</v>
      </c>
      <c r="B1340" t="s">
        <v>151</v>
      </c>
      <c r="C1340" t="s">
        <v>56</v>
      </c>
      <c r="D1340" s="3">
        <v>45681</v>
      </c>
      <c r="E1340" t="str">
        <f>VLOOKUP(B1340,'PROCV GERENTES BD'!A:B,2,0)</f>
        <v>ADMINISTRAÇÃO</v>
      </c>
      <c r="F1340" s="4" t="str">
        <f t="shared" si="104"/>
        <v>2025-01-2</v>
      </c>
      <c r="G1340" t="str">
        <f t="shared" si="100"/>
        <v>ADMINISTRAÇÃO</v>
      </c>
      <c r="H1340" t="str">
        <f t="shared" si="101"/>
        <v>BOM PASTOR PAPEIS LTDA EM RECUPERACAO JUDICIAL</v>
      </c>
      <c r="I1340">
        <f t="shared" si="102"/>
        <v>0</v>
      </c>
      <c r="J1340">
        <f t="shared" si="103"/>
        <v>1</v>
      </c>
    </row>
    <row r="1341" spans="1:10" x14ac:dyDescent="0.25">
      <c r="A1341" t="s">
        <v>390</v>
      </c>
      <c r="B1341" t="s">
        <v>136</v>
      </c>
      <c r="C1341" t="s">
        <v>72</v>
      </c>
      <c r="D1341" s="3">
        <v>45681</v>
      </c>
      <c r="E1341" t="str">
        <f>VLOOKUP(B1341,'PROCV GERENTES BD'!A:B,2,0)</f>
        <v>ADMINISTRAÇÃO</v>
      </c>
      <c r="F1341" s="4" t="str">
        <f t="shared" si="104"/>
        <v>2025-01-2</v>
      </c>
      <c r="G1341" t="str">
        <f t="shared" si="100"/>
        <v>ADMINISTRAÇÃO</v>
      </c>
      <c r="H1341" t="str">
        <f t="shared" si="101"/>
        <v>XEQUE MATE BEBIDAS LTDA ME</v>
      </c>
      <c r="I1341">
        <f t="shared" si="102"/>
        <v>1</v>
      </c>
      <c r="J1341">
        <f t="shared" si="103"/>
        <v>0</v>
      </c>
    </row>
    <row r="1342" spans="1:10" x14ac:dyDescent="0.25">
      <c r="A1342" t="s">
        <v>326</v>
      </c>
      <c r="B1342" t="s">
        <v>86</v>
      </c>
      <c r="C1342" t="s">
        <v>56</v>
      </c>
      <c r="D1342" s="3">
        <v>45681</v>
      </c>
      <c r="E1342" t="str">
        <f>VLOOKUP(B1342,'PROCV GERENTES BD'!A:B,2,0)</f>
        <v>CELIO PIMENTA</v>
      </c>
      <c r="F1342" s="4" t="str">
        <f t="shared" si="104"/>
        <v>2025-01-2</v>
      </c>
      <c r="G1342" t="str">
        <f t="shared" si="100"/>
        <v>CELIO PIMENTA</v>
      </c>
      <c r="H1342" t="str">
        <f t="shared" si="101"/>
        <v>IMPORTEXTIL COMERCIO DE TECIDOS LTDA</v>
      </c>
      <c r="I1342">
        <f t="shared" si="102"/>
        <v>0</v>
      </c>
      <c r="J1342">
        <f t="shared" si="103"/>
        <v>1</v>
      </c>
    </row>
    <row r="1343" spans="1:10" x14ac:dyDescent="0.25">
      <c r="A1343" t="s">
        <v>60</v>
      </c>
      <c r="B1343" t="s">
        <v>61</v>
      </c>
      <c r="C1343" t="s">
        <v>72</v>
      </c>
      <c r="D1343" s="3">
        <v>45681</v>
      </c>
      <c r="E1343" t="str">
        <f>VLOOKUP(B1343,'PROCV GERENTES BD'!A:B,2,0)</f>
        <v>CELIO PIMENTA</v>
      </c>
      <c r="F1343" s="4" t="str">
        <f t="shared" si="104"/>
        <v>2025-01-2</v>
      </c>
      <c r="G1343" t="str">
        <f t="shared" si="100"/>
        <v>CELIO PIMENTA</v>
      </c>
      <c r="H1343" t="str">
        <f t="shared" si="101"/>
        <v>WJ CALDEIRARIA INDUSTRIA E COMERCIO LTDA ME</v>
      </c>
      <c r="I1343">
        <f t="shared" si="102"/>
        <v>1</v>
      </c>
      <c r="J1343">
        <f t="shared" si="103"/>
        <v>0</v>
      </c>
    </row>
    <row r="1344" spans="1:10" x14ac:dyDescent="0.25">
      <c r="A1344" t="s">
        <v>366</v>
      </c>
      <c r="B1344" t="s">
        <v>111</v>
      </c>
      <c r="C1344" t="s">
        <v>56</v>
      </c>
      <c r="D1344" s="3">
        <v>45681</v>
      </c>
      <c r="E1344" t="str">
        <f>VLOOKUP(B1344,'PROCV GERENTES BD'!A:B,2,0)</f>
        <v>DIOGO AZEVEDO</v>
      </c>
      <c r="F1344" s="4" t="str">
        <f t="shared" si="104"/>
        <v>2025-01-2</v>
      </c>
      <c r="G1344" t="str">
        <f t="shared" si="100"/>
        <v>DIOGO AZEVEDO</v>
      </c>
      <c r="H1344" t="str">
        <f t="shared" si="101"/>
        <v>INDUSTRIA E CERVEJARIA ARTESANAL DE MINAS GERAIS L</v>
      </c>
      <c r="I1344">
        <f t="shared" si="102"/>
        <v>0</v>
      </c>
      <c r="J1344">
        <f t="shared" si="103"/>
        <v>1</v>
      </c>
    </row>
    <row r="1345" spans="1:10" x14ac:dyDescent="0.25">
      <c r="A1345" t="s">
        <v>385</v>
      </c>
      <c r="B1345" t="s">
        <v>131</v>
      </c>
      <c r="C1345" t="s">
        <v>59</v>
      </c>
      <c r="D1345" s="3">
        <v>45681</v>
      </c>
      <c r="E1345" t="str">
        <f>VLOOKUP(B1345,'PROCV GERENTES BD'!A:B,2,0)</f>
        <v>EDUARDO MATOSO</v>
      </c>
      <c r="F1345" s="4" t="str">
        <f t="shared" si="104"/>
        <v>2025-01-2</v>
      </c>
      <c r="G1345" t="str">
        <f t="shared" si="100"/>
        <v>EDUARDO MATOSO</v>
      </c>
      <c r="H1345" t="str">
        <f t="shared" si="101"/>
        <v>STONE ENGENHARIA E MONTAGENS INDUSTRIAIS LTDA</v>
      </c>
      <c r="I1345">
        <f t="shared" si="102"/>
        <v>0</v>
      </c>
      <c r="J1345">
        <f t="shared" si="103"/>
        <v>0</v>
      </c>
    </row>
    <row r="1346" spans="1:10" x14ac:dyDescent="0.25">
      <c r="A1346" t="s">
        <v>317</v>
      </c>
      <c r="B1346" t="s">
        <v>211</v>
      </c>
      <c r="C1346" t="s">
        <v>56</v>
      </c>
      <c r="D1346" s="3">
        <v>45681</v>
      </c>
      <c r="E1346" t="str">
        <f>VLOOKUP(B1346,'PROCV GERENTES BD'!A:B,2,0)</f>
        <v xml:space="preserve">MARCUS VINICIUS </v>
      </c>
      <c r="F1346" s="4" t="str">
        <f t="shared" si="104"/>
        <v>2025-01-2</v>
      </c>
      <c r="G1346" t="str">
        <f t="shared" ref="G1346:G1409" si="105">E1346</f>
        <v xml:space="preserve">MARCUS VINICIUS </v>
      </c>
      <c r="H1346" t="str">
        <f t="shared" ref="H1346:H1409" si="106">B1346</f>
        <v>INDUSTRIA E COMERCIO DE CHURRASQUEIRAS BOM JESUS L</v>
      </c>
      <c r="I1346">
        <f t="shared" ref="I1346:I1409" si="107">IF(C1346="EXCLUSAO  ANOT.INADIMPLENCIA",1,0)</f>
        <v>0</v>
      </c>
      <c r="J1346">
        <f t="shared" ref="J1346:J1409" si="108">IF(C1346="INCLUSAO  ANOT.INADIMPLENCIA",1,0)</f>
        <v>1</v>
      </c>
    </row>
    <row r="1347" spans="1:10" x14ac:dyDescent="0.25">
      <c r="A1347" t="s">
        <v>405</v>
      </c>
      <c r="B1347" t="s">
        <v>154</v>
      </c>
      <c r="C1347" t="s">
        <v>72</v>
      </c>
      <c r="D1347" s="3">
        <v>45681</v>
      </c>
      <c r="E1347" t="str">
        <f>VLOOKUP(B1347,'PROCV GERENTES BD'!A:B,2,0)</f>
        <v xml:space="preserve">MARCUS VINICIUS </v>
      </c>
      <c r="F1347" s="4" t="str">
        <f t="shared" ref="F1347:F1410" si="109">YEAR(D1347)&amp;"-"&amp;TEXT(MONTH(D1347),"00")&amp;"-"&amp;IF(DAY(D1347)&lt;=15,"1",IF(DAY(D1347)&gt;15,"2",""))</f>
        <v>2025-01-2</v>
      </c>
      <c r="G1347" t="str">
        <f t="shared" si="105"/>
        <v xml:space="preserve">MARCUS VINICIUS </v>
      </c>
      <c r="H1347" t="str">
        <f t="shared" si="106"/>
        <v>UNIVERSO INOX INDUSTRIA E COMERCIO LTDA EPP</v>
      </c>
      <c r="I1347">
        <f t="shared" si="107"/>
        <v>1</v>
      </c>
      <c r="J1347">
        <f t="shared" si="108"/>
        <v>0</v>
      </c>
    </row>
    <row r="1348" spans="1:10" x14ac:dyDescent="0.25">
      <c r="A1348" t="s">
        <v>383</v>
      </c>
      <c r="B1348" t="s">
        <v>127</v>
      </c>
      <c r="C1348" t="s">
        <v>56</v>
      </c>
      <c r="D1348" s="3">
        <v>45681</v>
      </c>
      <c r="E1348" t="str">
        <f>VLOOKUP(B1348,'PROCV GERENTES BD'!A:B,2,0)</f>
        <v>NATALIA NUBIA</v>
      </c>
      <c r="F1348" s="4" t="str">
        <f t="shared" si="109"/>
        <v>2025-01-2</v>
      </c>
      <c r="G1348" t="str">
        <f t="shared" si="105"/>
        <v>NATALIA NUBIA</v>
      </c>
      <c r="H1348" t="str">
        <f t="shared" si="106"/>
        <v>FARINELLI NUTRIMENTOS LTDA</v>
      </c>
      <c r="I1348">
        <f t="shared" si="107"/>
        <v>0</v>
      </c>
      <c r="J1348">
        <f t="shared" si="108"/>
        <v>1</v>
      </c>
    </row>
    <row r="1349" spans="1:10" x14ac:dyDescent="0.25">
      <c r="A1349" t="s">
        <v>408</v>
      </c>
      <c r="B1349" t="s">
        <v>157</v>
      </c>
      <c r="C1349" t="s">
        <v>72</v>
      </c>
      <c r="D1349" s="3">
        <v>45681</v>
      </c>
      <c r="E1349" t="str">
        <f>VLOOKUP(B1349,'PROCV GERENTES BD'!A:B,2,0)</f>
        <v>NOELI SALETE</v>
      </c>
      <c r="F1349" s="4" t="str">
        <f t="shared" si="109"/>
        <v>2025-01-2</v>
      </c>
      <c r="G1349" t="str">
        <f t="shared" si="105"/>
        <v>NOELI SALETE</v>
      </c>
      <c r="H1349" t="str">
        <f t="shared" si="106"/>
        <v>POOLMAK SISTEMAS ESTRUTURAIS LTDA</v>
      </c>
      <c r="I1349">
        <f t="shared" si="107"/>
        <v>1</v>
      </c>
      <c r="J1349">
        <f t="shared" si="108"/>
        <v>0</v>
      </c>
    </row>
    <row r="1350" spans="1:10" x14ac:dyDescent="0.25">
      <c r="A1350" t="s">
        <v>459</v>
      </c>
      <c r="B1350" t="s">
        <v>215</v>
      </c>
      <c r="C1350" t="s">
        <v>56</v>
      </c>
      <c r="D1350" s="3">
        <v>45681</v>
      </c>
      <c r="E1350" t="str">
        <f>VLOOKUP(B1350,'PROCV GERENTES BD'!A:B,2,0)</f>
        <v>NOELI SALETE</v>
      </c>
      <c r="F1350" s="4" t="str">
        <f t="shared" si="109"/>
        <v>2025-01-2</v>
      </c>
      <c r="G1350" t="str">
        <f t="shared" si="105"/>
        <v>NOELI SALETE</v>
      </c>
      <c r="H1350" t="str">
        <f t="shared" si="106"/>
        <v>USIPARTS COMERCIO DE PECAS PARA USINAS LTDA ME</v>
      </c>
      <c r="I1350">
        <f t="shared" si="107"/>
        <v>0</v>
      </c>
      <c r="J1350">
        <f t="shared" si="108"/>
        <v>1</v>
      </c>
    </row>
    <row r="1351" spans="1:10" x14ac:dyDescent="0.25">
      <c r="A1351" t="s">
        <v>397</v>
      </c>
      <c r="B1351" t="s">
        <v>143</v>
      </c>
      <c r="C1351" t="s">
        <v>72</v>
      </c>
      <c r="D1351" s="3">
        <v>45681</v>
      </c>
      <c r="E1351" t="str">
        <f>VLOOKUP(B1351,'PROCV GERENTES BD'!A:B,2,0)</f>
        <v>POENATELA</v>
      </c>
      <c r="F1351" s="4" t="str">
        <f t="shared" si="109"/>
        <v>2025-01-2</v>
      </c>
      <c r="G1351" t="str">
        <f t="shared" si="105"/>
        <v>POENATELA</v>
      </c>
      <c r="H1351" t="str">
        <f t="shared" si="106"/>
        <v>CONQUISTA INDUSTRIA DE MOVEIS S/A</v>
      </c>
      <c r="I1351">
        <f t="shared" si="107"/>
        <v>1</v>
      </c>
      <c r="J1351">
        <f t="shared" si="108"/>
        <v>0</v>
      </c>
    </row>
    <row r="1352" spans="1:10" x14ac:dyDescent="0.25">
      <c r="A1352" t="s">
        <v>460</v>
      </c>
      <c r="B1352" t="s">
        <v>216</v>
      </c>
      <c r="C1352" t="s">
        <v>56</v>
      </c>
      <c r="D1352" s="3">
        <v>45681</v>
      </c>
      <c r="E1352" t="str">
        <f>VLOOKUP(B1352,'PROCV GERENTES BD'!A:B,2,0)</f>
        <v>PRISCILA METZ</v>
      </c>
      <c r="F1352" s="4" t="str">
        <f t="shared" si="109"/>
        <v>2025-01-2</v>
      </c>
      <c r="G1352" t="str">
        <f t="shared" si="105"/>
        <v>PRISCILA METZ</v>
      </c>
      <c r="H1352" t="str">
        <f t="shared" si="106"/>
        <v>D M RODRIGUES LTDA ME</v>
      </c>
      <c r="I1352">
        <f t="shared" si="107"/>
        <v>0</v>
      </c>
      <c r="J1352">
        <f t="shared" si="108"/>
        <v>1</v>
      </c>
    </row>
    <row r="1353" spans="1:10" x14ac:dyDescent="0.25">
      <c r="A1353" t="s">
        <v>461</v>
      </c>
      <c r="B1353" t="s">
        <v>217</v>
      </c>
      <c r="C1353" t="s">
        <v>56</v>
      </c>
      <c r="D1353" s="3">
        <v>45681</v>
      </c>
      <c r="E1353" t="str">
        <f>VLOOKUP(B1353,'PROCV GERENTES BD'!A:B,2,0)</f>
        <v>RAFAEL PARISE</v>
      </c>
      <c r="F1353" s="4" t="str">
        <f t="shared" si="109"/>
        <v>2025-01-2</v>
      </c>
      <c r="G1353" t="str">
        <f t="shared" si="105"/>
        <v>RAFAEL PARISE</v>
      </c>
      <c r="H1353" t="str">
        <f t="shared" si="106"/>
        <v>BEIJA FLOR COMERCIO DE TINTAS LTDA</v>
      </c>
      <c r="I1353">
        <f t="shared" si="107"/>
        <v>0</v>
      </c>
      <c r="J1353">
        <f t="shared" si="108"/>
        <v>1</v>
      </c>
    </row>
    <row r="1354" spans="1:10" x14ac:dyDescent="0.25">
      <c r="A1354" t="s">
        <v>82</v>
      </c>
      <c r="B1354" t="s">
        <v>83</v>
      </c>
      <c r="C1354" t="s">
        <v>72</v>
      </c>
      <c r="D1354" s="3">
        <v>45681</v>
      </c>
      <c r="E1354" t="str">
        <f>VLOOKUP(B1354,'PROCV GERENTES BD'!A:B,2,0)</f>
        <v>RAFAEL PARISE</v>
      </c>
      <c r="F1354" s="4" t="str">
        <f t="shared" si="109"/>
        <v>2025-01-2</v>
      </c>
      <c r="G1354" t="str">
        <f t="shared" si="105"/>
        <v>RAFAEL PARISE</v>
      </c>
      <c r="H1354" t="str">
        <f t="shared" si="106"/>
        <v>UNITA AUTO PECAS LTDA EPP</v>
      </c>
      <c r="I1354">
        <f t="shared" si="107"/>
        <v>1</v>
      </c>
      <c r="J1354">
        <f t="shared" si="108"/>
        <v>0</v>
      </c>
    </row>
    <row r="1355" spans="1:10" x14ac:dyDescent="0.25">
      <c r="A1355" t="s">
        <v>447</v>
      </c>
      <c r="B1355" t="s">
        <v>197</v>
      </c>
      <c r="C1355" t="s">
        <v>56</v>
      </c>
      <c r="D1355" s="3">
        <v>45682</v>
      </c>
      <c r="E1355" t="str">
        <f>VLOOKUP(B1355,'PROCV GERENTES BD'!A:B,2,0)</f>
        <v>ADMINISTRAÇÃO</v>
      </c>
      <c r="F1355" s="4" t="str">
        <f t="shared" si="109"/>
        <v>2025-01-2</v>
      </c>
      <c r="G1355" t="str">
        <f t="shared" si="105"/>
        <v>ADMINISTRAÇÃO</v>
      </c>
      <c r="H1355" t="str">
        <f t="shared" si="106"/>
        <v>ELFRIG FRIGORIFICO ELDORADO LTDA ME</v>
      </c>
      <c r="I1355">
        <f t="shared" si="107"/>
        <v>0</v>
      </c>
      <c r="J1355">
        <f t="shared" si="108"/>
        <v>1</v>
      </c>
    </row>
    <row r="1356" spans="1:10" x14ac:dyDescent="0.25">
      <c r="A1356" t="s">
        <v>467</v>
      </c>
      <c r="B1356" t="s">
        <v>223</v>
      </c>
      <c r="C1356" t="s">
        <v>56</v>
      </c>
      <c r="D1356" s="3">
        <v>45682</v>
      </c>
      <c r="E1356" t="str">
        <f>VLOOKUP(B1356,'PROCV GERENTES BD'!A:B,2,0)</f>
        <v>ADMINISTRAÇÃO</v>
      </c>
      <c r="F1356" s="4" t="str">
        <f t="shared" si="109"/>
        <v>2025-01-2</v>
      </c>
      <c r="G1356" t="str">
        <f t="shared" si="105"/>
        <v>ADMINISTRAÇÃO</v>
      </c>
      <c r="H1356" t="str">
        <f t="shared" si="106"/>
        <v>JABEZ SERVICOS COMPARTILHADOS LTDA ME</v>
      </c>
      <c r="I1356">
        <f t="shared" si="107"/>
        <v>0</v>
      </c>
      <c r="J1356">
        <f t="shared" si="108"/>
        <v>1</v>
      </c>
    </row>
    <row r="1357" spans="1:10" x14ac:dyDescent="0.25">
      <c r="A1357" t="s">
        <v>463</v>
      </c>
      <c r="B1357" t="s">
        <v>219</v>
      </c>
      <c r="C1357" t="s">
        <v>56</v>
      </c>
      <c r="D1357" s="3">
        <v>45682</v>
      </c>
      <c r="E1357" t="str">
        <f>VLOOKUP(B1357,'PROCV GERENTES BD'!A:B,2,0)</f>
        <v>ADMINISTRAÇÃO</v>
      </c>
      <c r="F1357" s="4" t="str">
        <f t="shared" si="109"/>
        <v>2025-01-2</v>
      </c>
      <c r="G1357" t="str">
        <f t="shared" si="105"/>
        <v>ADMINISTRAÇÃO</v>
      </c>
      <c r="H1357" t="str">
        <f t="shared" si="106"/>
        <v>MAIS LAR ENGENHARIA LTDA</v>
      </c>
      <c r="I1357">
        <f t="shared" si="107"/>
        <v>0</v>
      </c>
      <c r="J1357">
        <f t="shared" si="108"/>
        <v>1</v>
      </c>
    </row>
    <row r="1358" spans="1:10" x14ac:dyDescent="0.25">
      <c r="A1358" t="s">
        <v>326</v>
      </c>
      <c r="B1358" t="s">
        <v>86</v>
      </c>
      <c r="C1358" t="s">
        <v>56</v>
      </c>
      <c r="D1358" s="3">
        <v>45682</v>
      </c>
      <c r="E1358" t="str">
        <f>VLOOKUP(B1358,'PROCV GERENTES BD'!A:B,2,0)</f>
        <v>CELIO PIMENTA</v>
      </c>
      <c r="F1358" s="4" t="str">
        <f t="shared" si="109"/>
        <v>2025-01-2</v>
      </c>
      <c r="G1358" t="str">
        <f t="shared" si="105"/>
        <v>CELIO PIMENTA</v>
      </c>
      <c r="H1358" t="str">
        <f t="shared" si="106"/>
        <v>IMPORTEXTIL COMERCIO DE TECIDOS LTDA</v>
      </c>
      <c r="I1358">
        <f t="shared" si="107"/>
        <v>0</v>
      </c>
      <c r="J1358">
        <f t="shared" si="108"/>
        <v>1</v>
      </c>
    </row>
    <row r="1359" spans="1:10" x14ac:dyDescent="0.25">
      <c r="A1359" t="s">
        <v>458</v>
      </c>
      <c r="B1359" t="s">
        <v>214</v>
      </c>
      <c r="C1359" t="s">
        <v>59</v>
      </c>
      <c r="D1359" s="3">
        <v>45682</v>
      </c>
      <c r="E1359" t="str">
        <f>VLOOKUP(B1359,'PROCV GERENTES BD'!A:B,2,0)</f>
        <v>CELIO PIMENTA</v>
      </c>
      <c r="F1359" s="4" t="str">
        <f t="shared" si="109"/>
        <v>2025-01-2</v>
      </c>
      <c r="G1359" t="str">
        <f t="shared" si="105"/>
        <v>CELIO PIMENTA</v>
      </c>
      <c r="H1359" t="str">
        <f t="shared" si="106"/>
        <v>LIDER COMERCIO DE UNIFORMES E EPI S LTDA ME</v>
      </c>
      <c r="I1359">
        <f t="shared" si="107"/>
        <v>0</v>
      </c>
      <c r="J1359">
        <f t="shared" si="108"/>
        <v>0</v>
      </c>
    </row>
    <row r="1360" spans="1:10" x14ac:dyDescent="0.25">
      <c r="A1360" t="s">
        <v>468</v>
      </c>
      <c r="B1360" t="s">
        <v>224</v>
      </c>
      <c r="C1360" t="s">
        <v>56</v>
      </c>
      <c r="D1360" s="3">
        <v>45682</v>
      </c>
      <c r="E1360" t="str">
        <f>VLOOKUP(B1360,'PROCV GERENTES BD'!A:B,2,0)</f>
        <v>CELIO PIMENTA</v>
      </c>
      <c r="F1360" s="4" t="str">
        <f t="shared" si="109"/>
        <v>2025-01-2</v>
      </c>
      <c r="G1360" t="str">
        <f t="shared" si="105"/>
        <v>CELIO PIMENTA</v>
      </c>
      <c r="H1360" t="str">
        <f t="shared" si="106"/>
        <v>MINAS CLEAN DISTRIBUIDORA DE PRODUTOS PARA LIMPEZA</v>
      </c>
      <c r="I1360">
        <f t="shared" si="107"/>
        <v>0</v>
      </c>
      <c r="J1360">
        <f t="shared" si="108"/>
        <v>1</v>
      </c>
    </row>
    <row r="1361" spans="1:10" x14ac:dyDescent="0.25">
      <c r="A1361" t="s">
        <v>60</v>
      </c>
      <c r="B1361" t="s">
        <v>61</v>
      </c>
      <c r="C1361" t="s">
        <v>56</v>
      </c>
      <c r="D1361" s="3">
        <v>45682</v>
      </c>
      <c r="E1361" t="str">
        <f>VLOOKUP(B1361,'PROCV GERENTES BD'!A:B,2,0)</f>
        <v>CELIO PIMENTA</v>
      </c>
      <c r="F1361" s="4" t="str">
        <f t="shared" si="109"/>
        <v>2025-01-2</v>
      </c>
      <c r="G1361" t="str">
        <f t="shared" si="105"/>
        <v>CELIO PIMENTA</v>
      </c>
      <c r="H1361" t="str">
        <f t="shared" si="106"/>
        <v>WJ CALDEIRARIA INDUSTRIA E COMERCIO LTDA ME</v>
      </c>
      <c r="I1361">
        <f t="shared" si="107"/>
        <v>0</v>
      </c>
      <c r="J1361">
        <f t="shared" si="108"/>
        <v>1</v>
      </c>
    </row>
    <row r="1362" spans="1:10" x14ac:dyDescent="0.25">
      <c r="A1362" t="s">
        <v>385</v>
      </c>
      <c r="B1362" t="s">
        <v>131</v>
      </c>
      <c r="C1362" t="s">
        <v>56</v>
      </c>
      <c r="D1362" s="3">
        <v>45682</v>
      </c>
      <c r="E1362" t="str">
        <f>VLOOKUP(B1362,'PROCV GERENTES BD'!A:B,2,0)</f>
        <v>EDUARDO MATOSO</v>
      </c>
      <c r="F1362" s="4" t="str">
        <f t="shared" si="109"/>
        <v>2025-01-2</v>
      </c>
      <c r="G1362" t="str">
        <f t="shared" si="105"/>
        <v>EDUARDO MATOSO</v>
      </c>
      <c r="H1362" t="str">
        <f t="shared" si="106"/>
        <v>STONE ENGENHARIA E MONTAGENS INDUSTRIAIS LTDA</v>
      </c>
      <c r="I1362">
        <f t="shared" si="107"/>
        <v>0</v>
      </c>
      <c r="J1362">
        <f t="shared" si="108"/>
        <v>1</v>
      </c>
    </row>
    <row r="1363" spans="1:10" x14ac:dyDescent="0.25">
      <c r="A1363" t="s">
        <v>331</v>
      </c>
      <c r="B1363" t="s">
        <v>126</v>
      </c>
      <c r="C1363" t="s">
        <v>56</v>
      </c>
      <c r="D1363" s="3">
        <v>45682</v>
      </c>
      <c r="E1363" t="str">
        <f>VLOOKUP(B1363,'PROCV GERENTES BD'!A:B,2,0)</f>
        <v>FITZ</v>
      </c>
      <c r="F1363" s="4" t="str">
        <f t="shared" si="109"/>
        <v>2025-01-2</v>
      </c>
      <c r="G1363" t="str">
        <f t="shared" si="105"/>
        <v>FITZ</v>
      </c>
      <c r="H1363" t="str">
        <f t="shared" si="106"/>
        <v>TRANSHENRY TRANSPORTES LTDA</v>
      </c>
      <c r="I1363">
        <f t="shared" si="107"/>
        <v>0</v>
      </c>
      <c r="J1363">
        <f t="shared" si="108"/>
        <v>1</v>
      </c>
    </row>
    <row r="1364" spans="1:10" x14ac:dyDescent="0.25">
      <c r="A1364" t="s">
        <v>330</v>
      </c>
      <c r="B1364" t="s">
        <v>116</v>
      </c>
      <c r="C1364" t="s">
        <v>72</v>
      </c>
      <c r="D1364" s="3">
        <v>45682</v>
      </c>
      <c r="E1364" t="str">
        <f>VLOOKUP(B1364,'PROCV GERENTES BD'!A:B,2,0)</f>
        <v>FITZ</v>
      </c>
      <c r="F1364" s="4" t="str">
        <f t="shared" si="109"/>
        <v>2025-01-2</v>
      </c>
      <c r="G1364" t="str">
        <f t="shared" si="105"/>
        <v>FITZ</v>
      </c>
      <c r="H1364" t="str">
        <f t="shared" si="106"/>
        <v>SIAP COMERCIO DE PRODUTOS AGROPECUARIOS LTDA</v>
      </c>
      <c r="I1364">
        <f t="shared" si="107"/>
        <v>1</v>
      </c>
      <c r="J1364">
        <f t="shared" si="108"/>
        <v>0</v>
      </c>
    </row>
    <row r="1365" spans="1:10" x14ac:dyDescent="0.25">
      <c r="A1365" t="s">
        <v>358</v>
      </c>
      <c r="B1365" t="s">
        <v>101</v>
      </c>
      <c r="C1365" t="s">
        <v>56</v>
      </c>
      <c r="D1365" s="3">
        <v>45682</v>
      </c>
      <c r="E1365" t="str">
        <f>VLOOKUP(B1365,'PROCV GERENTES BD'!A:B,2,0)</f>
        <v>GRUPO OTTO</v>
      </c>
      <c r="F1365" s="4" t="str">
        <f t="shared" si="109"/>
        <v>2025-01-2</v>
      </c>
      <c r="G1365" t="str">
        <f t="shared" si="105"/>
        <v>GRUPO OTTO</v>
      </c>
      <c r="H1365" t="str">
        <f t="shared" si="106"/>
        <v>PLURIFORME INDUSTRIA E COMERCIO DE UNIFORMES LTDA</v>
      </c>
      <c r="I1365">
        <f t="shared" si="107"/>
        <v>0</v>
      </c>
      <c r="J1365">
        <f t="shared" si="108"/>
        <v>1</v>
      </c>
    </row>
    <row r="1366" spans="1:10" x14ac:dyDescent="0.25">
      <c r="A1366" t="s">
        <v>325</v>
      </c>
      <c r="B1366" t="s">
        <v>210</v>
      </c>
      <c r="C1366" t="s">
        <v>72</v>
      </c>
      <c r="D1366" s="3">
        <v>45682</v>
      </c>
      <c r="E1366" t="str">
        <f>VLOOKUP(B1366,'PROCV GERENTES BD'!A:B,2,0)</f>
        <v>JOSE ROBERTO</v>
      </c>
      <c r="F1366" s="4" t="str">
        <f t="shared" si="109"/>
        <v>2025-01-2</v>
      </c>
      <c r="G1366" t="str">
        <f t="shared" si="105"/>
        <v>JOSE ROBERTO</v>
      </c>
      <c r="H1366" t="str">
        <f t="shared" si="106"/>
        <v>FUNDACAO DE ENSINO E PESQUISA DO SUL DE MINAS FEPE</v>
      </c>
      <c r="I1366">
        <f t="shared" si="107"/>
        <v>1</v>
      </c>
      <c r="J1366">
        <f t="shared" si="108"/>
        <v>0</v>
      </c>
    </row>
    <row r="1367" spans="1:10" x14ac:dyDescent="0.25">
      <c r="A1367" t="s">
        <v>403</v>
      </c>
      <c r="B1367" t="s">
        <v>152</v>
      </c>
      <c r="C1367" t="s">
        <v>72</v>
      </c>
      <c r="D1367" s="3">
        <v>45682</v>
      </c>
      <c r="E1367" t="str">
        <f>VLOOKUP(B1367,'PROCV GERENTES BD'!A:B,2,0)</f>
        <v>MARCIO LEONEL</v>
      </c>
      <c r="F1367" s="4" t="str">
        <f t="shared" si="109"/>
        <v>2025-01-2</v>
      </c>
      <c r="G1367" t="str">
        <f t="shared" si="105"/>
        <v>MARCIO LEONEL</v>
      </c>
      <c r="H1367" t="str">
        <f t="shared" si="106"/>
        <v>MEDICAL PRIME IMP EXPORT DISTRIB PRODUTOS MEDICOS</v>
      </c>
      <c r="I1367">
        <f t="shared" si="107"/>
        <v>1</v>
      </c>
      <c r="J1367">
        <f t="shared" si="108"/>
        <v>0</v>
      </c>
    </row>
    <row r="1368" spans="1:10" x14ac:dyDescent="0.25">
      <c r="A1368" t="s">
        <v>393</v>
      </c>
      <c r="B1368" t="s">
        <v>139</v>
      </c>
      <c r="C1368" t="s">
        <v>56</v>
      </c>
      <c r="D1368" s="3">
        <v>45682</v>
      </c>
      <c r="E1368" t="str">
        <f>VLOOKUP(B1368,'PROCV GERENTES BD'!A:B,2,0)</f>
        <v xml:space="preserve">MARCUS VINICIUS </v>
      </c>
      <c r="F1368" s="4" t="str">
        <f t="shared" si="109"/>
        <v>2025-01-2</v>
      </c>
      <c r="G1368" t="str">
        <f t="shared" si="105"/>
        <v xml:space="preserve">MARCUS VINICIUS </v>
      </c>
      <c r="H1368" t="str">
        <f t="shared" si="106"/>
        <v>RODOANEL REFORMADORA DE IMPLEMENTOS RODOVIARIOS LT</v>
      </c>
      <c r="I1368">
        <f t="shared" si="107"/>
        <v>0</v>
      </c>
      <c r="J1368">
        <f t="shared" si="108"/>
        <v>1</v>
      </c>
    </row>
    <row r="1369" spans="1:10" x14ac:dyDescent="0.25">
      <c r="A1369" t="s">
        <v>427</v>
      </c>
      <c r="B1369" t="s">
        <v>206</v>
      </c>
      <c r="C1369" t="s">
        <v>56</v>
      </c>
      <c r="D1369" s="3">
        <v>45682</v>
      </c>
      <c r="E1369" t="str">
        <f>VLOOKUP(B1369,'PROCV GERENTES BD'!A:B,2,0)</f>
        <v>NOELI SALETE</v>
      </c>
      <c r="F1369" s="4" t="str">
        <f t="shared" si="109"/>
        <v>2025-01-2</v>
      </c>
      <c r="G1369" t="str">
        <f t="shared" si="105"/>
        <v>NOELI SALETE</v>
      </c>
      <c r="H1369" t="str">
        <f t="shared" si="106"/>
        <v>GLOBAL ACO SERV PRODUTOS SIDERURGICOS LTDA RECUPER</v>
      </c>
      <c r="I1369">
        <f t="shared" si="107"/>
        <v>0</v>
      </c>
      <c r="J1369">
        <f t="shared" si="108"/>
        <v>1</v>
      </c>
    </row>
    <row r="1370" spans="1:10" x14ac:dyDescent="0.25">
      <c r="A1370" t="s">
        <v>402</v>
      </c>
      <c r="B1370" t="s">
        <v>150</v>
      </c>
      <c r="C1370" t="s">
        <v>56</v>
      </c>
      <c r="D1370" s="3">
        <v>45682</v>
      </c>
      <c r="E1370" t="str">
        <f>VLOOKUP(B1370,'PROCV GERENTES BD'!A:B,2,0)</f>
        <v>NOELI SALETE</v>
      </c>
      <c r="F1370" s="4" t="str">
        <f t="shared" si="109"/>
        <v>2025-01-2</v>
      </c>
      <c r="G1370" t="str">
        <f t="shared" si="105"/>
        <v>NOELI SALETE</v>
      </c>
      <c r="H1370" t="str">
        <f t="shared" si="106"/>
        <v>ALBERTO H DA SILVA ME</v>
      </c>
      <c r="I1370">
        <f t="shared" si="107"/>
        <v>0</v>
      </c>
      <c r="J1370">
        <f t="shared" si="108"/>
        <v>1</v>
      </c>
    </row>
    <row r="1371" spans="1:10" x14ac:dyDescent="0.25">
      <c r="A1371" t="s">
        <v>354</v>
      </c>
      <c r="B1371" t="s">
        <v>97</v>
      </c>
      <c r="C1371" t="s">
        <v>72</v>
      </c>
      <c r="D1371" s="3">
        <v>45682</v>
      </c>
      <c r="E1371" t="str">
        <f>VLOOKUP(B1371,'PROCV GERENTES BD'!A:B,2,0)</f>
        <v>POENATELA</v>
      </c>
      <c r="F1371" s="4" t="str">
        <f t="shared" si="109"/>
        <v>2025-01-2</v>
      </c>
      <c r="G1371" t="str">
        <f t="shared" si="105"/>
        <v>POENATELA</v>
      </c>
      <c r="H1371" t="str">
        <f t="shared" si="106"/>
        <v>UBERTEC SERVICE USINAGEM LTDA EPP</v>
      </c>
      <c r="I1371">
        <f t="shared" si="107"/>
        <v>1</v>
      </c>
      <c r="J1371">
        <f t="shared" si="108"/>
        <v>0</v>
      </c>
    </row>
    <row r="1372" spans="1:10" x14ac:dyDescent="0.25">
      <c r="A1372" t="s">
        <v>460</v>
      </c>
      <c r="B1372" t="s">
        <v>216</v>
      </c>
      <c r="C1372" t="s">
        <v>56</v>
      </c>
      <c r="D1372" s="3">
        <v>45682</v>
      </c>
      <c r="E1372" t="str">
        <f>VLOOKUP(B1372,'PROCV GERENTES BD'!A:B,2,0)</f>
        <v>PRISCILA METZ</v>
      </c>
      <c r="F1372" s="4" t="str">
        <f t="shared" si="109"/>
        <v>2025-01-2</v>
      </c>
      <c r="G1372" t="str">
        <f t="shared" si="105"/>
        <v>PRISCILA METZ</v>
      </c>
      <c r="H1372" t="str">
        <f t="shared" si="106"/>
        <v>D M RODRIGUES LTDA ME</v>
      </c>
      <c r="I1372">
        <f t="shared" si="107"/>
        <v>0</v>
      </c>
      <c r="J1372">
        <f t="shared" si="108"/>
        <v>1</v>
      </c>
    </row>
    <row r="1373" spans="1:10" x14ac:dyDescent="0.25">
      <c r="A1373" t="s">
        <v>417</v>
      </c>
      <c r="B1373" t="s">
        <v>166</v>
      </c>
      <c r="C1373" t="s">
        <v>56</v>
      </c>
      <c r="D1373" s="3">
        <v>45682</v>
      </c>
      <c r="E1373" t="str">
        <f>VLOOKUP(B1373,'PROCV GERENTES BD'!A:B,2,0)</f>
        <v>RAFAEL PARISE</v>
      </c>
      <c r="F1373" s="4" t="str">
        <f t="shared" si="109"/>
        <v>2025-01-2</v>
      </c>
      <c r="G1373" t="str">
        <f t="shared" si="105"/>
        <v>RAFAEL PARISE</v>
      </c>
      <c r="H1373" t="str">
        <f t="shared" si="106"/>
        <v>OXIGAS RESIDUOS ESPECIAIS LTDA EPP</v>
      </c>
      <c r="I1373">
        <f t="shared" si="107"/>
        <v>0</v>
      </c>
      <c r="J1373">
        <f t="shared" si="108"/>
        <v>1</v>
      </c>
    </row>
    <row r="1374" spans="1:10" x14ac:dyDescent="0.25">
      <c r="A1374" t="s">
        <v>333</v>
      </c>
      <c r="B1374" t="s">
        <v>129</v>
      </c>
      <c r="C1374" t="s">
        <v>56</v>
      </c>
      <c r="D1374" s="3">
        <v>45682</v>
      </c>
      <c r="E1374" t="s">
        <v>25</v>
      </c>
      <c r="F1374" s="4" t="str">
        <f t="shared" si="109"/>
        <v>2025-01-2</v>
      </c>
      <c r="G1374" t="str">
        <f t="shared" si="105"/>
        <v xml:space="preserve">ROGERIO </v>
      </c>
      <c r="H1374" t="str">
        <f t="shared" si="106"/>
        <v>BIBE PRODUTOS INFANTIS LTDA</v>
      </c>
      <c r="I1374">
        <f t="shared" si="107"/>
        <v>0</v>
      </c>
      <c r="J1374">
        <f t="shared" si="108"/>
        <v>1</v>
      </c>
    </row>
    <row r="1375" spans="1:10" x14ac:dyDescent="0.25">
      <c r="A1375" t="s">
        <v>332</v>
      </c>
      <c r="B1375" t="s">
        <v>145</v>
      </c>
      <c r="C1375" t="s">
        <v>72</v>
      </c>
      <c r="D1375" s="3">
        <v>45682</v>
      </c>
      <c r="E1375" t="str">
        <f>VLOOKUP(B1375,'PROCV GERENTES BD'!A:B,2,0)</f>
        <v>SEM GERENTE</v>
      </c>
      <c r="F1375" s="4" t="str">
        <f t="shared" si="109"/>
        <v>2025-01-2</v>
      </c>
      <c r="G1375" t="str">
        <f t="shared" si="105"/>
        <v>SEM GERENTE</v>
      </c>
      <c r="H1375" t="str">
        <f t="shared" si="106"/>
        <v>ALLIAGE S A INDUSTRIAS MEDICO ODONTOLOGICA</v>
      </c>
      <c r="I1375">
        <f t="shared" si="107"/>
        <v>1</v>
      </c>
      <c r="J1375">
        <f t="shared" si="108"/>
        <v>0</v>
      </c>
    </row>
    <row r="1376" spans="1:10" x14ac:dyDescent="0.25">
      <c r="A1376" t="s">
        <v>469</v>
      </c>
      <c r="B1376" t="s">
        <v>225</v>
      </c>
      <c r="C1376" t="s">
        <v>56</v>
      </c>
      <c r="D1376" s="3">
        <v>45682</v>
      </c>
      <c r="E1376" t="str">
        <f>VLOOKUP(B1376,'PROCV GERENTES BD'!A:B,2,0)</f>
        <v>SEM GERENTE</v>
      </c>
      <c r="F1376" s="4" t="str">
        <f t="shared" si="109"/>
        <v>2025-01-2</v>
      </c>
      <c r="G1376" t="str">
        <f t="shared" si="105"/>
        <v>SEM GERENTE</v>
      </c>
      <c r="H1376" t="str">
        <f t="shared" si="106"/>
        <v>KUARA COMERCIAL E EXPORTADORA DE FRUTAS LTDA</v>
      </c>
      <c r="I1376">
        <f t="shared" si="107"/>
        <v>0</v>
      </c>
      <c r="J1376">
        <f t="shared" si="108"/>
        <v>1</v>
      </c>
    </row>
    <row r="1377" spans="1:10" x14ac:dyDescent="0.25">
      <c r="A1377" t="s">
        <v>401</v>
      </c>
      <c r="B1377" t="s">
        <v>149</v>
      </c>
      <c r="C1377" t="s">
        <v>72</v>
      </c>
      <c r="D1377" s="3">
        <v>45682</v>
      </c>
      <c r="E1377" t="str">
        <f>VLOOKUP(B1377,'PROCV GERENTES BD'!A:B,2,0)</f>
        <v>THIAGO THEODORO</v>
      </c>
      <c r="F1377" s="4" t="str">
        <f t="shared" si="109"/>
        <v>2025-01-2</v>
      </c>
      <c r="G1377" t="str">
        <f t="shared" si="105"/>
        <v>THIAGO THEODORO</v>
      </c>
      <c r="H1377" t="str">
        <f t="shared" si="106"/>
        <v>MONTAGEM MINAS GERAIS LTDA ME</v>
      </c>
      <c r="I1377">
        <f t="shared" si="107"/>
        <v>1</v>
      </c>
      <c r="J1377">
        <f t="shared" si="108"/>
        <v>0</v>
      </c>
    </row>
    <row r="1378" spans="1:10" x14ac:dyDescent="0.25">
      <c r="A1378" t="s">
        <v>339</v>
      </c>
      <c r="B1378" t="s">
        <v>151</v>
      </c>
      <c r="C1378" t="s">
        <v>56</v>
      </c>
      <c r="D1378" s="3">
        <v>45685</v>
      </c>
      <c r="E1378" t="str">
        <f>VLOOKUP(B1378,'PROCV GERENTES BD'!A:B,2,0)</f>
        <v>ADMINISTRAÇÃO</v>
      </c>
      <c r="F1378" s="4" t="str">
        <f t="shared" si="109"/>
        <v>2025-01-2</v>
      </c>
      <c r="G1378" t="str">
        <f t="shared" si="105"/>
        <v>ADMINISTRAÇÃO</v>
      </c>
      <c r="H1378" t="str">
        <f t="shared" si="106"/>
        <v>BOM PASTOR PAPEIS LTDA EM RECUPERACAO JUDICIAL</v>
      </c>
      <c r="I1378">
        <f t="shared" si="107"/>
        <v>0</v>
      </c>
      <c r="J1378">
        <f t="shared" si="108"/>
        <v>1</v>
      </c>
    </row>
    <row r="1379" spans="1:10" x14ac:dyDescent="0.25">
      <c r="A1379" t="s">
        <v>447</v>
      </c>
      <c r="B1379" t="s">
        <v>197</v>
      </c>
      <c r="C1379" t="s">
        <v>72</v>
      </c>
      <c r="D1379" s="3">
        <v>45685</v>
      </c>
      <c r="E1379" t="str">
        <f>VLOOKUP(B1379,'PROCV GERENTES BD'!A:B,2,0)</f>
        <v>ADMINISTRAÇÃO</v>
      </c>
      <c r="F1379" s="4" t="str">
        <f t="shared" si="109"/>
        <v>2025-01-2</v>
      </c>
      <c r="G1379" t="str">
        <f t="shared" si="105"/>
        <v>ADMINISTRAÇÃO</v>
      </c>
      <c r="H1379" t="str">
        <f t="shared" si="106"/>
        <v>ELFRIG FRIGORIFICO ELDORADO LTDA ME</v>
      </c>
      <c r="I1379">
        <f t="shared" si="107"/>
        <v>1</v>
      </c>
      <c r="J1379">
        <f t="shared" si="108"/>
        <v>0</v>
      </c>
    </row>
    <row r="1380" spans="1:10" x14ac:dyDescent="0.25">
      <c r="A1380" t="s">
        <v>463</v>
      </c>
      <c r="B1380" t="s">
        <v>219</v>
      </c>
      <c r="C1380" t="s">
        <v>72</v>
      </c>
      <c r="D1380" s="3">
        <v>45685</v>
      </c>
      <c r="E1380" t="str">
        <f>VLOOKUP(B1380,'PROCV GERENTES BD'!A:B,2,0)</f>
        <v>ADMINISTRAÇÃO</v>
      </c>
      <c r="F1380" s="4" t="str">
        <f t="shared" si="109"/>
        <v>2025-01-2</v>
      </c>
      <c r="G1380" t="str">
        <f t="shared" si="105"/>
        <v>ADMINISTRAÇÃO</v>
      </c>
      <c r="H1380" t="str">
        <f t="shared" si="106"/>
        <v>MAIS LAR ENGENHARIA LTDA</v>
      </c>
      <c r="I1380">
        <f t="shared" si="107"/>
        <v>1</v>
      </c>
      <c r="J1380">
        <f t="shared" si="108"/>
        <v>0</v>
      </c>
    </row>
    <row r="1381" spans="1:10" x14ac:dyDescent="0.25">
      <c r="A1381" t="s">
        <v>390</v>
      </c>
      <c r="B1381" t="s">
        <v>136</v>
      </c>
      <c r="C1381" t="s">
        <v>72</v>
      </c>
      <c r="D1381" s="3">
        <v>45685</v>
      </c>
      <c r="E1381" t="str">
        <f>VLOOKUP(B1381,'PROCV GERENTES BD'!A:B,2,0)</f>
        <v>ADMINISTRAÇÃO</v>
      </c>
      <c r="F1381" s="4" t="str">
        <f t="shared" si="109"/>
        <v>2025-01-2</v>
      </c>
      <c r="G1381" t="str">
        <f t="shared" si="105"/>
        <v>ADMINISTRAÇÃO</v>
      </c>
      <c r="H1381" t="str">
        <f t="shared" si="106"/>
        <v>XEQUE MATE BEBIDAS LTDA ME</v>
      </c>
      <c r="I1381">
        <f t="shared" si="107"/>
        <v>1</v>
      </c>
      <c r="J1381">
        <f t="shared" si="108"/>
        <v>0</v>
      </c>
    </row>
    <row r="1382" spans="1:10" x14ac:dyDescent="0.25">
      <c r="A1382" t="s">
        <v>380</v>
      </c>
      <c r="B1382" t="s">
        <v>123</v>
      </c>
      <c r="C1382" t="s">
        <v>56</v>
      </c>
      <c r="D1382" s="3">
        <v>45685</v>
      </c>
      <c r="E1382" t="str">
        <f>VLOOKUP(B1382,'PROCV GERENTES BD'!A:B,2,0)</f>
        <v>ANTONIO CARLOS</v>
      </c>
      <c r="F1382" s="4" t="str">
        <f t="shared" si="109"/>
        <v>2025-01-2</v>
      </c>
      <c r="G1382" t="str">
        <f t="shared" si="105"/>
        <v>ANTONIO CARLOS</v>
      </c>
      <c r="H1382" t="str">
        <f t="shared" si="106"/>
        <v>PREMOLDADOS MATOSINHOS LTDA EPP</v>
      </c>
      <c r="I1382">
        <f t="shared" si="107"/>
        <v>0</v>
      </c>
      <c r="J1382">
        <f t="shared" si="108"/>
        <v>1</v>
      </c>
    </row>
    <row r="1383" spans="1:10" x14ac:dyDescent="0.25">
      <c r="A1383" t="s">
        <v>326</v>
      </c>
      <c r="B1383" t="s">
        <v>86</v>
      </c>
      <c r="C1383" t="s">
        <v>56</v>
      </c>
      <c r="D1383" s="3">
        <v>45685</v>
      </c>
      <c r="E1383" t="str">
        <f>VLOOKUP(B1383,'PROCV GERENTES BD'!A:B,2,0)</f>
        <v>CELIO PIMENTA</v>
      </c>
      <c r="F1383" s="4" t="str">
        <f t="shared" si="109"/>
        <v>2025-01-2</v>
      </c>
      <c r="G1383" t="str">
        <f t="shared" si="105"/>
        <v>CELIO PIMENTA</v>
      </c>
      <c r="H1383" t="str">
        <f t="shared" si="106"/>
        <v>IMPORTEXTIL COMERCIO DE TECIDOS LTDA</v>
      </c>
      <c r="I1383">
        <f t="shared" si="107"/>
        <v>0</v>
      </c>
      <c r="J1383">
        <f t="shared" si="108"/>
        <v>1</v>
      </c>
    </row>
    <row r="1384" spans="1:10" x14ac:dyDescent="0.25">
      <c r="A1384" t="s">
        <v>458</v>
      </c>
      <c r="B1384" t="s">
        <v>214</v>
      </c>
      <c r="C1384" t="s">
        <v>56</v>
      </c>
      <c r="D1384" s="3">
        <v>45685</v>
      </c>
      <c r="E1384" t="str">
        <f>VLOOKUP(B1384,'PROCV GERENTES BD'!A:B,2,0)</f>
        <v>CELIO PIMENTA</v>
      </c>
      <c r="F1384" s="4" t="str">
        <f t="shared" si="109"/>
        <v>2025-01-2</v>
      </c>
      <c r="G1384" t="str">
        <f t="shared" si="105"/>
        <v>CELIO PIMENTA</v>
      </c>
      <c r="H1384" t="str">
        <f t="shared" si="106"/>
        <v>LIDER COMERCIO DE UNIFORMES E EPI S LTDA ME</v>
      </c>
      <c r="I1384">
        <f t="shared" si="107"/>
        <v>0</v>
      </c>
      <c r="J1384">
        <f t="shared" si="108"/>
        <v>1</v>
      </c>
    </row>
    <row r="1385" spans="1:10" x14ac:dyDescent="0.25">
      <c r="A1385" t="s">
        <v>318</v>
      </c>
      <c r="B1385" t="s">
        <v>87</v>
      </c>
      <c r="C1385" t="s">
        <v>56</v>
      </c>
      <c r="D1385" s="3">
        <v>45685</v>
      </c>
      <c r="E1385" t="str">
        <f>VLOOKUP(B1385,'PROCV GERENTES BD'!A:B,2,0)</f>
        <v>CELIO PIMENTA</v>
      </c>
      <c r="F1385" s="4" t="str">
        <f t="shared" si="109"/>
        <v>2025-01-2</v>
      </c>
      <c r="G1385" t="str">
        <f t="shared" si="105"/>
        <v>CELIO PIMENTA</v>
      </c>
      <c r="H1385" t="str">
        <f t="shared" si="106"/>
        <v>MBIOLOG DIAGNOSTICOS LTDA</v>
      </c>
      <c r="I1385">
        <f t="shared" si="107"/>
        <v>0</v>
      </c>
      <c r="J1385">
        <f t="shared" si="108"/>
        <v>1</v>
      </c>
    </row>
    <row r="1386" spans="1:10" x14ac:dyDescent="0.25">
      <c r="A1386" t="s">
        <v>60</v>
      </c>
      <c r="B1386" t="s">
        <v>61</v>
      </c>
      <c r="C1386" t="s">
        <v>56</v>
      </c>
      <c r="D1386" s="3">
        <v>45685</v>
      </c>
      <c r="E1386" t="str">
        <f>VLOOKUP(B1386,'PROCV GERENTES BD'!A:B,2,0)</f>
        <v>CELIO PIMENTA</v>
      </c>
      <c r="F1386" s="4" t="str">
        <f t="shared" si="109"/>
        <v>2025-01-2</v>
      </c>
      <c r="G1386" t="str">
        <f t="shared" si="105"/>
        <v>CELIO PIMENTA</v>
      </c>
      <c r="H1386" t="str">
        <f t="shared" si="106"/>
        <v>WJ CALDEIRARIA INDUSTRIA E COMERCIO LTDA ME</v>
      </c>
      <c r="I1386">
        <f t="shared" si="107"/>
        <v>0</v>
      </c>
      <c r="J1386">
        <f t="shared" si="108"/>
        <v>1</v>
      </c>
    </row>
    <row r="1387" spans="1:10" x14ac:dyDescent="0.25">
      <c r="A1387" t="s">
        <v>366</v>
      </c>
      <c r="B1387" t="s">
        <v>111</v>
      </c>
      <c r="C1387" t="s">
        <v>56</v>
      </c>
      <c r="D1387" s="3">
        <v>45685</v>
      </c>
      <c r="E1387" t="str">
        <f>VLOOKUP(B1387,'PROCV GERENTES BD'!A:B,2,0)</f>
        <v>DIOGO AZEVEDO</v>
      </c>
      <c r="F1387" s="4" t="str">
        <f t="shared" si="109"/>
        <v>2025-01-2</v>
      </c>
      <c r="G1387" t="str">
        <f t="shared" si="105"/>
        <v>DIOGO AZEVEDO</v>
      </c>
      <c r="H1387" t="str">
        <f t="shared" si="106"/>
        <v>INDUSTRIA E CERVEJARIA ARTESANAL DE MINAS GERAIS L</v>
      </c>
      <c r="I1387">
        <f t="shared" si="107"/>
        <v>0</v>
      </c>
      <c r="J1387">
        <f t="shared" si="108"/>
        <v>1</v>
      </c>
    </row>
    <row r="1388" spans="1:10" x14ac:dyDescent="0.25">
      <c r="A1388" t="s">
        <v>385</v>
      </c>
      <c r="B1388" t="s">
        <v>131</v>
      </c>
      <c r="C1388" t="s">
        <v>56</v>
      </c>
      <c r="D1388" s="3">
        <v>45685</v>
      </c>
      <c r="E1388" t="str">
        <f>VLOOKUP(B1388,'PROCV GERENTES BD'!A:B,2,0)</f>
        <v>EDUARDO MATOSO</v>
      </c>
      <c r="F1388" s="4" t="str">
        <f t="shared" si="109"/>
        <v>2025-01-2</v>
      </c>
      <c r="G1388" t="str">
        <f t="shared" si="105"/>
        <v>EDUARDO MATOSO</v>
      </c>
      <c r="H1388" t="str">
        <f t="shared" si="106"/>
        <v>STONE ENGENHARIA E MONTAGENS INDUSTRIAIS LTDA</v>
      </c>
      <c r="I1388">
        <f t="shared" si="107"/>
        <v>0</v>
      </c>
      <c r="J1388">
        <f t="shared" si="108"/>
        <v>1</v>
      </c>
    </row>
    <row r="1389" spans="1:10" x14ac:dyDescent="0.25">
      <c r="A1389" t="s">
        <v>451</v>
      </c>
      <c r="B1389" t="s">
        <v>201</v>
      </c>
      <c r="C1389" t="s">
        <v>56</v>
      </c>
      <c r="D1389" s="3">
        <v>45685</v>
      </c>
      <c r="E1389" t="str">
        <f>VLOOKUP(B1389,'PROCV GERENTES BD'!A:B,2,0)</f>
        <v>FITZ</v>
      </c>
      <c r="F1389" s="4" t="str">
        <f t="shared" si="109"/>
        <v>2025-01-2</v>
      </c>
      <c r="G1389" t="str">
        <f t="shared" si="105"/>
        <v>FITZ</v>
      </c>
      <c r="H1389" t="str">
        <f t="shared" si="106"/>
        <v>ALPLAST ATACADISTA E APOIO ADMINISTRATIVO LTDA EPP</v>
      </c>
      <c r="I1389">
        <f t="shared" si="107"/>
        <v>0</v>
      </c>
      <c r="J1389">
        <f t="shared" si="108"/>
        <v>1</v>
      </c>
    </row>
    <row r="1390" spans="1:10" x14ac:dyDescent="0.25">
      <c r="A1390" t="s">
        <v>331</v>
      </c>
      <c r="B1390" t="s">
        <v>126</v>
      </c>
      <c r="C1390" t="s">
        <v>56</v>
      </c>
      <c r="D1390" s="3">
        <v>45685</v>
      </c>
      <c r="E1390" t="str">
        <f>VLOOKUP(B1390,'PROCV GERENTES BD'!A:B,2,0)</f>
        <v>FITZ</v>
      </c>
      <c r="F1390" s="4" t="str">
        <f t="shared" si="109"/>
        <v>2025-01-2</v>
      </c>
      <c r="G1390" t="str">
        <f t="shared" si="105"/>
        <v>FITZ</v>
      </c>
      <c r="H1390" t="str">
        <f t="shared" si="106"/>
        <v>TRANSHENRY TRANSPORTES LTDA</v>
      </c>
      <c r="I1390">
        <f t="shared" si="107"/>
        <v>0</v>
      </c>
      <c r="J1390">
        <f t="shared" si="108"/>
        <v>1</v>
      </c>
    </row>
    <row r="1391" spans="1:10" x14ac:dyDescent="0.25">
      <c r="A1391" t="s">
        <v>330</v>
      </c>
      <c r="B1391" t="s">
        <v>116</v>
      </c>
      <c r="C1391" t="s">
        <v>56</v>
      </c>
      <c r="D1391" s="3">
        <v>45685</v>
      </c>
      <c r="E1391" t="str">
        <f>VLOOKUP(B1391,'PROCV GERENTES BD'!A:B,2,0)</f>
        <v>FITZ</v>
      </c>
      <c r="F1391" s="4" t="str">
        <f t="shared" si="109"/>
        <v>2025-01-2</v>
      </c>
      <c r="G1391" t="str">
        <f t="shared" si="105"/>
        <v>FITZ</v>
      </c>
      <c r="H1391" t="str">
        <f t="shared" si="106"/>
        <v>SIAP COMERCIO DE PRODUTOS AGROPECUARIOS LTDA</v>
      </c>
      <c r="I1391">
        <f t="shared" si="107"/>
        <v>0</v>
      </c>
      <c r="J1391">
        <f t="shared" si="108"/>
        <v>1</v>
      </c>
    </row>
    <row r="1392" spans="1:10" x14ac:dyDescent="0.25">
      <c r="A1392" t="s">
        <v>470</v>
      </c>
      <c r="B1392" t="s">
        <v>226</v>
      </c>
      <c r="C1392" t="s">
        <v>72</v>
      </c>
      <c r="D1392" s="3">
        <v>45685</v>
      </c>
      <c r="E1392" t="str">
        <f>VLOOKUP(B1392,'PROCV GERENTES BD'!A:B,2,0)</f>
        <v>LIBER</v>
      </c>
      <c r="F1392" s="4" t="str">
        <f t="shared" si="109"/>
        <v>2025-01-2</v>
      </c>
      <c r="G1392" t="str">
        <f t="shared" si="105"/>
        <v>LIBER</v>
      </c>
      <c r="H1392" t="str">
        <f t="shared" si="106"/>
        <v>CNM CHICOTES ELETRICOS LTDA EPP</v>
      </c>
      <c r="I1392">
        <f t="shared" si="107"/>
        <v>1</v>
      </c>
      <c r="J1392">
        <f t="shared" si="108"/>
        <v>0</v>
      </c>
    </row>
    <row r="1393" spans="1:10" x14ac:dyDescent="0.25">
      <c r="A1393" t="s">
        <v>403</v>
      </c>
      <c r="B1393" t="s">
        <v>152</v>
      </c>
      <c r="C1393" t="s">
        <v>56</v>
      </c>
      <c r="D1393" s="3">
        <v>45685</v>
      </c>
      <c r="E1393" t="str">
        <f>VLOOKUP(B1393,'PROCV GERENTES BD'!A:B,2,0)</f>
        <v>MARCIO LEONEL</v>
      </c>
      <c r="F1393" s="4" t="str">
        <f t="shared" si="109"/>
        <v>2025-01-2</v>
      </c>
      <c r="G1393" t="str">
        <f t="shared" si="105"/>
        <v>MARCIO LEONEL</v>
      </c>
      <c r="H1393" t="str">
        <f t="shared" si="106"/>
        <v>MEDICAL PRIME IMP EXPORT DISTRIB PRODUTOS MEDICOS</v>
      </c>
      <c r="I1393">
        <f t="shared" si="107"/>
        <v>0</v>
      </c>
      <c r="J1393">
        <f t="shared" si="108"/>
        <v>1</v>
      </c>
    </row>
    <row r="1394" spans="1:10" x14ac:dyDescent="0.25">
      <c r="A1394" t="s">
        <v>436</v>
      </c>
      <c r="B1394" t="s">
        <v>186</v>
      </c>
      <c r="C1394" t="s">
        <v>56</v>
      </c>
      <c r="D1394" s="3">
        <v>45685</v>
      </c>
      <c r="E1394" t="str">
        <f>VLOOKUP(B1394,'PROCV GERENTES BD'!A:B,2,0)</f>
        <v xml:space="preserve">MARCUS VINICIUS </v>
      </c>
      <c r="F1394" s="4" t="str">
        <f t="shared" si="109"/>
        <v>2025-01-2</v>
      </c>
      <c r="G1394" t="str">
        <f t="shared" si="105"/>
        <v xml:space="preserve">MARCUS VINICIUS </v>
      </c>
      <c r="H1394" t="str">
        <f t="shared" si="106"/>
        <v>LABOR ELETRIC INDUSTRIA E COMERCIO UNIPESSOAL LTDA</v>
      </c>
      <c r="I1394">
        <f t="shared" si="107"/>
        <v>0</v>
      </c>
      <c r="J1394">
        <f t="shared" si="108"/>
        <v>1</v>
      </c>
    </row>
    <row r="1395" spans="1:10" x14ac:dyDescent="0.25">
      <c r="A1395" t="s">
        <v>393</v>
      </c>
      <c r="B1395" t="s">
        <v>139</v>
      </c>
      <c r="C1395" t="s">
        <v>56</v>
      </c>
      <c r="D1395" s="3">
        <v>45685</v>
      </c>
      <c r="E1395" t="str">
        <f>VLOOKUP(B1395,'PROCV GERENTES BD'!A:B,2,0)</f>
        <v xml:space="preserve">MARCUS VINICIUS </v>
      </c>
      <c r="F1395" s="4" t="str">
        <f t="shared" si="109"/>
        <v>2025-01-2</v>
      </c>
      <c r="G1395" t="str">
        <f t="shared" si="105"/>
        <v xml:space="preserve">MARCUS VINICIUS </v>
      </c>
      <c r="H1395" t="str">
        <f t="shared" si="106"/>
        <v>RODOANEL REFORMADORA DE IMPLEMENTOS RODOVIARIOS LT</v>
      </c>
      <c r="I1395">
        <f t="shared" si="107"/>
        <v>0</v>
      </c>
      <c r="J1395">
        <f t="shared" si="108"/>
        <v>1</v>
      </c>
    </row>
    <row r="1396" spans="1:10" x14ac:dyDescent="0.25">
      <c r="A1396" t="s">
        <v>383</v>
      </c>
      <c r="B1396" t="s">
        <v>127</v>
      </c>
      <c r="C1396" t="s">
        <v>56</v>
      </c>
      <c r="D1396" s="3">
        <v>45685</v>
      </c>
      <c r="E1396" t="str">
        <f>VLOOKUP(B1396,'PROCV GERENTES BD'!A:B,2,0)</f>
        <v>NATALIA NUBIA</v>
      </c>
      <c r="F1396" s="4" t="str">
        <f t="shared" si="109"/>
        <v>2025-01-2</v>
      </c>
      <c r="G1396" t="str">
        <f t="shared" si="105"/>
        <v>NATALIA NUBIA</v>
      </c>
      <c r="H1396" t="str">
        <f t="shared" si="106"/>
        <v>FARINELLI NUTRIMENTOS LTDA</v>
      </c>
      <c r="I1396">
        <f t="shared" si="107"/>
        <v>0</v>
      </c>
      <c r="J1396">
        <f t="shared" si="108"/>
        <v>1</v>
      </c>
    </row>
    <row r="1397" spans="1:10" x14ac:dyDescent="0.25">
      <c r="A1397" t="s">
        <v>426</v>
      </c>
      <c r="B1397" t="s">
        <v>175</v>
      </c>
      <c r="C1397" t="s">
        <v>56</v>
      </c>
      <c r="D1397" s="3">
        <v>45685</v>
      </c>
      <c r="E1397" t="str">
        <f>VLOOKUP(B1397,'PROCV GERENTES BD'!A:B,2,0)</f>
        <v>NATALIA NUBIA</v>
      </c>
      <c r="F1397" s="4" t="str">
        <f t="shared" si="109"/>
        <v>2025-01-2</v>
      </c>
      <c r="G1397" t="str">
        <f t="shared" si="105"/>
        <v>NATALIA NUBIA</v>
      </c>
      <c r="H1397" t="str">
        <f t="shared" si="106"/>
        <v>MAAT COMERCIO DE VESTUARIO LTDA EPP</v>
      </c>
      <c r="I1397">
        <f t="shared" si="107"/>
        <v>0</v>
      </c>
      <c r="J1397">
        <f t="shared" si="108"/>
        <v>1</v>
      </c>
    </row>
    <row r="1398" spans="1:10" x14ac:dyDescent="0.25">
      <c r="A1398" t="s">
        <v>430</v>
      </c>
      <c r="B1398" t="s">
        <v>180</v>
      </c>
      <c r="C1398" t="s">
        <v>59</v>
      </c>
      <c r="D1398" s="3">
        <v>45685</v>
      </c>
      <c r="E1398" t="str">
        <f>VLOOKUP(B1398,'PROCV GERENTES BD'!A:B,2,0)</f>
        <v>NOELI SALETE</v>
      </c>
      <c r="F1398" s="4" t="str">
        <f t="shared" si="109"/>
        <v>2025-01-2</v>
      </c>
      <c r="G1398" t="str">
        <f t="shared" si="105"/>
        <v>NOELI SALETE</v>
      </c>
      <c r="H1398" t="str">
        <f t="shared" si="106"/>
        <v>COMGROUP AGROINDUSTRIAL LTDA</v>
      </c>
      <c r="I1398">
        <f t="shared" si="107"/>
        <v>0</v>
      </c>
      <c r="J1398">
        <f t="shared" si="108"/>
        <v>0</v>
      </c>
    </row>
    <row r="1399" spans="1:10" x14ac:dyDescent="0.25">
      <c r="A1399" t="s">
        <v>347</v>
      </c>
      <c r="B1399" t="s">
        <v>93</v>
      </c>
      <c r="C1399" t="s">
        <v>56</v>
      </c>
      <c r="D1399" s="3">
        <v>45685</v>
      </c>
      <c r="E1399" t="str">
        <f>VLOOKUP(B1399,'PROCV GERENTES BD'!A:B,2,0)</f>
        <v>NOELI SALETE</v>
      </c>
      <c r="F1399" s="4" t="str">
        <f t="shared" si="109"/>
        <v>2025-01-2</v>
      </c>
      <c r="G1399" t="str">
        <f t="shared" si="105"/>
        <v>NOELI SALETE</v>
      </c>
      <c r="H1399" t="str">
        <f t="shared" si="106"/>
        <v>RODOBOX TRANSPORTES E ARMAZENAGEM DE CARGAS LTDA</v>
      </c>
      <c r="I1399">
        <f t="shared" si="107"/>
        <v>0</v>
      </c>
      <c r="J1399">
        <f t="shared" si="108"/>
        <v>1</v>
      </c>
    </row>
    <row r="1400" spans="1:10" x14ac:dyDescent="0.25">
      <c r="A1400" t="s">
        <v>402</v>
      </c>
      <c r="B1400" t="s">
        <v>150</v>
      </c>
      <c r="C1400" t="s">
        <v>56</v>
      </c>
      <c r="D1400" s="3">
        <v>45685</v>
      </c>
      <c r="E1400" t="str">
        <f>VLOOKUP(B1400,'PROCV GERENTES BD'!A:B,2,0)</f>
        <v>NOELI SALETE</v>
      </c>
      <c r="F1400" s="4" t="str">
        <f t="shared" si="109"/>
        <v>2025-01-2</v>
      </c>
      <c r="G1400" t="str">
        <f t="shared" si="105"/>
        <v>NOELI SALETE</v>
      </c>
      <c r="H1400" t="str">
        <f t="shared" si="106"/>
        <v>ALBERTO H DA SILVA ME</v>
      </c>
      <c r="I1400">
        <f t="shared" si="107"/>
        <v>0</v>
      </c>
      <c r="J1400">
        <f t="shared" si="108"/>
        <v>1</v>
      </c>
    </row>
    <row r="1401" spans="1:10" x14ac:dyDescent="0.25">
      <c r="A1401" t="s">
        <v>408</v>
      </c>
      <c r="B1401" t="s">
        <v>157</v>
      </c>
      <c r="C1401" t="s">
        <v>72</v>
      </c>
      <c r="D1401" s="3">
        <v>45685</v>
      </c>
      <c r="E1401" t="str">
        <f>VLOOKUP(B1401,'PROCV GERENTES BD'!A:B,2,0)</f>
        <v>NOELI SALETE</v>
      </c>
      <c r="F1401" s="4" t="str">
        <f t="shared" si="109"/>
        <v>2025-01-2</v>
      </c>
      <c r="G1401" t="str">
        <f t="shared" si="105"/>
        <v>NOELI SALETE</v>
      </c>
      <c r="H1401" t="str">
        <f t="shared" si="106"/>
        <v>POOLMAK SISTEMAS ESTRUTURAIS LTDA</v>
      </c>
      <c r="I1401">
        <f t="shared" si="107"/>
        <v>1</v>
      </c>
      <c r="J1401">
        <f t="shared" si="108"/>
        <v>0</v>
      </c>
    </row>
    <row r="1402" spans="1:10" x14ac:dyDescent="0.25">
      <c r="A1402" t="s">
        <v>397</v>
      </c>
      <c r="B1402" t="s">
        <v>143</v>
      </c>
      <c r="C1402" t="s">
        <v>72</v>
      </c>
      <c r="D1402" s="3">
        <v>45685</v>
      </c>
      <c r="E1402" t="str">
        <f>VLOOKUP(B1402,'PROCV GERENTES BD'!A:B,2,0)</f>
        <v>POENATELA</v>
      </c>
      <c r="F1402" s="4" t="str">
        <f t="shared" si="109"/>
        <v>2025-01-2</v>
      </c>
      <c r="G1402" t="str">
        <f t="shared" si="105"/>
        <v>POENATELA</v>
      </c>
      <c r="H1402" t="str">
        <f t="shared" si="106"/>
        <v>CONQUISTA INDUSTRIA DE MOVEIS S/A</v>
      </c>
      <c r="I1402">
        <f t="shared" si="107"/>
        <v>1</v>
      </c>
      <c r="J1402">
        <f t="shared" si="108"/>
        <v>0</v>
      </c>
    </row>
    <row r="1403" spans="1:10" x14ac:dyDescent="0.25">
      <c r="A1403" t="s">
        <v>378</v>
      </c>
      <c r="B1403" t="s">
        <v>121</v>
      </c>
      <c r="C1403" t="s">
        <v>56</v>
      </c>
      <c r="D1403" s="3">
        <v>45685</v>
      </c>
      <c r="E1403" t="str">
        <f>VLOOKUP(B1403,'PROCV GERENTES BD'!A:B,2,0)</f>
        <v>POENATELA</v>
      </c>
      <c r="F1403" s="4" t="str">
        <f t="shared" si="109"/>
        <v>2025-01-2</v>
      </c>
      <c r="G1403" t="str">
        <f t="shared" si="105"/>
        <v>POENATELA</v>
      </c>
      <c r="H1403" t="str">
        <f t="shared" si="106"/>
        <v>COOPERATIVA TRANSP AUTON CARGAS PASSAG SERVICOS LO</v>
      </c>
      <c r="I1403">
        <f t="shared" si="107"/>
        <v>0</v>
      </c>
      <c r="J1403">
        <f t="shared" si="108"/>
        <v>1</v>
      </c>
    </row>
    <row r="1404" spans="1:10" x14ac:dyDescent="0.25">
      <c r="A1404" t="s">
        <v>354</v>
      </c>
      <c r="B1404" t="s">
        <v>97</v>
      </c>
      <c r="C1404" t="s">
        <v>59</v>
      </c>
      <c r="D1404" s="3">
        <v>45685</v>
      </c>
      <c r="E1404" t="str">
        <f>VLOOKUP(B1404,'PROCV GERENTES BD'!A:B,2,0)</f>
        <v>POENATELA</v>
      </c>
      <c r="F1404" s="4" t="str">
        <f t="shared" si="109"/>
        <v>2025-01-2</v>
      </c>
      <c r="G1404" t="str">
        <f t="shared" si="105"/>
        <v>POENATELA</v>
      </c>
      <c r="H1404" t="str">
        <f t="shared" si="106"/>
        <v>UBERTEC SERVICE USINAGEM LTDA EPP</v>
      </c>
      <c r="I1404">
        <f t="shared" si="107"/>
        <v>0</v>
      </c>
      <c r="J1404">
        <f t="shared" si="108"/>
        <v>0</v>
      </c>
    </row>
    <row r="1405" spans="1:10" x14ac:dyDescent="0.25">
      <c r="A1405" t="s">
        <v>460</v>
      </c>
      <c r="B1405" t="s">
        <v>216</v>
      </c>
      <c r="C1405" t="s">
        <v>56</v>
      </c>
      <c r="D1405" s="3">
        <v>45685</v>
      </c>
      <c r="E1405" t="str">
        <f>VLOOKUP(B1405,'PROCV GERENTES BD'!A:B,2,0)</f>
        <v>PRISCILA METZ</v>
      </c>
      <c r="F1405" s="4" t="str">
        <f t="shared" si="109"/>
        <v>2025-01-2</v>
      </c>
      <c r="G1405" t="str">
        <f t="shared" si="105"/>
        <v>PRISCILA METZ</v>
      </c>
      <c r="H1405" t="str">
        <f t="shared" si="106"/>
        <v>D M RODRIGUES LTDA ME</v>
      </c>
      <c r="I1405">
        <f t="shared" si="107"/>
        <v>0</v>
      </c>
      <c r="J1405">
        <f t="shared" si="108"/>
        <v>1</v>
      </c>
    </row>
    <row r="1406" spans="1:10" x14ac:dyDescent="0.25">
      <c r="A1406" t="s">
        <v>398</v>
      </c>
      <c r="B1406" t="s">
        <v>144</v>
      </c>
      <c r="C1406" t="s">
        <v>56</v>
      </c>
      <c r="D1406" s="3">
        <v>45685</v>
      </c>
      <c r="E1406" t="str">
        <f>VLOOKUP(B1406,'PROCV GERENTES BD'!A:B,2,0)</f>
        <v>PRISCILA METZ</v>
      </c>
      <c r="F1406" s="4" t="str">
        <f t="shared" si="109"/>
        <v>2025-01-2</v>
      </c>
      <c r="G1406" t="str">
        <f t="shared" si="105"/>
        <v>PRISCILA METZ</v>
      </c>
      <c r="H1406" t="str">
        <f t="shared" si="106"/>
        <v>VLF IMPERIAL LATICINIOS LTDA ME</v>
      </c>
      <c r="I1406">
        <f t="shared" si="107"/>
        <v>0</v>
      </c>
      <c r="J1406">
        <f t="shared" si="108"/>
        <v>1</v>
      </c>
    </row>
    <row r="1407" spans="1:10" x14ac:dyDescent="0.25">
      <c r="A1407" t="s">
        <v>442</v>
      </c>
      <c r="B1407" t="s">
        <v>192</v>
      </c>
      <c r="C1407" t="s">
        <v>56</v>
      </c>
      <c r="D1407" s="3">
        <v>45685</v>
      </c>
      <c r="E1407" t="str">
        <f>VLOOKUP(B1407,'PROCV GERENTES BD'!A:B,2,0)</f>
        <v>RAFAEL PARISE</v>
      </c>
      <c r="F1407" s="4" t="str">
        <f t="shared" si="109"/>
        <v>2025-01-2</v>
      </c>
      <c r="G1407" t="str">
        <f t="shared" si="105"/>
        <v>RAFAEL PARISE</v>
      </c>
      <c r="H1407" t="str">
        <f t="shared" si="106"/>
        <v>MARCAS COMERCIO LTDA ME</v>
      </c>
      <c r="I1407">
        <f t="shared" si="107"/>
        <v>0</v>
      </c>
      <c r="J1407">
        <f t="shared" si="108"/>
        <v>1</v>
      </c>
    </row>
    <row r="1408" spans="1:10" x14ac:dyDescent="0.25">
      <c r="A1408" t="s">
        <v>462</v>
      </c>
      <c r="B1408" t="s">
        <v>218</v>
      </c>
      <c r="C1408" t="s">
        <v>56</v>
      </c>
      <c r="D1408" s="3">
        <v>45685</v>
      </c>
      <c r="E1408" t="str">
        <f>VLOOKUP(B1408,'PROCV GERENTES BD'!A:B,2,0)</f>
        <v>RAFAEL PARISE</v>
      </c>
      <c r="F1408" s="4" t="str">
        <f t="shared" si="109"/>
        <v>2025-01-2</v>
      </c>
      <c r="G1408" t="str">
        <f t="shared" si="105"/>
        <v>RAFAEL PARISE</v>
      </c>
      <c r="H1408" t="str">
        <f t="shared" si="106"/>
        <v>TREGA FILHOS EMPACOTAMENTO E DISTRIBUICAO LTDA ME</v>
      </c>
      <c r="I1408">
        <f t="shared" si="107"/>
        <v>0</v>
      </c>
      <c r="J1408">
        <f t="shared" si="108"/>
        <v>1</v>
      </c>
    </row>
    <row r="1409" spans="1:10" x14ac:dyDescent="0.25">
      <c r="A1409" t="s">
        <v>82</v>
      </c>
      <c r="B1409" t="s">
        <v>83</v>
      </c>
      <c r="C1409" t="s">
        <v>56</v>
      </c>
      <c r="D1409" s="3">
        <v>45685</v>
      </c>
      <c r="E1409" t="str">
        <f>VLOOKUP(B1409,'PROCV GERENTES BD'!A:B,2,0)</f>
        <v>RAFAEL PARISE</v>
      </c>
      <c r="F1409" s="4" t="str">
        <f t="shared" si="109"/>
        <v>2025-01-2</v>
      </c>
      <c r="G1409" t="str">
        <f t="shared" si="105"/>
        <v>RAFAEL PARISE</v>
      </c>
      <c r="H1409" t="str">
        <f t="shared" si="106"/>
        <v>UNITA AUTO PECAS LTDA EPP</v>
      </c>
      <c r="I1409">
        <f t="shared" si="107"/>
        <v>0</v>
      </c>
      <c r="J1409">
        <f t="shared" si="108"/>
        <v>1</v>
      </c>
    </row>
    <row r="1410" spans="1:10" x14ac:dyDescent="0.25">
      <c r="A1410" t="s">
        <v>321</v>
      </c>
      <c r="B1410" t="s">
        <v>104</v>
      </c>
      <c r="C1410" t="s">
        <v>72</v>
      </c>
      <c r="D1410" s="3">
        <v>45685</v>
      </c>
      <c r="E1410" t="str">
        <f>VLOOKUP(B1410,'PROCV GERENTES BD'!A:B,2,0)</f>
        <v>THAYNA/COMERCIAL</v>
      </c>
      <c r="F1410" s="4" t="str">
        <f t="shared" si="109"/>
        <v>2025-01-2</v>
      </c>
      <c r="G1410" t="str">
        <f t="shared" ref="G1410:G1473" si="110">E1410</f>
        <v>THAYNA/COMERCIAL</v>
      </c>
      <c r="H1410" t="str">
        <f t="shared" ref="H1410:H1473" si="111">B1410</f>
        <v>MUTCD CENTRO DISTRIBUICAO IND FABRICANTE COSMETICO</v>
      </c>
      <c r="I1410">
        <f t="shared" ref="I1410:I1473" si="112">IF(C1410="EXCLUSAO  ANOT.INADIMPLENCIA",1,0)</f>
        <v>1</v>
      </c>
      <c r="J1410">
        <f t="shared" ref="J1410:J1473" si="113">IF(C1410="INCLUSAO  ANOT.INADIMPLENCIA",1,0)</f>
        <v>0</v>
      </c>
    </row>
    <row r="1411" spans="1:10" x14ac:dyDescent="0.25">
      <c r="A1411" t="s">
        <v>471</v>
      </c>
      <c r="B1411" t="s">
        <v>227</v>
      </c>
      <c r="C1411" t="s">
        <v>56</v>
      </c>
      <c r="D1411" s="3">
        <v>45686</v>
      </c>
      <c r="E1411" t="str">
        <f>VLOOKUP(B1411,'PROCV GERENTES BD'!A:B,2,0)</f>
        <v>ADMINISTRAÇÃO</v>
      </c>
      <c r="F1411" s="4" t="str">
        <f t="shared" ref="F1411:F1474" si="114">YEAR(D1411)&amp;"-"&amp;TEXT(MONTH(D1411),"00")&amp;"-"&amp;IF(DAY(D1411)&lt;=15,"1",IF(DAY(D1411)&gt;15,"2",""))</f>
        <v>2025-01-2</v>
      </c>
      <c r="G1411" t="str">
        <f t="shared" si="110"/>
        <v>ADMINISTRAÇÃO</v>
      </c>
      <c r="H1411" t="str">
        <f t="shared" si="111"/>
        <v>A C ESPORTES S A F</v>
      </c>
      <c r="I1411">
        <f t="shared" si="112"/>
        <v>0</v>
      </c>
      <c r="J1411">
        <f t="shared" si="113"/>
        <v>1</v>
      </c>
    </row>
    <row r="1412" spans="1:10" x14ac:dyDescent="0.25">
      <c r="A1412" t="s">
        <v>472</v>
      </c>
      <c r="B1412" t="s">
        <v>228</v>
      </c>
      <c r="C1412" t="s">
        <v>72</v>
      </c>
      <c r="D1412" s="3">
        <v>45686</v>
      </c>
      <c r="E1412" t="str">
        <f>VLOOKUP(B1412,'PROCV GERENTES BD'!A:B,2,0)</f>
        <v>ADMINISTRAÇÃO</v>
      </c>
      <c r="F1412" s="4" t="str">
        <f t="shared" si="114"/>
        <v>2025-01-2</v>
      </c>
      <c r="G1412" t="str">
        <f t="shared" si="110"/>
        <v>ADMINISTRAÇÃO</v>
      </c>
      <c r="H1412" t="str">
        <f t="shared" si="111"/>
        <v>ABN CONSULTORIA E PROJETOS LTDA EPP</v>
      </c>
      <c r="I1412">
        <f t="shared" si="112"/>
        <v>1</v>
      </c>
      <c r="J1412">
        <f t="shared" si="113"/>
        <v>0</v>
      </c>
    </row>
    <row r="1413" spans="1:10" x14ac:dyDescent="0.25">
      <c r="A1413" t="s">
        <v>473</v>
      </c>
      <c r="B1413" t="s">
        <v>229</v>
      </c>
      <c r="C1413" t="s">
        <v>56</v>
      </c>
      <c r="D1413" s="3">
        <v>45686</v>
      </c>
      <c r="E1413" t="str">
        <f>VLOOKUP(B1413,'PROCV GERENTES BD'!A:B,2,0)</f>
        <v>ADMINISTRAÇÃO</v>
      </c>
      <c r="F1413" s="4" t="str">
        <f t="shared" si="114"/>
        <v>2025-01-2</v>
      </c>
      <c r="G1413" t="str">
        <f t="shared" si="110"/>
        <v>ADMINISTRAÇÃO</v>
      </c>
      <c r="H1413" t="str">
        <f t="shared" si="111"/>
        <v>CF COMEX IMPORTACAO EQUIPAMENTOS E SERVICOS LTDA</v>
      </c>
      <c r="I1413">
        <f t="shared" si="112"/>
        <v>0</v>
      </c>
      <c r="J1413">
        <f t="shared" si="113"/>
        <v>1</v>
      </c>
    </row>
    <row r="1414" spans="1:10" x14ac:dyDescent="0.25">
      <c r="A1414" t="s">
        <v>467</v>
      </c>
      <c r="B1414" t="s">
        <v>223</v>
      </c>
      <c r="C1414" t="s">
        <v>56</v>
      </c>
      <c r="D1414" s="3">
        <v>45686</v>
      </c>
      <c r="E1414" t="str">
        <f>VLOOKUP(B1414,'PROCV GERENTES BD'!A:B,2,0)</f>
        <v>ADMINISTRAÇÃO</v>
      </c>
      <c r="F1414" s="4" t="str">
        <f t="shared" si="114"/>
        <v>2025-01-2</v>
      </c>
      <c r="G1414" t="str">
        <f t="shared" si="110"/>
        <v>ADMINISTRAÇÃO</v>
      </c>
      <c r="H1414" t="str">
        <f t="shared" si="111"/>
        <v>JABEZ SERVICOS COMPARTILHADOS LTDA ME</v>
      </c>
      <c r="I1414">
        <f t="shared" si="112"/>
        <v>0</v>
      </c>
      <c r="J1414">
        <f t="shared" si="113"/>
        <v>1</v>
      </c>
    </row>
    <row r="1415" spans="1:10" x14ac:dyDescent="0.25">
      <c r="A1415" t="s">
        <v>380</v>
      </c>
      <c r="B1415" t="s">
        <v>123</v>
      </c>
      <c r="C1415" t="s">
        <v>56</v>
      </c>
      <c r="D1415" s="3">
        <v>45686</v>
      </c>
      <c r="E1415" t="str">
        <f>VLOOKUP(B1415,'PROCV GERENTES BD'!A:B,2,0)</f>
        <v>ANTONIO CARLOS</v>
      </c>
      <c r="F1415" s="4" t="str">
        <f t="shared" si="114"/>
        <v>2025-01-2</v>
      </c>
      <c r="G1415" t="str">
        <f t="shared" si="110"/>
        <v>ANTONIO CARLOS</v>
      </c>
      <c r="H1415" t="str">
        <f t="shared" si="111"/>
        <v>PREMOLDADOS MATOSINHOS LTDA EPP</v>
      </c>
      <c r="I1415">
        <f t="shared" si="112"/>
        <v>0</v>
      </c>
      <c r="J1415">
        <f t="shared" si="113"/>
        <v>1</v>
      </c>
    </row>
    <row r="1416" spans="1:10" x14ac:dyDescent="0.25">
      <c r="A1416" t="s">
        <v>474</v>
      </c>
      <c r="B1416" t="s">
        <v>230</v>
      </c>
      <c r="C1416" t="s">
        <v>72</v>
      </c>
      <c r="D1416" s="3">
        <v>45686</v>
      </c>
      <c r="E1416" t="str">
        <f>VLOOKUP(B1416,'PROCV GERENTES BD'!A:B,2,0)</f>
        <v>CELIO PIMENTA</v>
      </c>
      <c r="F1416" s="4" t="str">
        <f t="shared" si="114"/>
        <v>2025-01-2</v>
      </c>
      <c r="G1416" t="str">
        <f t="shared" si="110"/>
        <v>CELIO PIMENTA</v>
      </c>
      <c r="H1416" t="str">
        <f t="shared" si="111"/>
        <v>ACO X LTDA ME</v>
      </c>
      <c r="I1416">
        <f t="shared" si="112"/>
        <v>1</v>
      </c>
      <c r="J1416">
        <f t="shared" si="113"/>
        <v>0</v>
      </c>
    </row>
    <row r="1417" spans="1:10" x14ac:dyDescent="0.25">
      <c r="A1417" t="s">
        <v>326</v>
      </c>
      <c r="B1417" t="s">
        <v>86</v>
      </c>
      <c r="C1417" t="s">
        <v>56</v>
      </c>
      <c r="D1417" s="3">
        <v>45686</v>
      </c>
      <c r="E1417" t="str">
        <f>VLOOKUP(B1417,'PROCV GERENTES BD'!A:B,2,0)</f>
        <v>CELIO PIMENTA</v>
      </c>
      <c r="F1417" s="4" t="str">
        <f t="shared" si="114"/>
        <v>2025-01-2</v>
      </c>
      <c r="G1417" t="str">
        <f t="shared" si="110"/>
        <v>CELIO PIMENTA</v>
      </c>
      <c r="H1417" t="str">
        <f t="shared" si="111"/>
        <v>IMPORTEXTIL COMERCIO DE TECIDOS LTDA</v>
      </c>
      <c r="I1417">
        <f t="shared" si="112"/>
        <v>0</v>
      </c>
      <c r="J1417">
        <f t="shared" si="113"/>
        <v>1</v>
      </c>
    </row>
    <row r="1418" spans="1:10" x14ac:dyDescent="0.25">
      <c r="A1418" t="s">
        <v>60</v>
      </c>
      <c r="B1418" t="s">
        <v>61</v>
      </c>
      <c r="C1418" t="s">
        <v>56</v>
      </c>
      <c r="D1418" s="3">
        <v>45686</v>
      </c>
      <c r="E1418" t="str">
        <f>VLOOKUP(B1418,'PROCV GERENTES BD'!A:B,2,0)</f>
        <v>CELIO PIMENTA</v>
      </c>
      <c r="F1418" s="4" t="str">
        <f t="shared" si="114"/>
        <v>2025-01-2</v>
      </c>
      <c r="G1418" t="str">
        <f t="shared" si="110"/>
        <v>CELIO PIMENTA</v>
      </c>
      <c r="H1418" t="str">
        <f t="shared" si="111"/>
        <v>WJ CALDEIRARIA INDUSTRIA E COMERCIO LTDA ME</v>
      </c>
      <c r="I1418">
        <f t="shared" si="112"/>
        <v>0</v>
      </c>
      <c r="J1418">
        <f t="shared" si="113"/>
        <v>1</v>
      </c>
    </row>
    <row r="1419" spans="1:10" x14ac:dyDescent="0.25">
      <c r="A1419" t="s">
        <v>475</v>
      </c>
      <c r="B1419" t="s">
        <v>231</v>
      </c>
      <c r="C1419" t="s">
        <v>72</v>
      </c>
      <c r="D1419" s="3">
        <v>45686</v>
      </c>
      <c r="E1419" t="str">
        <f>VLOOKUP(B1419,'PROCV GERENTES BD'!A:B,2,0)</f>
        <v>DIOGO AZEVEDO</v>
      </c>
      <c r="F1419" s="4" t="str">
        <f t="shared" si="114"/>
        <v>2025-01-2</v>
      </c>
      <c r="G1419" t="str">
        <f t="shared" si="110"/>
        <v>DIOGO AZEVEDO</v>
      </c>
      <c r="H1419" t="str">
        <f t="shared" si="111"/>
        <v>VGS COMERCIO DE EMBALAGENS DE MADEIRAS LTDA ME</v>
      </c>
      <c r="I1419">
        <f t="shared" si="112"/>
        <v>1</v>
      </c>
      <c r="J1419">
        <f t="shared" si="113"/>
        <v>0</v>
      </c>
    </row>
    <row r="1420" spans="1:10" x14ac:dyDescent="0.25">
      <c r="A1420" t="s">
        <v>451</v>
      </c>
      <c r="B1420" t="s">
        <v>201</v>
      </c>
      <c r="C1420" t="s">
        <v>72</v>
      </c>
      <c r="D1420" s="3">
        <v>45686</v>
      </c>
      <c r="E1420" t="str">
        <f>VLOOKUP(B1420,'PROCV GERENTES BD'!A:B,2,0)</f>
        <v>FITZ</v>
      </c>
      <c r="F1420" s="4" t="str">
        <f t="shared" si="114"/>
        <v>2025-01-2</v>
      </c>
      <c r="G1420" t="str">
        <f t="shared" si="110"/>
        <v>FITZ</v>
      </c>
      <c r="H1420" t="str">
        <f t="shared" si="111"/>
        <v>ALPLAST ATACADISTA E APOIO ADMINISTRATIVO LTDA EPP</v>
      </c>
      <c r="I1420">
        <f t="shared" si="112"/>
        <v>1</v>
      </c>
      <c r="J1420">
        <f t="shared" si="113"/>
        <v>0</v>
      </c>
    </row>
    <row r="1421" spans="1:10" x14ac:dyDescent="0.25">
      <c r="A1421" t="s">
        <v>403</v>
      </c>
      <c r="B1421" t="s">
        <v>152</v>
      </c>
      <c r="C1421" t="s">
        <v>56</v>
      </c>
      <c r="D1421" s="3">
        <v>45686</v>
      </c>
      <c r="E1421" t="str">
        <f>VLOOKUP(B1421,'PROCV GERENTES BD'!A:B,2,0)</f>
        <v>MARCIO LEONEL</v>
      </c>
      <c r="F1421" s="4" t="str">
        <f t="shared" si="114"/>
        <v>2025-01-2</v>
      </c>
      <c r="G1421" t="str">
        <f t="shared" si="110"/>
        <v>MARCIO LEONEL</v>
      </c>
      <c r="H1421" t="str">
        <f t="shared" si="111"/>
        <v>MEDICAL PRIME IMP EXPORT DISTRIB PRODUTOS MEDICOS</v>
      </c>
      <c r="I1421">
        <f t="shared" si="112"/>
        <v>0</v>
      </c>
      <c r="J1421">
        <f t="shared" si="113"/>
        <v>1</v>
      </c>
    </row>
    <row r="1422" spans="1:10" x14ac:dyDescent="0.25">
      <c r="A1422" t="s">
        <v>436</v>
      </c>
      <c r="B1422" t="s">
        <v>186</v>
      </c>
      <c r="C1422" t="s">
        <v>56</v>
      </c>
      <c r="D1422" s="3">
        <v>45686</v>
      </c>
      <c r="E1422" t="str">
        <f>VLOOKUP(B1422,'PROCV GERENTES BD'!A:B,2,0)</f>
        <v xml:space="preserve">MARCUS VINICIUS </v>
      </c>
      <c r="F1422" s="4" t="str">
        <f t="shared" si="114"/>
        <v>2025-01-2</v>
      </c>
      <c r="G1422" t="str">
        <f t="shared" si="110"/>
        <v xml:space="preserve">MARCUS VINICIUS </v>
      </c>
      <c r="H1422" t="str">
        <f t="shared" si="111"/>
        <v>LABOR ELETRIC INDUSTRIA E COMERCIO UNIPESSOAL LTDA</v>
      </c>
      <c r="I1422">
        <f t="shared" si="112"/>
        <v>0</v>
      </c>
      <c r="J1422">
        <f t="shared" si="113"/>
        <v>1</v>
      </c>
    </row>
    <row r="1423" spans="1:10" x14ac:dyDescent="0.25">
      <c r="A1423" t="s">
        <v>426</v>
      </c>
      <c r="B1423" t="s">
        <v>175</v>
      </c>
      <c r="C1423" t="s">
        <v>56</v>
      </c>
      <c r="D1423" s="3">
        <v>45686</v>
      </c>
      <c r="E1423" t="str">
        <f>VLOOKUP(B1423,'PROCV GERENTES BD'!A:B,2,0)</f>
        <v>NATALIA NUBIA</v>
      </c>
      <c r="F1423" s="4" t="str">
        <f t="shared" si="114"/>
        <v>2025-01-2</v>
      </c>
      <c r="G1423" t="str">
        <f t="shared" si="110"/>
        <v>NATALIA NUBIA</v>
      </c>
      <c r="H1423" t="str">
        <f t="shared" si="111"/>
        <v>MAAT COMERCIO DE VESTUARIO LTDA EPP</v>
      </c>
      <c r="I1423">
        <f t="shared" si="112"/>
        <v>0</v>
      </c>
      <c r="J1423">
        <f t="shared" si="113"/>
        <v>1</v>
      </c>
    </row>
    <row r="1424" spans="1:10" x14ac:dyDescent="0.25">
      <c r="A1424" t="s">
        <v>402</v>
      </c>
      <c r="B1424" t="s">
        <v>150</v>
      </c>
      <c r="C1424" t="s">
        <v>56</v>
      </c>
      <c r="D1424" s="3">
        <v>45686</v>
      </c>
      <c r="E1424" t="str">
        <f>VLOOKUP(B1424,'PROCV GERENTES BD'!A:B,2,0)</f>
        <v>NOELI SALETE</v>
      </c>
      <c r="F1424" s="4" t="str">
        <f t="shared" si="114"/>
        <v>2025-01-2</v>
      </c>
      <c r="G1424" t="str">
        <f t="shared" si="110"/>
        <v>NOELI SALETE</v>
      </c>
      <c r="H1424" t="str">
        <f t="shared" si="111"/>
        <v>ALBERTO H DA SILVA ME</v>
      </c>
      <c r="I1424">
        <f t="shared" si="112"/>
        <v>0</v>
      </c>
      <c r="J1424">
        <f t="shared" si="113"/>
        <v>1</v>
      </c>
    </row>
    <row r="1425" spans="1:10" x14ac:dyDescent="0.25">
      <c r="A1425" t="s">
        <v>397</v>
      </c>
      <c r="B1425" t="s">
        <v>143</v>
      </c>
      <c r="C1425" t="s">
        <v>72</v>
      </c>
      <c r="D1425" s="3">
        <v>45686</v>
      </c>
      <c r="E1425" t="str">
        <f>VLOOKUP(B1425,'PROCV GERENTES BD'!A:B,2,0)</f>
        <v>POENATELA</v>
      </c>
      <c r="F1425" s="4" t="str">
        <f t="shared" si="114"/>
        <v>2025-01-2</v>
      </c>
      <c r="G1425" t="str">
        <f t="shared" si="110"/>
        <v>POENATELA</v>
      </c>
      <c r="H1425" t="str">
        <f t="shared" si="111"/>
        <v>CONQUISTA INDUSTRIA DE MOVEIS S/A</v>
      </c>
      <c r="I1425">
        <f t="shared" si="112"/>
        <v>1</v>
      </c>
      <c r="J1425">
        <f t="shared" si="113"/>
        <v>0</v>
      </c>
    </row>
    <row r="1426" spans="1:10" x14ac:dyDescent="0.25">
      <c r="A1426" t="s">
        <v>428</v>
      </c>
      <c r="B1426" t="s">
        <v>177</v>
      </c>
      <c r="C1426" t="s">
        <v>56</v>
      </c>
      <c r="D1426" s="3">
        <v>45686</v>
      </c>
      <c r="E1426" t="str">
        <f>VLOOKUP(B1426,'PROCV GERENTES BD'!A:B,2,0)</f>
        <v>POENATELA</v>
      </c>
      <c r="F1426" s="4" t="str">
        <f t="shared" si="114"/>
        <v>2025-01-2</v>
      </c>
      <c r="G1426" t="str">
        <f t="shared" si="110"/>
        <v>POENATELA</v>
      </c>
      <c r="H1426" t="str">
        <f t="shared" si="111"/>
        <v>SAVIXX COMERCIO INTERNACIONAL S/A</v>
      </c>
      <c r="I1426">
        <f t="shared" si="112"/>
        <v>0</v>
      </c>
      <c r="J1426">
        <f t="shared" si="113"/>
        <v>1</v>
      </c>
    </row>
    <row r="1427" spans="1:10" x14ac:dyDescent="0.25">
      <c r="A1427" t="s">
        <v>354</v>
      </c>
      <c r="B1427" t="s">
        <v>97</v>
      </c>
      <c r="C1427" t="s">
        <v>56</v>
      </c>
      <c r="D1427" s="3">
        <v>45686</v>
      </c>
      <c r="E1427" t="str">
        <f>VLOOKUP(B1427,'PROCV GERENTES BD'!A:B,2,0)</f>
        <v>POENATELA</v>
      </c>
      <c r="F1427" s="4" t="str">
        <f t="shared" si="114"/>
        <v>2025-01-2</v>
      </c>
      <c r="G1427" t="str">
        <f t="shared" si="110"/>
        <v>POENATELA</v>
      </c>
      <c r="H1427" t="str">
        <f t="shared" si="111"/>
        <v>UBERTEC SERVICE USINAGEM LTDA EPP</v>
      </c>
      <c r="I1427">
        <f t="shared" si="112"/>
        <v>0</v>
      </c>
      <c r="J1427">
        <f t="shared" si="113"/>
        <v>1</v>
      </c>
    </row>
    <row r="1428" spans="1:10" x14ac:dyDescent="0.25">
      <c r="A1428" t="s">
        <v>460</v>
      </c>
      <c r="B1428" t="s">
        <v>216</v>
      </c>
      <c r="C1428" t="s">
        <v>56</v>
      </c>
      <c r="D1428" s="3">
        <v>45686</v>
      </c>
      <c r="E1428" t="str">
        <f>VLOOKUP(B1428,'PROCV GERENTES BD'!A:B,2,0)</f>
        <v>PRISCILA METZ</v>
      </c>
      <c r="F1428" s="4" t="str">
        <f t="shared" si="114"/>
        <v>2025-01-2</v>
      </c>
      <c r="G1428" t="str">
        <f t="shared" si="110"/>
        <v>PRISCILA METZ</v>
      </c>
      <c r="H1428" t="str">
        <f t="shared" si="111"/>
        <v>D M RODRIGUES LTDA ME</v>
      </c>
      <c r="I1428">
        <f t="shared" si="112"/>
        <v>0</v>
      </c>
      <c r="J1428">
        <f t="shared" si="113"/>
        <v>1</v>
      </c>
    </row>
    <row r="1429" spans="1:10" x14ac:dyDescent="0.25">
      <c r="A1429" t="s">
        <v>461</v>
      </c>
      <c r="B1429" t="s">
        <v>217</v>
      </c>
      <c r="C1429" t="s">
        <v>72</v>
      </c>
      <c r="D1429" s="3">
        <v>45686</v>
      </c>
      <c r="E1429" t="str">
        <f>VLOOKUP(B1429,'PROCV GERENTES BD'!A:B,2,0)</f>
        <v>RAFAEL PARISE</v>
      </c>
      <c r="F1429" s="4" t="str">
        <f t="shared" si="114"/>
        <v>2025-01-2</v>
      </c>
      <c r="G1429" t="str">
        <f t="shared" si="110"/>
        <v>RAFAEL PARISE</v>
      </c>
      <c r="H1429" t="str">
        <f t="shared" si="111"/>
        <v>BEIJA FLOR COMERCIO DE TINTAS LTDA</v>
      </c>
      <c r="I1429">
        <f t="shared" si="112"/>
        <v>1</v>
      </c>
      <c r="J1429">
        <f t="shared" si="113"/>
        <v>0</v>
      </c>
    </row>
    <row r="1430" spans="1:10" x14ac:dyDescent="0.25">
      <c r="A1430" t="s">
        <v>332</v>
      </c>
      <c r="B1430" t="s">
        <v>145</v>
      </c>
      <c r="C1430" t="s">
        <v>56</v>
      </c>
      <c r="D1430" s="3">
        <v>45686</v>
      </c>
      <c r="E1430" t="str">
        <f>VLOOKUP(B1430,'PROCV GERENTES BD'!A:B,2,0)</f>
        <v>SEM GERENTE</v>
      </c>
      <c r="F1430" s="4" t="str">
        <f t="shared" si="114"/>
        <v>2025-01-2</v>
      </c>
      <c r="G1430" t="str">
        <f t="shared" si="110"/>
        <v>SEM GERENTE</v>
      </c>
      <c r="H1430" t="str">
        <f t="shared" si="111"/>
        <v>ALLIAGE S A INDUSTRIAS MEDICO ODONTOLOGICA</v>
      </c>
      <c r="I1430">
        <f t="shared" si="112"/>
        <v>0</v>
      </c>
      <c r="J1430">
        <f t="shared" si="113"/>
        <v>1</v>
      </c>
    </row>
    <row r="1431" spans="1:10" x14ac:dyDescent="0.25">
      <c r="A1431" t="s">
        <v>321</v>
      </c>
      <c r="B1431" t="s">
        <v>104</v>
      </c>
      <c r="C1431" t="s">
        <v>56</v>
      </c>
      <c r="D1431" s="3">
        <v>45686</v>
      </c>
      <c r="E1431" t="str">
        <f>VLOOKUP(B1431,'PROCV GERENTES BD'!A:B,2,0)</f>
        <v>THAYNA/COMERCIAL</v>
      </c>
      <c r="F1431" s="4" t="str">
        <f t="shared" si="114"/>
        <v>2025-01-2</v>
      </c>
      <c r="G1431" t="str">
        <f t="shared" si="110"/>
        <v>THAYNA/COMERCIAL</v>
      </c>
      <c r="H1431" t="str">
        <f t="shared" si="111"/>
        <v>MUTCD CENTRO DISTRIBUICAO IND FABRICANTE COSMETICO</v>
      </c>
      <c r="I1431">
        <f t="shared" si="112"/>
        <v>0</v>
      </c>
      <c r="J1431">
        <f t="shared" si="113"/>
        <v>1</v>
      </c>
    </row>
    <row r="1432" spans="1:10" x14ac:dyDescent="0.25">
      <c r="A1432" t="s">
        <v>458</v>
      </c>
      <c r="B1432" t="s">
        <v>214</v>
      </c>
      <c r="C1432" t="s">
        <v>56</v>
      </c>
      <c r="D1432" s="3">
        <v>45687</v>
      </c>
      <c r="E1432" t="str">
        <f>VLOOKUP(B1432,'PROCV GERENTES BD'!A:B,2,0)</f>
        <v>CELIO PIMENTA</v>
      </c>
      <c r="F1432" s="4" t="str">
        <f t="shared" si="114"/>
        <v>2025-01-2</v>
      </c>
      <c r="G1432" t="str">
        <f t="shared" si="110"/>
        <v>CELIO PIMENTA</v>
      </c>
      <c r="H1432" t="str">
        <f t="shared" si="111"/>
        <v>LIDER COMERCIO DE UNIFORMES E EPI S LTDA ME</v>
      </c>
      <c r="I1432">
        <f t="shared" si="112"/>
        <v>0</v>
      </c>
      <c r="J1432">
        <f t="shared" si="113"/>
        <v>1</v>
      </c>
    </row>
    <row r="1433" spans="1:10" x14ac:dyDescent="0.25">
      <c r="A1433" t="s">
        <v>451</v>
      </c>
      <c r="B1433" t="s">
        <v>201</v>
      </c>
      <c r="C1433" t="s">
        <v>56</v>
      </c>
      <c r="D1433" s="3">
        <v>45687</v>
      </c>
      <c r="E1433" t="str">
        <f>VLOOKUP(B1433,'PROCV GERENTES BD'!A:B,2,0)</f>
        <v>FITZ</v>
      </c>
      <c r="F1433" s="4" t="str">
        <f t="shared" si="114"/>
        <v>2025-01-2</v>
      </c>
      <c r="G1433" t="str">
        <f t="shared" si="110"/>
        <v>FITZ</v>
      </c>
      <c r="H1433" t="str">
        <f t="shared" si="111"/>
        <v>ALPLAST ATACADISTA E APOIO ADMINISTRATIVO LTDA EPP</v>
      </c>
      <c r="I1433">
        <f t="shared" si="112"/>
        <v>0</v>
      </c>
      <c r="J1433">
        <f t="shared" si="113"/>
        <v>1</v>
      </c>
    </row>
    <row r="1434" spans="1:10" x14ac:dyDescent="0.25">
      <c r="A1434" t="s">
        <v>317</v>
      </c>
      <c r="B1434" t="s">
        <v>211</v>
      </c>
      <c r="C1434" t="s">
        <v>72</v>
      </c>
      <c r="D1434" s="3">
        <v>45687</v>
      </c>
      <c r="E1434" t="str">
        <f>VLOOKUP(B1434,'PROCV GERENTES BD'!A:B,2,0)</f>
        <v xml:space="preserve">MARCUS VINICIUS </v>
      </c>
      <c r="F1434" s="4" t="str">
        <f t="shared" si="114"/>
        <v>2025-01-2</v>
      </c>
      <c r="G1434" t="str">
        <f t="shared" si="110"/>
        <v xml:space="preserve">MARCUS VINICIUS </v>
      </c>
      <c r="H1434" t="str">
        <f t="shared" si="111"/>
        <v>INDUSTRIA E COMERCIO DE CHURRASQUEIRAS BOM JESUS L</v>
      </c>
      <c r="I1434">
        <f t="shared" si="112"/>
        <v>1</v>
      </c>
      <c r="J1434">
        <f t="shared" si="113"/>
        <v>0</v>
      </c>
    </row>
    <row r="1435" spans="1:10" x14ac:dyDescent="0.25">
      <c r="A1435" t="s">
        <v>436</v>
      </c>
      <c r="B1435" t="s">
        <v>186</v>
      </c>
      <c r="C1435" t="s">
        <v>56</v>
      </c>
      <c r="D1435" s="3">
        <v>45687</v>
      </c>
      <c r="E1435" t="str">
        <f>VLOOKUP(B1435,'PROCV GERENTES BD'!A:B,2,0)</f>
        <v xml:space="preserve">MARCUS VINICIUS </v>
      </c>
      <c r="F1435" s="4" t="str">
        <f t="shared" si="114"/>
        <v>2025-01-2</v>
      </c>
      <c r="G1435" t="str">
        <f t="shared" si="110"/>
        <v xml:space="preserve">MARCUS VINICIUS </v>
      </c>
      <c r="H1435" t="str">
        <f t="shared" si="111"/>
        <v>LABOR ELETRIC INDUSTRIA E COMERCIO UNIPESSOAL LTDA</v>
      </c>
      <c r="I1435">
        <f t="shared" si="112"/>
        <v>0</v>
      </c>
      <c r="J1435">
        <f t="shared" si="113"/>
        <v>1</v>
      </c>
    </row>
    <row r="1436" spans="1:10" x14ac:dyDescent="0.25">
      <c r="A1436" t="s">
        <v>427</v>
      </c>
      <c r="B1436" t="s">
        <v>206</v>
      </c>
      <c r="C1436" t="s">
        <v>56</v>
      </c>
      <c r="D1436" s="3">
        <v>45687</v>
      </c>
      <c r="E1436" t="str">
        <f>VLOOKUP(B1436,'PROCV GERENTES BD'!A:B,2,0)</f>
        <v>NOELI SALETE</v>
      </c>
      <c r="F1436" s="4" t="str">
        <f t="shared" si="114"/>
        <v>2025-01-2</v>
      </c>
      <c r="G1436" t="str">
        <f t="shared" si="110"/>
        <v>NOELI SALETE</v>
      </c>
      <c r="H1436" t="str">
        <f t="shared" si="111"/>
        <v>GLOBAL ACO SERV PRODUTOS SIDERURGICOS LTDA RECUPER</v>
      </c>
      <c r="I1436">
        <f t="shared" si="112"/>
        <v>0</v>
      </c>
      <c r="J1436">
        <f t="shared" si="113"/>
        <v>1</v>
      </c>
    </row>
    <row r="1437" spans="1:10" x14ac:dyDescent="0.25">
      <c r="A1437" t="s">
        <v>397</v>
      </c>
      <c r="B1437" t="s">
        <v>143</v>
      </c>
      <c r="C1437" t="s">
        <v>72</v>
      </c>
      <c r="D1437" s="3">
        <v>45687</v>
      </c>
      <c r="E1437" t="str">
        <f>VLOOKUP(B1437,'PROCV GERENTES BD'!A:B,2,0)</f>
        <v>POENATELA</v>
      </c>
      <c r="F1437" s="4" t="str">
        <f t="shared" si="114"/>
        <v>2025-01-2</v>
      </c>
      <c r="G1437" t="str">
        <f t="shared" si="110"/>
        <v>POENATELA</v>
      </c>
      <c r="H1437" t="str">
        <f t="shared" si="111"/>
        <v>CONQUISTA INDUSTRIA DE MOVEIS S/A</v>
      </c>
      <c r="I1437">
        <f t="shared" si="112"/>
        <v>1</v>
      </c>
      <c r="J1437">
        <f t="shared" si="113"/>
        <v>0</v>
      </c>
    </row>
    <row r="1438" spans="1:10" x14ac:dyDescent="0.25">
      <c r="A1438" t="s">
        <v>460</v>
      </c>
      <c r="B1438" t="s">
        <v>216</v>
      </c>
      <c r="C1438" t="s">
        <v>56</v>
      </c>
      <c r="D1438" s="3">
        <v>45687</v>
      </c>
      <c r="E1438" t="str">
        <f>VLOOKUP(B1438,'PROCV GERENTES BD'!A:B,2,0)</f>
        <v>PRISCILA METZ</v>
      </c>
      <c r="F1438" s="4" t="str">
        <f t="shared" si="114"/>
        <v>2025-01-2</v>
      </c>
      <c r="G1438" t="str">
        <f t="shared" si="110"/>
        <v>PRISCILA METZ</v>
      </c>
      <c r="H1438" t="str">
        <f t="shared" si="111"/>
        <v>D M RODRIGUES LTDA ME</v>
      </c>
      <c r="I1438">
        <f t="shared" si="112"/>
        <v>0</v>
      </c>
      <c r="J1438">
        <f t="shared" si="113"/>
        <v>1</v>
      </c>
    </row>
    <row r="1439" spans="1:10" x14ac:dyDescent="0.25">
      <c r="A1439" t="s">
        <v>398</v>
      </c>
      <c r="B1439" t="s">
        <v>144</v>
      </c>
      <c r="C1439" t="s">
        <v>72</v>
      </c>
      <c r="D1439" s="3">
        <v>45687</v>
      </c>
      <c r="E1439" t="str">
        <f>VLOOKUP(B1439,'PROCV GERENTES BD'!A:B,2,0)</f>
        <v>PRISCILA METZ</v>
      </c>
      <c r="F1439" s="4" t="str">
        <f t="shared" si="114"/>
        <v>2025-01-2</v>
      </c>
      <c r="G1439" t="str">
        <f t="shared" si="110"/>
        <v>PRISCILA METZ</v>
      </c>
      <c r="H1439" t="str">
        <f t="shared" si="111"/>
        <v>VLF IMPERIAL LATICINIOS LTDA ME</v>
      </c>
      <c r="I1439">
        <f t="shared" si="112"/>
        <v>1</v>
      </c>
      <c r="J1439">
        <f t="shared" si="113"/>
        <v>0</v>
      </c>
    </row>
    <row r="1440" spans="1:10" x14ac:dyDescent="0.25">
      <c r="A1440" t="s">
        <v>462</v>
      </c>
      <c r="B1440" t="s">
        <v>218</v>
      </c>
      <c r="C1440" t="s">
        <v>56</v>
      </c>
      <c r="D1440" s="3">
        <v>45687</v>
      </c>
      <c r="E1440" t="str">
        <f>VLOOKUP(B1440,'PROCV GERENTES BD'!A:B,2,0)</f>
        <v>RAFAEL PARISE</v>
      </c>
      <c r="F1440" s="4" t="str">
        <f t="shared" si="114"/>
        <v>2025-01-2</v>
      </c>
      <c r="G1440" t="str">
        <f t="shared" si="110"/>
        <v>RAFAEL PARISE</v>
      </c>
      <c r="H1440" t="str">
        <f t="shared" si="111"/>
        <v>TREGA FILHOS EMPACOTAMENTO E DISTRIBUICAO LTDA ME</v>
      </c>
      <c r="I1440">
        <f t="shared" si="112"/>
        <v>0</v>
      </c>
      <c r="J1440">
        <f t="shared" si="113"/>
        <v>1</v>
      </c>
    </row>
    <row r="1441" spans="1:10" x14ac:dyDescent="0.25">
      <c r="A1441" t="s">
        <v>82</v>
      </c>
      <c r="B1441" t="s">
        <v>83</v>
      </c>
      <c r="C1441" t="s">
        <v>72</v>
      </c>
      <c r="D1441" s="3">
        <v>45687</v>
      </c>
      <c r="E1441" t="str">
        <f>VLOOKUP(B1441,'PROCV GERENTES BD'!A:B,2,0)</f>
        <v>RAFAEL PARISE</v>
      </c>
      <c r="F1441" s="4" t="str">
        <f t="shared" si="114"/>
        <v>2025-01-2</v>
      </c>
      <c r="G1441" t="str">
        <f t="shared" si="110"/>
        <v>RAFAEL PARISE</v>
      </c>
      <c r="H1441" t="str">
        <f t="shared" si="111"/>
        <v>UNITA AUTO PECAS LTDA EPP</v>
      </c>
      <c r="I1441">
        <f t="shared" si="112"/>
        <v>1</v>
      </c>
      <c r="J1441">
        <f t="shared" si="113"/>
        <v>0</v>
      </c>
    </row>
    <row r="1442" spans="1:10" x14ac:dyDescent="0.25">
      <c r="A1442" t="s">
        <v>465</v>
      </c>
      <c r="B1442" t="s">
        <v>221</v>
      </c>
      <c r="C1442" t="s">
        <v>72</v>
      </c>
      <c r="D1442" s="3">
        <v>45687</v>
      </c>
      <c r="E1442" t="s">
        <v>25</v>
      </c>
      <c r="F1442" s="4" t="str">
        <f t="shared" si="114"/>
        <v>2025-01-2</v>
      </c>
      <c r="G1442" t="str">
        <f t="shared" si="110"/>
        <v xml:space="preserve">ROGERIO </v>
      </c>
      <c r="H1442" t="str">
        <f t="shared" si="111"/>
        <v>METAL STAMP INDUSTRIA E COMERCIO LTDA</v>
      </c>
      <c r="I1442">
        <f t="shared" si="112"/>
        <v>1</v>
      </c>
      <c r="J1442">
        <f t="shared" si="113"/>
        <v>0</v>
      </c>
    </row>
    <row r="1443" spans="1:10" x14ac:dyDescent="0.25">
      <c r="A1443" t="s">
        <v>326</v>
      </c>
      <c r="B1443" t="s">
        <v>86</v>
      </c>
      <c r="C1443" t="s">
        <v>56</v>
      </c>
      <c r="D1443" s="3">
        <v>45688</v>
      </c>
      <c r="E1443" t="str">
        <f>VLOOKUP(B1443,'PROCV GERENTES BD'!A:B,2,0)</f>
        <v>CELIO PIMENTA</v>
      </c>
      <c r="F1443" s="4" t="str">
        <f t="shared" si="114"/>
        <v>2025-01-2</v>
      </c>
      <c r="G1443" t="str">
        <f t="shared" si="110"/>
        <v>CELIO PIMENTA</v>
      </c>
      <c r="H1443" t="str">
        <f t="shared" si="111"/>
        <v>IMPORTEXTIL COMERCIO DE TECIDOS LTDA</v>
      </c>
      <c r="I1443">
        <f t="shared" si="112"/>
        <v>0</v>
      </c>
      <c r="J1443">
        <f t="shared" si="113"/>
        <v>1</v>
      </c>
    </row>
    <row r="1444" spans="1:10" x14ac:dyDescent="0.25">
      <c r="A1444" t="s">
        <v>382</v>
      </c>
      <c r="B1444" t="s">
        <v>125</v>
      </c>
      <c r="C1444" t="s">
        <v>72</v>
      </c>
      <c r="D1444" s="3">
        <v>45688</v>
      </c>
      <c r="E1444" t="str">
        <f>VLOOKUP(B1444,'PROCV GERENTES BD'!A:B,2,0)</f>
        <v>CELIO PIMENTA</v>
      </c>
      <c r="F1444" s="4" t="str">
        <f t="shared" si="114"/>
        <v>2025-01-2</v>
      </c>
      <c r="G1444" t="str">
        <f t="shared" si="110"/>
        <v>CELIO PIMENTA</v>
      </c>
      <c r="H1444" t="str">
        <f t="shared" si="111"/>
        <v>MINAS ALIMENTOS E FRUTAS SECAS LTDA EPP</v>
      </c>
      <c r="I1444">
        <f t="shared" si="112"/>
        <v>1</v>
      </c>
      <c r="J1444">
        <f t="shared" si="113"/>
        <v>0</v>
      </c>
    </row>
    <row r="1445" spans="1:10" x14ac:dyDescent="0.25">
      <c r="A1445" t="s">
        <v>451</v>
      </c>
      <c r="B1445" t="s">
        <v>201</v>
      </c>
      <c r="C1445" t="s">
        <v>72</v>
      </c>
      <c r="D1445" s="3">
        <v>45688</v>
      </c>
      <c r="E1445" t="str">
        <f>VLOOKUP(B1445,'PROCV GERENTES BD'!A:B,2,0)</f>
        <v>FITZ</v>
      </c>
      <c r="F1445" s="4" t="str">
        <f t="shared" si="114"/>
        <v>2025-01-2</v>
      </c>
      <c r="G1445" t="str">
        <f t="shared" si="110"/>
        <v>FITZ</v>
      </c>
      <c r="H1445" t="str">
        <f t="shared" si="111"/>
        <v>ALPLAST ATACADISTA E APOIO ADMINISTRATIVO LTDA EPP</v>
      </c>
      <c r="I1445">
        <f t="shared" si="112"/>
        <v>1</v>
      </c>
      <c r="J1445">
        <f t="shared" si="113"/>
        <v>0</v>
      </c>
    </row>
    <row r="1446" spans="1:10" x14ac:dyDescent="0.25">
      <c r="A1446" t="s">
        <v>331</v>
      </c>
      <c r="B1446" t="s">
        <v>126</v>
      </c>
      <c r="C1446" t="s">
        <v>72</v>
      </c>
      <c r="D1446" s="3">
        <v>45688</v>
      </c>
      <c r="E1446" t="str">
        <f>VLOOKUP(B1446,'PROCV GERENTES BD'!A:B,2,0)</f>
        <v>FITZ</v>
      </c>
      <c r="F1446" s="4" t="str">
        <f t="shared" si="114"/>
        <v>2025-01-2</v>
      </c>
      <c r="G1446" t="str">
        <f t="shared" si="110"/>
        <v>FITZ</v>
      </c>
      <c r="H1446" t="str">
        <f t="shared" si="111"/>
        <v>TRANSHENRY TRANSPORTES LTDA</v>
      </c>
      <c r="I1446">
        <f t="shared" si="112"/>
        <v>1</v>
      </c>
      <c r="J1446">
        <f t="shared" si="113"/>
        <v>0</v>
      </c>
    </row>
    <row r="1447" spans="1:10" x14ac:dyDescent="0.25">
      <c r="A1447" t="s">
        <v>325</v>
      </c>
      <c r="B1447" t="s">
        <v>210</v>
      </c>
      <c r="C1447" t="s">
        <v>72</v>
      </c>
      <c r="D1447" s="3">
        <v>45688</v>
      </c>
      <c r="E1447" t="str">
        <f>VLOOKUP(B1447,'PROCV GERENTES BD'!A:B,2,0)</f>
        <v>JOSE ROBERTO</v>
      </c>
      <c r="F1447" s="4" t="str">
        <f t="shared" si="114"/>
        <v>2025-01-2</v>
      </c>
      <c r="G1447" t="str">
        <f t="shared" si="110"/>
        <v>JOSE ROBERTO</v>
      </c>
      <c r="H1447" t="str">
        <f t="shared" si="111"/>
        <v>FUNDACAO DE ENSINO E PESQUISA DO SUL DE MINAS FEPE</v>
      </c>
      <c r="I1447">
        <f t="shared" si="112"/>
        <v>1</v>
      </c>
      <c r="J1447">
        <f t="shared" si="113"/>
        <v>0</v>
      </c>
    </row>
    <row r="1448" spans="1:10" x14ac:dyDescent="0.25">
      <c r="A1448" t="s">
        <v>436</v>
      </c>
      <c r="B1448" t="s">
        <v>186</v>
      </c>
      <c r="C1448" t="s">
        <v>72</v>
      </c>
      <c r="D1448" s="3">
        <v>45688</v>
      </c>
      <c r="E1448" t="str">
        <f>VLOOKUP(B1448,'PROCV GERENTES BD'!A:B,2,0)</f>
        <v xml:space="preserve">MARCUS VINICIUS </v>
      </c>
      <c r="F1448" s="4" t="str">
        <f t="shared" si="114"/>
        <v>2025-01-2</v>
      </c>
      <c r="G1448" t="str">
        <f t="shared" si="110"/>
        <v xml:space="preserve">MARCUS VINICIUS </v>
      </c>
      <c r="H1448" t="str">
        <f t="shared" si="111"/>
        <v>LABOR ELETRIC INDUSTRIA E COMERCIO UNIPESSOAL LTDA</v>
      </c>
      <c r="I1448">
        <f t="shared" si="112"/>
        <v>1</v>
      </c>
      <c r="J1448">
        <f t="shared" si="113"/>
        <v>0</v>
      </c>
    </row>
    <row r="1449" spans="1:10" x14ac:dyDescent="0.25">
      <c r="A1449" t="s">
        <v>426</v>
      </c>
      <c r="B1449" t="s">
        <v>175</v>
      </c>
      <c r="C1449" t="s">
        <v>56</v>
      </c>
      <c r="D1449" s="3">
        <v>45688</v>
      </c>
      <c r="E1449" t="str">
        <f>VLOOKUP(B1449,'PROCV GERENTES BD'!A:B,2,0)</f>
        <v>NATALIA NUBIA</v>
      </c>
      <c r="F1449" s="4" t="str">
        <f t="shared" si="114"/>
        <v>2025-01-2</v>
      </c>
      <c r="G1449" t="str">
        <f t="shared" si="110"/>
        <v>NATALIA NUBIA</v>
      </c>
      <c r="H1449" t="str">
        <f t="shared" si="111"/>
        <v>MAAT COMERCIO DE VESTUARIO LTDA EPP</v>
      </c>
      <c r="I1449">
        <f t="shared" si="112"/>
        <v>0</v>
      </c>
      <c r="J1449">
        <f t="shared" si="113"/>
        <v>1</v>
      </c>
    </row>
    <row r="1450" spans="1:10" x14ac:dyDescent="0.25">
      <c r="A1450" t="s">
        <v>408</v>
      </c>
      <c r="B1450" t="s">
        <v>157</v>
      </c>
      <c r="C1450" t="s">
        <v>72</v>
      </c>
      <c r="D1450" s="3">
        <v>45688</v>
      </c>
      <c r="E1450" t="str">
        <f>VLOOKUP(B1450,'PROCV GERENTES BD'!A:B,2,0)</f>
        <v>NOELI SALETE</v>
      </c>
      <c r="F1450" s="4" t="str">
        <f t="shared" si="114"/>
        <v>2025-01-2</v>
      </c>
      <c r="G1450" t="str">
        <f t="shared" si="110"/>
        <v>NOELI SALETE</v>
      </c>
      <c r="H1450" t="str">
        <f t="shared" si="111"/>
        <v>POOLMAK SISTEMAS ESTRUTURAIS LTDA</v>
      </c>
      <c r="I1450">
        <f t="shared" si="112"/>
        <v>1</v>
      </c>
      <c r="J1450">
        <f t="shared" si="113"/>
        <v>0</v>
      </c>
    </row>
    <row r="1451" spans="1:10" x14ac:dyDescent="0.25">
      <c r="A1451" t="s">
        <v>354</v>
      </c>
      <c r="B1451" t="s">
        <v>97</v>
      </c>
      <c r="C1451" t="s">
        <v>59</v>
      </c>
      <c r="D1451" s="3">
        <v>45688</v>
      </c>
      <c r="E1451" t="str">
        <f>VLOOKUP(B1451,'PROCV GERENTES BD'!A:B,2,0)</f>
        <v>POENATELA</v>
      </c>
      <c r="F1451" s="4" t="str">
        <f t="shared" si="114"/>
        <v>2025-01-2</v>
      </c>
      <c r="G1451" t="str">
        <f t="shared" si="110"/>
        <v>POENATELA</v>
      </c>
      <c r="H1451" t="str">
        <f t="shared" si="111"/>
        <v>UBERTEC SERVICE USINAGEM LTDA EPP</v>
      </c>
      <c r="I1451">
        <f t="shared" si="112"/>
        <v>0</v>
      </c>
      <c r="J1451">
        <f t="shared" si="113"/>
        <v>0</v>
      </c>
    </row>
    <row r="1452" spans="1:10" x14ac:dyDescent="0.25">
      <c r="A1452" t="s">
        <v>460</v>
      </c>
      <c r="B1452" t="s">
        <v>216</v>
      </c>
      <c r="C1452" t="s">
        <v>56</v>
      </c>
      <c r="D1452" s="3">
        <v>45688</v>
      </c>
      <c r="E1452" t="str">
        <f>VLOOKUP(B1452,'PROCV GERENTES BD'!A:B,2,0)</f>
        <v>PRISCILA METZ</v>
      </c>
      <c r="F1452" s="4" t="str">
        <f t="shared" si="114"/>
        <v>2025-01-2</v>
      </c>
      <c r="G1452" t="str">
        <f t="shared" si="110"/>
        <v>PRISCILA METZ</v>
      </c>
      <c r="H1452" t="str">
        <f t="shared" si="111"/>
        <v>D M RODRIGUES LTDA ME</v>
      </c>
      <c r="I1452">
        <f t="shared" si="112"/>
        <v>0</v>
      </c>
      <c r="J1452">
        <f t="shared" si="113"/>
        <v>1</v>
      </c>
    </row>
    <row r="1453" spans="1:10" x14ac:dyDescent="0.25">
      <c r="A1453" t="s">
        <v>476</v>
      </c>
      <c r="B1453" t="s">
        <v>232</v>
      </c>
      <c r="C1453" t="s">
        <v>72</v>
      </c>
      <c r="D1453" s="3">
        <v>45688</v>
      </c>
      <c r="E1453" t="s">
        <v>25</v>
      </c>
      <c r="F1453" s="4" t="str">
        <f t="shared" si="114"/>
        <v>2025-01-2</v>
      </c>
      <c r="G1453" t="str">
        <f t="shared" si="110"/>
        <v xml:space="preserve">ROGERIO </v>
      </c>
      <c r="H1453" t="str">
        <f t="shared" si="111"/>
        <v>TORQUE FERRAMENTAS LTDA ME</v>
      </c>
      <c r="I1453">
        <f t="shared" si="112"/>
        <v>1</v>
      </c>
      <c r="J1453">
        <f t="shared" si="113"/>
        <v>0</v>
      </c>
    </row>
    <row r="1454" spans="1:10" x14ac:dyDescent="0.25">
      <c r="A1454" t="s">
        <v>469</v>
      </c>
      <c r="B1454" t="s">
        <v>225</v>
      </c>
      <c r="C1454" t="s">
        <v>56</v>
      </c>
      <c r="D1454" s="3">
        <v>45688</v>
      </c>
      <c r="E1454" t="str">
        <f>VLOOKUP(B1454,'PROCV GERENTES BD'!A:B,2,0)</f>
        <v>SEM GERENTE</v>
      </c>
      <c r="F1454" s="4" t="str">
        <f t="shared" si="114"/>
        <v>2025-01-2</v>
      </c>
      <c r="G1454" t="str">
        <f t="shared" si="110"/>
        <v>SEM GERENTE</v>
      </c>
      <c r="H1454" t="str">
        <f t="shared" si="111"/>
        <v>KUARA COMERCIAL E EXPORTADORA DE FRUTAS LTDA</v>
      </c>
      <c r="I1454">
        <f t="shared" si="112"/>
        <v>0</v>
      </c>
      <c r="J1454">
        <f t="shared" si="113"/>
        <v>1</v>
      </c>
    </row>
    <row r="1455" spans="1:10" x14ac:dyDescent="0.25">
      <c r="A1455" t="s">
        <v>326</v>
      </c>
      <c r="B1455" t="s">
        <v>86</v>
      </c>
      <c r="C1455" t="s">
        <v>59</v>
      </c>
      <c r="D1455" s="3">
        <v>45689</v>
      </c>
      <c r="E1455" t="str">
        <f>VLOOKUP(B1455,'PROCV GERENTES BD'!A:B,2,0)</f>
        <v>CELIO PIMENTA</v>
      </c>
      <c r="F1455" s="4" t="str">
        <f t="shared" si="114"/>
        <v>2025-02-1</v>
      </c>
      <c r="G1455" t="str">
        <f t="shared" si="110"/>
        <v>CELIO PIMENTA</v>
      </c>
      <c r="H1455" t="str">
        <f t="shared" si="111"/>
        <v>IMPORTEXTIL COMERCIO DE TECIDOS LTDA</v>
      </c>
      <c r="I1455">
        <f t="shared" si="112"/>
        <v>0</v>
      </c>
      <c r="J1455">
        <f t="shared" si="113"/>
        <v>0</v>
      </c>
    </row>
    <row r="1456" spans="1:10" x14ac:dyDescent="0.25">
      <c r="A1456" t="s">
        <v>458</v>
      </c>
      <c r="B1456" t="s">
        <v>214</v>
      </c>
      <c r="C1456" t="s">
        <v>72</v>
      </c>
      <c r="D1456" s="3">
        <v>45689</v>
      </c>
      <c r="E1456" t="str">
        <f>VLOOKUP(B1456,'PROCV GERENTES BD'!A:B,2,0)</f>
        <v>CELIO PIMENTA</v>
      </c>
      <c r="F1456" s="4" t="str">
        <f t="shared" si="114"/>
        <v>2025-02-1</v>
      </c>
      <c r="G1456" t="str">
        <f t="shared" si="110"/>
        <v>CELIO PIMENTA</v>
      </c>
      <c r="H1456" t="str">
        <f t="shared" si="111"/>
        <v>LIDER COMERCIO DE UNIFORMES E EPI S LTDA ME</v>
      </c>
      <c r="I1456">
        <f t="shared" si="112"/>
        <v>1</v>
      </c>
      <c r="J1456">
        <f t="shared" si="113"/>
        <v>0</v>
      </c>
    </row>
    <row r="1457" spans="1:10" x14ac:dyDescent="0.25">
      <c r="A1457" t="s">
        <v>382</v>
      </c>
      <c r="B1457" t="s">
        <v>125</v>
      </c>
      <c r="C1457" t="s">
        <v>56</v>
      </c>
      <c r="D1457" s="3">
        <v>45689</v>
      </c>
      <c r="E1457" t="str">
        <f>VLOOKUP(B1457,'PROCV GERENTES BD'!A:B,2,0)</f>
        <v>CELIO PIMENTA</v>
      </c>
      <c r="F1457" s="4" t="str">
        <f t="shared" si="114"/>
        <v>2025-02-1</v>
      </c>
      <c r="G1457" t="str">
        <f t="shared" si="110"/>
        <v>CELIO PIMENTA</v>
      </c>
      <c r="H1457" t="str">
        <f t="shared" si="111"/>
        <v>MINAS ALIMENTOS E FRUTAS SECAS LTDA EPP</v>
      </c>
      <c r="I1457">
        <f t="shared" si="112"/>
        <v>0</v>
      </c>
      <c r="J1457">
        <f t="shared" si="113"/>
        <v>1</v>
      </c>
    </row>
    <row r="1458" spans="1:10" x14ac:dyDescent="0.25">
      <c r="A1458" t="s">
        <v>421</v>
      </c>
      <c r="B1458" t="s">
        <v>170</v>
      </c>
      <c r="C1458" t="s">
        <v>56</v>
      </c>
      <c r="D1458" s="3">
        <v>45689</v>
      </c>
      <c r="E1458" t="str">
        <f>VLOOKUP(B1458,'PROCV GERENTES BD'!A:B,2,0)</f>
        <v>CELIO PIMENTA</v>
      </c>
      <c r="F1458" s="4" t="str">
        <f t="shared" si="114"/>
        <v>2025-02-1</v>
      </c>
      <c r="G1458" t="str">
        <f t="shared" si="110"/>
        <v>CELIO PIMENTA</v>
      </c>
      <c r="H1458" t="str">
        <f t="shared" si="111"/>
        <v>TOUROS IMPLEMENTOS LTDA ME</v>
      </c>
      <c r="I1458">
        <f t="shared" si="112"/>
        <v>0</v>
      </c>
      <c r="J1458">
        <f t="shared" si="113"/>
        <v>1</v>
      </c>
    </row>
    <row r="1459" spans="1:10" x14ac:dyDescent="0.25">
      <c r="A1459" t="s">
        <v>366</v>
      </c>
      <c r="B1459" t="s">
        <v>111</v>
      </c>
      <c r="C1459" t="s">
        <v>72</v>
      </c>
      <c r="D1459" s="3">
        <v>45689</v>
      </c>
      <c r="E1459" t="str">
        <f>VLOOKUP(B1459,'PROCV GERENTES BD'!A:B,2,0)</f>
        <v>DIOGO AZEVEDO</v>
      </c>
      <c r="F1459" s="4" t="str">
        <f t="shared" si="114"/>
        <v>2025-02-1</v>
      </c>
      <c r="G1459" t="str">
        <f t="shared" si="110"/>
        <v>DIOGO AZEVEDO</v>
      </c>
      <c r="H1459" t="str">
        <f t="shared" si="111"/>
        <v>INDUSTRIA E CERVEJARIA ARTESANAL DE MINAS GERAIS L</v>
      </c>
      <c r="I1459">
        <f t="shared" si="112"/>
        <v>1</v>
      </c>
      <c r="J1459">
        <f t="shared" si="113"/>
        <v>0</v>
      </c>
    </row>
    <row r="1460" spans="1:10" x14ac:dyDescent="0.25">
      <c r="A1460" t="s">
        <v>451</v>
      </c>
      <c r="B1460" t="s">
        <v>201</v>
      </c>
      <c r="C1460" t="s">
        <v>56</v>
      </c>
      <c r="D1460" s="3">
        <v>45689</v>
      </c>
      <c r="E1460" t="str">
        <f>VLOOKUP(B1460,'PROCV GERENTES BD'!A:B,2,0)</f>
        <v>FITZ</v>
      </c>
      <c r="F1460" s="4" t="str">
        <f t="shared" si="114"/>
        <v>2025-02-1</v>
      </c>
      <c r="G1460" t="str">
        <f t="shared" si="110"/>
        <v>FITZ</v>
      </c>
      <c r="H1460" t="str">
        <f t="shared" si="111"/>
        <v>ALPLAST ATACADISTA E APOIO ADMINISTRATIVO LTDA EPP</v>
      </c>
      <c r="I1460">
        <f t="shared" si="112"/>
        <v>0</v>
      </c>
      <c r="J1460">
        <f t="shared" si="113"/>
        <v>1</v>
      </c>
    </row>
    <row r="1461" spans="1:10" x14ac:dyDescent="0.25">
      <c r="A1461" t="s">
        <v>325</v>
      </c>
      <c r="B1461" t="s">
        <v>210</v>
      </c>
      <c r="C1461" t="s">
        <v>72</v>
      </c>
      <c r="D1461" s="3">
        <v>45689</v>
      </c>
      <c r="E1461" t="str">
        <f>VLOOKUP(B1461,'PROCV GERENTES BD'!A:B,2,0)</f>
        <v>JOSE ROBERTO</v>
      </c>
      <c r="F1461" s="4" t="str">
        <f t="shared" si="114"/>
        <v>2025-02-1</v>
      </c>
      <c r="G1461" t="str">
        <f t="shared" si="110"/>
        <v>JOSE ROBERTO</v>
      </c>
      <c r="H1461" t="str">
        <f t="shared" si="111"/>
        <v>FUNDACAO DE ENSINO E PESQUISA DO SUL DE MINAS FEPE</v>
      </c>
      <c r="I1461">
        <f t="shared" si="112"/>
        <v>1</v>
      </c>
      <c r="J1461">
        <f t="shared" si="113"/>
        <v>0</v>
      </c>
    </row>
    <row r="1462" spans="1:10" x14ac:dyDescent="0.25">
      <c r="A1462" t="s">
        <v>403</v>
      </c>
      <c r="B1462" t="s">
        <v>152</v>
      </c>
      <c r="C1462" t="s">
        <v>72</v>
      </c>
      <c r="D1462" s="3">
        <v>45689</v>
      </c>
      <c r="E1462" t="str">
        <f>VLOOKUP(B1462,'PROCV GERENTES BD'!A:B,2,0)</f>
        <v>MARCIO LEONEL</v>
      </c>
      <c r="F1462" s="4" t="str">
        <f t="shared" si="114"/>
        <v>2025-02-1</v>
      </c>
      <c r="G1462" t="str">
        <f t="shared" si="110"/>
        <v>MARCIO LEONEL</v>
      </c>
      <c r="H1462" t="str">
        <f t="shared" si="111"/>
        <v>MEDICAL PRIME IMP EXPORT DISTRIB PRODUTOS MEDICOS</v>
      </c>
      <c r="I1462">
        <f t="shared" si="112"/>
        <v>1</v>
      </c>
      <c r="J1462">
        <f t="shared" si="113"/>
        <v>0</v>
      </c>
    </row>
    <row r="1463" spans="1:10" x14ac:dyDescent="0.25">
      <c r="A1463" t="s">
        <v>383</v>
      </c>
      <c r="B1463" t="s">
        <v>127</v>
      </c>
      <c r="C1463" t="s">
        <v>59</v>
      </c>
      <c r="D1463" s="3">
        <v>45689</v>
      </c>
      <c r="E1463" t="str">
        <f>VLOOKUP(B1463,'PROCV GERENTES BD'!A:B,2,0)</f>
        <v>NATALIA NUBIA</v>
      </c>
      <c r="F1463" s="4" t="str">
        <f t="shared" si="114"/>
        <v>2025-02-1</v>
      </c>
      <c r="G1463" t="str">
        <f t="shared" si="110"/>
        <v>NATALIA NUBIA</v>
      </c>
      <c r="H1463" t="str">
        <f t="shared" si="111"/>
        <v>FARINELLI NUTRIMENTOS LTDA</v>
      </c>
      <c r="I1463">
        <f t="shared" si="112"/>
        <v>0</v>
      </c>
      <c r="J1463">
        <f t="shared" si="113"/>
        <v>0</v>
      </c>
    </row>
    <row r="1464" spans="1:10" x14ac:dyDescent="0.25">
      <c r="A1464" t="s">
        <v>397</v>
      </c>
      <c r="B1464" t="s">
        <v>143</v>
      </c>
      <c r="C1464" t="s">
        <v>72</v>
      </c>
      <c r="D1464" s="3">
        <v>45689</v>
      </c>
      <c r="E1464" t="str">
        <f>VLOOKUP(B1464,'PROCV GERENTES BD'!A:B,2,0)</f>
        <v>POENATELA</v>
      </c>
      <c r="F1464" s="4" t="str">
        <f t="shared" si="114"/>
        <v>2025-02-1</v>
      </c>
      <c r="G1464" t="str">
        <f t="shared" si="110"/>
        <v>POENATELA</v>
      </c>
      <c r="H1464" t="str">
        <f t="shared" si="111"/>
        <v>CONQUISTA INDUSTRIA DE MOVEIS S/A</v>
      </c>
      <c r="I1464">
        <f t="shared" si="112"/>
        <v>1</v>
      </c>
      <c r="J1464">
        <f t="shared" si="113"/>
        <v>0</v>
      </c>
    </row>
    <row r="1465" spans="1:10" x14ac:dyDescent="0.25">
      <c r="A1465" t="s">
        <v>378</v>
      </c>
      <c r="B1465" t="s">
        <v>121</v>
      </c>
      <c r="C1465" t="s">
        <v>72</v>
      </c>
      <c r="D1465" s="3">
        <v>45689</v>
      </c>
      <c r="E1465" t="str">
        <f>VLOOKUP(B1465,'PROCV GERENTES BD'!A:B,2,0)</f>
        <v>POENATELA</v>
      </c>
      <c r="F1465" s="4" t="str">
        <f t="shared" si="114"/>
        <v>2025-02-1</v>
      </c>
      <c r="G1465" t="str">
        <f t="shared" si="110"/>
        <v>POENATELA</v>
      </c>
      <c r="H1465" t="str">
        <f t="shared" si="111"/>
        <v>COOPERATIVA TRANSP AUTON CARGAS PASSAG SERVICOS LO</v>
      </c>
      <c r="I1465">
        <f t="shared" si="112"/>
        <v>1</v>
      </c>
      <c r="J1465">
        <f t="shared" si="113"/>
        <v>0</v>
      </c>
    </row>
    <row r="1466" spans="1:10" x14ac:dyDescent="0.25">
      <c r="A1466" t="s">
        <v>354</v>
      </c>
      <c r="B1466" t="s">
        <v>97</v>
      </c>
      <c r="C1466" t="s">
        <v>72</v>
      </c>
      <c r="D1466" s="3">
        <v>45689</v>
      </c>
      <c r="E1466" t="str">
        <f>VLOOKUP(B1466,'PROCV GERENTES BD'!A:B,2,0)</f>
        <v>POENATELA</v>
      </c>
      <c r="F1466" s="4" t="str">
        <f t="shared" si="114"/>
        <v>2025-02-1</v>
      </c>
      <c r="G1466" t="str">
        <f t="shared" si="110"/>
        <v>POENATELA</v>
      </c>
      <c r="H1466" t="str">
        <f t="shared" si="111"/>
        <v>UBERTEC SERVICE USINAGEM LTDA EPP</v>
      </c>
      <c r="I1466">
        <f t="shared" si="112"/>
        <v>1</v>
      </c>
      <c r="J1466">
        <f t="shared" si="113"/>
        <v>0</v>
      </c>
    </row>
    <row r="1467" spans="1:10" x14ac:dyDescent="0.25">
      <c r="A1467" t="s">
        <v>460</v>
      </c>
      <c r="B1467" t="s">
        <v>216</v>
      </c>
      <c r="C1467" t="s">
        <v>56</v>
      </c>
      <c r="D1467" s="3">
        <v>45689</v>
      </c>
      <c r="E1467" t="str">
        <f>VLOOKUP(B1467,'PROCV GERENTES BD'!A:B,2,0)</f>
        <v>PRISCILA METZ</v>
      </c>
      <c r="F1467" s="4" t="str">
        <f t="shared" si="114"/>
        <v>2025-02-1</v>
      </c>
      <c r="G1467" t="str">
        <f t="shared" si="110"/>
        <v>PRISCILA METZ</v>
      </c>
      <c r="H1467" t="str">
        <f t="shared" si="111"/>
        <v>D M RODRIGUES LTDA ME</v>
      </c>
      <c r="I1467">
        <f t="shared" si="112"/>
        <v>0</v>
      </c>
      <c r="J1467">
        <f t="shared" si="113"/>
        <v>1</v>
      </c>
    </row>
    <row r="1468" spans="1:10" x14ac:dyDescent="0.25">
      <c r="A1468" t="s">
        <v>442</v>
      </c>
      <c r="B1468" t="s">
        <v>192</v>
      </c>
      <c r="C1468" t="s">
        <v>56</v>
      </c>
      <c r="D1468" s="3">
        <v>45689</v>
      </c>
      <c r="E1468" t="str">
        <f>VLOOKUP(B1468,'PROCV GERENTES BD'!A:B,2,0)</f>
        <v>RAFAEL PARISE</v>
      </c>
      <c r="F1468" s="4" t="str">
        <f t="shared" si="114"/>
        <v>2025-02-1</v>
      </c>
      <c r="G1468" t="str">
        <f t="shared" si="110"/>
        <v>RAFAEL PARISE</v>
      </c>
      <c r="H1468" t="str">
        <f t="shared" si="111"/>
        <v>MARCAS COMERCIO LTDA ME</v>
      </c>
      <c r="I1468">
        <f t="shared" si="112"/>
        <v>0</v>
      </c>
      <c r="J1468">
        <f t="shared" si="113"/>
        <v>1</v>
      </c>
    </row>
    <row r="1469" spans="1:10" x14ac:dyDescent="0.25">
      <c r="A1469" t="s">
        <v>417</v>
      </c>
      <c r="B1469" t="s">
        <v>166</v>
      </c>
      <c r="C1469" t="s">
        <v>72</v>
      </c>
      <c r="D1469" s="3">
        <v>45689</v>
      </c>
      <c r="E1469" t="str">
        <f>VLOOKUP(B1469,'PROCV GERENTES BD'!A:B,2,0)</f>
        <v>RAFAEL PARISE</v>
      </c>
      <c r="F1469" s="4" t="str">
        <f t="shared" si="114"/>
        <v>2025-02-1</v>
      </c>
      <c r="G1469" t="str">
        <f t="shared" si="110"/>
        <v>RAFAEL PARISE</v>
      </c>
      <c r="H1469" t="str">
        <f t="shared" si="111"/>
        <v>OXIGAS RESIDUOS ESPECIAIS LTDA EPP</v>
      </c>
      <c r="I1469">
        <f t="shared" si="112"/>
        <v>1</v>
      </c>
      <c r="J1469">
        <f t="shared" si="113"/>
        <v>0</v>
      </c>
    </row>
    <row r="1470" spans="1:10" x14ac:dyDescent="0.25">
      <c r="A1470" t="s">
        <v>469</v>
      </c>
      <c r="B1470" t="s">
        <v>225</v>
      </c>
      <c r="C1470" t="s">
        <v>56</v>
      </c>
      <c r="D1470" s="3">
        <v>45689</v>
      </c>
      <c r="E1470" t="str">
        <f>VLOOKUP(B1470,'PROCV GERENTES BD'!A:B,2,0)</f>
        <v>SEM GERENTE</v>
      </c>
      <c r="F1470" s="4" t="str">
        <f t="shared" si="114"/>
        <v>2025-02-1</v>
      </c>
      <c r="G1470" t="str">
        <f t="shared" si="110"/>
        <v>SEM GERENTE</v>
      </c>
      <c r="H1470" t="str">
        <f t="shared" si="111"/>
        <v>KUARA COMERCIAL E EXPORTADORA DE FRUTAS LTDA</v>
      </c>
      <c r="I1470">
        <f t="shared" si="112"/>
        <v>0</v>
      </c>
      <c r="J1470">
        <f t="shared" si="113"/>
        <v>1</v>
      </c>
    </row>
    <row r="1471" spans="1:10" x14ac:dyDescent="0.25">
      <c r="A1471" t="s">
        <v>353</v>
      </c>
      <c r="B1471" t="s">
        <v>96</v>
      </c>
      <c r="C1471" t="s">
        <v>77</v>
      </c>
      <c r="D1471" s="3">
        <v>45690</v>
      </c>
      <c r="E1471" t="str">
        <f>VLOOKUP(B1471,'PROCV GERENTES BD'!A:B,2,0)</f>
        <v>POENATELA</v>
      </c>
      <c r="F1471" s="4" t="str">
        <f t="shared" si="114"/>
        <v>2025-02-1</v>
      </c>
      <c r="G1471" t="str">
        <f t="shared" si="110"/>
        <v>POENATELA</v>
      </c>
      <c r="H1471" t="str">
        <f t="shared" si="111"/>
        <v>GREEN FARMING FAZENDAS RENOVAVEIS LTDA</v>
      </c>
      <c r="I1471">
        <f t="shared" si="112"/>
        <v>0</v>
      </c>
      <c r="J1471">
        <f t="shared" si="113"/>
        <v>0</v>
      </c>
    </row>
    <row r="1472" spans="1:10" x14ac:dyDescent="0.25">
      <c r="A1472" t="s">
        <v>360</v>
      </c>
      <c r="B1472" t="s">
        <v>102</v>
      </c>
      <c r="C1472" t="s">
        <v>336</v>
      </c>
      <c r="D1472" s="3">
        <v>45690</v>
      </c>
      <c r="E1472" t="str">
        <f>VLOOKUP(B1472,'PROCV GERENTES BD'!A:B,2,0)</f>
        <v>POENATELA</v>
      </c>
      <c r="F1472" s="4" t="str">
        <f t="shared" si="114"/>
        <v>2025-02-1</v>
      </c>
      <c r="G1472" t="str">
        <f t="shared" si="110"/>
        <v>POENATELA</v>
      </c>
      <c r="H1472" t="str">
        <f t="shared" si="111"/>
        <v>SUPER HARD TECNOLOGIA EM TRATAMENTO DE SUPERFICIES</v>
      </c>
      <c r="I1472">
        <f t="shared" si="112"/>
        <v>0</v>
      </c>
      <c r="J1472">
        <f t="shared" si="113"/>
        <v>0</v>
      </c>
    </row>
    <row r="1473" spans="1:10" x14ac:dyDescent="0.25">
      <c r="A1473" t="s">
        <v>477</v>
      </c>
      <c r="B1473" t="s">
        <v>233</v>
      </c>
      <c r="C1473" t="s">
        <v>77</v>
      </c>
      <c r="D1473" s="3">
        <v>45690</v>
      </c>
      <c r="E1473" t="str">
        <f>VLOOKUP(B1473,'PROCV GERENTES BD'!A:B,2,0)</f>
        <v>SEM GERENTE</v>
      </c>
      <c r="F1473" s="4" t="str">
        <f t="shared" si="114"/>
        <v>2025-02-1</v>
      </c>
      <c r="G1473" t="str">
        <f t="shared" si="110"/>
        <v>SEM GERENTE</v>
      </c>
      <c r="H1473" t="str">
        <f t="shared" si="111"/>
        <v>S A COMERCIO E INDUSTRIA DE CALCADOS LTDA ME</v>
      </c>
      <c r="I1473">
        <f t="shared" si="112"/>
        <v>0</v>
      </c>
      <c r="J1473">
        <f t="shared" si="113"/>
        <v>0</v>
      </c>
    </row>
    <row r="1474" spans="1:10" x14ac:dyDescent="0.25">
      <c r="A1474" t="s">
        <v>473</v>
      </c>
      <c r="B1474" t="s">
        <v>229</v>
      </c>
      <c r="C1474" t="s">
        <v>56</v>
      </c>
      <c r="D1474" s="3">
        <v>45691</v>
      </c>
      <c r="E1474" t="str">
        <f>VLOOKUP(B1474,'PROCV GERENTES BD'!A:B,2,0)</f>
        <v>ADMINISTRAÇÃO</v>
      </c>
      <c r="F1474" s="4" t="str">
        <f t="shared" si="114"/>
        <v>2025-02-1</v>
      </c>
      <c r="G1474" t="str">
        <f t="shared" ref="G1474:G1537" si="115">E1474</f>
        <v>ADMINISTRAÇÃO</v>
      </c>
      <c r="H1474" t="str">
        <f t="shared" ref="H1474:H1537" si="116">B1474</f>
        <v>CF COMEX IMPORTACAO EQUIPAMENTOS E SERVICOS LTDA</v>
      </c>
      <c r="I1474">
        <f t="shared" ref="I1474:I1537" si="117">IF(C1474="EXCLUSAO  ANOT.INADIMPLENCIA",1,0)</f>
        <v>0</v>
      </c>
      <c r="J1474">
        <f t="shared" ref="J1474:J1537" si="118">IF(C1474="INCLUSAO  ANOT.INADIMPLENCIA",1,0)</f>
        <v>1</v>
      </c>
    </row>
    <row r="1475" spans="1:10" x14ac:dyDescent="0.25">
      <c r="A1475" t="s">
        <v>380</v>
      </c>
      <c r="B1475" t="s">
        <v>123</v>
      </c>
      <c r="C1475" t="s">
        <v>56</v>
      </c>
      <c r="D1475" s="3">
        <v>45691</v>
      </c>
      <c r="E1475" t="str">
        <f>VLOOKUP(B1475,'PROCV GERENTES BD'!A:B,2,0)</f>
        <v>ANTONIO CARLOS</v>
      </c>
      <c r="F1475" s="4" t="str">
        <f t="shared" ref="F1475:F1538" si="119">YEAR(D1475)&amp;"-"&amp;TEXT(MONTH(D1475),"00")&amp;"-"&amp;IF(DAY(D1475)&lt;=15,"1",IF(DAY(D1475)&gt;15,"2",""))</f>
        <v>2025-02-1</v>
      </c>
      <c r="G1475" t="str">
        <f t="shared" si="115"/>
        <v>ANTONIO CARLOS</v>
      </c>
      <c r="H1475" t="str">
        <f t="shared" si="116"/>
        <v>PREMOLDADOS MATOSINHOS LTDA EPP</v>
      </c>
      <c r="I1475">
        <f t="shared" si="117"/>
        <v>0</v>
      </c>
      <c r="J1475">
        <f t="shared" si="118"/>
        <v>1</v>
      </c>
    </row>
    <row r="1476" spans="1:10" x14ac:dyDescent="0.25">
      <c r="A1476" t="s">
        <v>326</v>
      </c>
      <c r="B1476" t="s">
        <v>86</v>
      </c>
      <c r="C1476" t="s">
        <v>56</v>
      </c>
      <c r="D1476" s="3">
        <v>45691</v>
      </c>
      <c r="E1476" t="str">
        <f>VLOOKUP(B1476,'PROCV GERENTES BD'!A:B,2,0)</f>
        <v>CELIO PIMENTA</v>
      </c>
      <c r="F1476" s="4" t="str">
        <f t="shared" si="119"/>
        <v>2025-02-1</v>
      </c>
      <c r="G1476" t="str">
        <f t="shared" si="115"/>
        <v>CELIO PIMENTA</v>
      </c>
      <c r="H1476" t="str">
        <f t="shared" si="116"/>
        <v>IMPORTEXTIL COMERCIO DE TECIDOS LTDA</v>
      </c>
      <c r="I1476">
        <f t="shared" si="117"/>
        <v>0</v>
      </c>
      <c r="J1476">
        <f t="shared" si="118"/>
        <v>1</v>
      </c>
    </row>
    <row r="1477" spans="1:10" x14ac:dyDescent="0.25">
      <c r="A1477" t="s">
        <v>318</v>
      </c>
      <c r="B1477" t="s">
        <v>87</v>
      </c>
      <c r="C1477" t="s">
        <v>72</v>
      </c>
      <c r="D1477" s="3">
        <v>45691</v>
      </c>
      <c r="E1477" t="str">
        <f>VLOOKUP(B1477,'PROCV GERENTES BD'!A:B,2,0)</f>
        <v>CELIO PIMENTA</v>
      </c>
      <c r="F1477" s="4" t="str">
        <f t="shared" si="119"/>
        <v>2025-02-1</v>
      </c>
      <c r="G1477" t="str">
        <f t="shared" si="115"/>
        <v>CELIO PIMENTA</v>
      </c>
      <c r="H1477" t="str">
        <f t="shared" si="116"/>
        <v>MBIOLOG DIAGNOSTICOS LTDA</v>
      </c>
      <c r="I1477">
        <f t="shared" si="117"/>
        <v>1</v>
      </c>
      <c r="J1477">
        <f t="shared" si="118"/>
        <v>0</v>
      </c>
    </row>
    <row r="1478" spans="1:10" x14ac:dyDescent="0.25">
      <c r="A1478" t="s">
        <v>60</v>
      </c>
      <c r="B1478" t="s">
        <v>61</v>
      </c>
      <c r="C1478" t="s">
        <v>56</v>
      </c>
      <c r="D1478" s="3">
        <v>45691</v>
      </c>
      <c r="E1478" t="str">
        <f>VLOOKUP(B1478,'PROCV GERENTES BD'!A:B,2,0)</f>
        <v>CELIO PIMENTA</v>
      </c>
      <c r="F1478" s="4" t="str">
        <f t="shared" si="119"/>
        <v>2025-02-1</v>
      </c>
      <c r="G1478" t="str">
        <f t="shared" si="115"/>
        <v>CELIO PIMENTA</v>
      </c>
      <c r="H1478" t="str">
        <f t="shared" si="116"/>
        <v>WJ CALDEIRARIA INDUSTRIA E COMERCIO LTDA ME</v>
      </c>
      <c r="I1478">
        <f t="shared" si="117"/>
        <v>0</v>
      </c>
      <c r="J1478">
        <f t="shared" si="118"/>
        <v>1</v>
      </c>
    </row>
    <row r="1479" spans="1:10" x14ac:dyDescent="0.25">
      <c r="A1479" t="s">
        <v>451</v>
      </c>
      <c r="B1479" t="s">
        <v>201</v>
      </c>
      <c r="C1479" t="s">
        <v>56</v>
      </c>
      <c r="D1479" s="3">
        <v>45691</v>
      </c>
      <c r="E1479" t="str">
        <f>VLOOKUP(B1479,'PROCV GERENTES BD'!A:B,2,0)</f>
        <v>FITZ</v>
      </c>
      <c r="F1479" s="4" t="str">
        <f t="shared" si="119"/>
        <v>2025-02-1</v>
      </c>
      <c r="G1479" t="str">
        <f t="shared" si="115"/>
        <v>FITZ</v>
      </c>
      <c r="H1479" t="str">
        <f t="shared" si="116"/>
        <v>ALPLAST ATACADISTA E APOIO ADMINISTRATIVO LTDA EPP</v>
      </c>
      <c r="I1479">
        <f t="shared" si="117"/>
        <v>0</v>
      </c>
      <c r="J1479">
        <f t="shared" si="118"/>
        <v>1</v>
      </c>
    </row>
    <row r="1480" spans="1:10" x14ac:dyDescent="0.25">
      <c r="A1480" t="s">
        <v>331</v>
      </c>
      <c r="B1480" t="s">
        <v>126</v>
      </c>
      <c r="C1480" t="s">
        <v>59</v>
      </c>
      <c r="D1480" s="3">
        <v>45691</v>
      </c>
      <c r="E1480" t="str">
        <f>VLOOKUP(B1480,'PROCV GERENTES BD'!A:B,2,0)</f>
        <v>FITZ</v>
      </c>
      <c r="F1480" s="4" t="str">
        <f t="shared" si="119"/>
        <v>2025-02-1</v>
      </c>
      <c r="G1480" t="str">
        <f t="shared" si="115"/>
        <v>FITZ</v>
      </c>
      <c r="H1480" t="str">
        <f t="shared" si="116"/>
        <v>TRANSHENRY TRANSPORTES LTDA</v>
      </c>
      <c r="I1480">
        <f t="shared" si="117"/>
        <v>0</v>
      </c>
      <c r="J1480">
        <f t="shared" si="118"/>
        <v>0</v>
      </c>
    </row>
    <row r="1481" spans="1:10" x14ac:dyDescent="0.25">
      <c r="A1481" t="s">
        <v>317</v>
      </c>
      <c r="B1481" t="s">
        <v>211</v>
      </c>
      <c r="C1481" t="s">
        <v>56</v>
      </c>
      <c r="D1481" s="3">
        <v>45691</v>
      </c>
      <c r="E1481" t="str">
        <f>VLOOKUP(B1481,'PROCV GERENTES BD'!A:B,2,0)</f>
        <v xml:space="preserve">MARCUS VINICIUS </v>
      </c>
      <c r="F1481" s="4" t="str">
        <f t="shared" si="119"/>
        <v>2025-02-1</v>
      </c>
      <c r="G1481" t="str">
        <f t="shared" si="115"/>
        <v xml:space="preserve">MARCUS VINICIUS </v>
      </c>
      <c r="H1481" t="str">
        <f t="shared" si="116"/>
        <v>INDUSTRIA E COMERCIO DE CHURRASQUEIRAS BOM JESUS L</v>
      </c>
      <c r="I1481">
        <f t="shared" si="117"/>
        <v>0</v>
      </c>
      <c r="J1481">
        <f t="shared" si="118"/>
        <v>1</v>
      </c>
    </row>
    <row r="1482" spans="1:10" x14ac:dyDescent="0.25">
      <c r="A1482" t="s">
        <v>436</v>
      </c>
      <c r="B1482" t="s">
        <v>186</v>
      </c>
      <c r="C1482" t="s">
        <v>56</v>
      </c>
      <c r="D1482" s="3">
        <v>45691</v>
      </c>
      <c r="E1482" t="str">
        <f>VLOOKUP(B1482,'PROCV GERENTES BD'!A:B,2,0)</f>
        <v xml:space="preserve">MARCUS VINICIUS </v>
      </c>
      <c r="F1482" s="4" t="str">
        <f t="shared" si="119"/>
        <v>2025-02-1</v>
      </c>
      <c r="G1482" t="str">
        <f t="shared" si="115"/>
        <v xml:space="preserve">MARCUS VINICIUS </v>
      </c>
      <c r="H1482" t="str">
        <f t="shared" si="116"/>
        <v>LABOR ELETRIC INDUSTRIA E COMERCIO UNIPESSOAL LTDA</v>
      </c>
      <c r="I1482">
        <f t="shared" si="117"/>
        <v>0</v>
      </c>
      <c r="J1482">
        <f t="shared" si="118"/>
        <v>1</v>
      </c>
    </row>
    <row r="1483" spans="1:10" x14ac:dyDescent="0.25">
      <c r="A1483" t="s">
        <v>392</v>
      </c>
      <c r="B1483" t="s">
        <v>138</v>
      </c>
      <c r="C1483" t="s">
        <v>56</v>
      </c>
      <c r="D1483" s="3">
        <v>45691</v>
      </c>
      <c r="E1483" t="str">
        <f>VLOOKUP(B1483,'PROCV GERENTES BD'!A:B,2,0)</f>
        <v xml:space="preserve">MARCUS VINICIUS </v>
      </c>
      <c r="F1483" s="4" t="str">
        <f t="shared" si="119"/>
        <v>2025-02-1</v>
      </c>
      <c r="G1483" t="str">
        <f t="shared" si="115"/>
        <v xml:space="preserve">MARCUS VINICIUS </v>
      </c>
      <c r="H1483" t="str">
        <f t="shared" si="116"/>
        <v>PALMILHADO INDUSTRIA E COMERCIO LTDA</v>
      </c>
      <c r="I1483">
        <f t="shared" si="117"/>
        <v>0</v>
      </c>
      <c r="J1483">
        <f t="shared" si="118"/>
        <v>1</v>
      </c>
    </row>
    <row r="1484" spans="1:10" x14ac:dyDescent="0.25">
      <c r="A1484" t="s">
        <v>402</v>
      </c>
      <c r="B1484" t="s">
        <v>150</v>
      </c>
      <c r="C1484" t="s">
        <v>56</v>
      </c>
      <c r="D1484" s="3">
        <v>45691</v>
      </c>
      <c r="E1484" t="str">
        <f>VLOOKUP(B1484,'PROCV GERENTES BD'!A:B,2,0)</f>
        <v>NOELI SALETE</v>
      </c>
      <c r="F1484" s="4" t="str">
        <f t="shared" si="119"/>
        <v>2025-02-1</v>
      </c>
      <c r="G1484" t="str">
        <f t="shared" si="115"/>
        <v>NOELI SALETE</v>
      </c>
      <c r="H1484" t="str">
        <f t="shared" si="116"/>
        <v>ALBERTO H DA SILVA ME</v>
      </c>
      <c r="I1484">
        <f t="shared" si="117"/>
        <v>0</v>
      </c>
      <c r="J1484">
        <f t="shared" si="118"/>
        <v>1</v>
      </c>
    </row>
    <row r="1485" spans="1:10" x14ac:dyDescent="0.25">
      <c r="A1485" t="s">
        <v>459</v>
      </c>
      <c r="B1485" t="s">
        <v>215</v>
      </c>
      <c r="C1485" t="s">
        <v>56</v>
      </c>
      <c r="D1485" s="3">
        <v>45691</v>
      </c>
      <c r="E1485" t="str">
        <f>VLOOKUP(B1485,'PROCV GERENTES BD'!A:B,2,0)</f>
        <v>NOELI SALETE</v>
      </c>
      <c r="F1485" s="4" t="str">
        <f t="shared" si="119"/>
        <v>2025-02-1</v>
      </c>
      <c r="G1485" t="str">
        <f t="shared" si="115"/>
        <v>NOELI SALETE</v>
      </c>
      <c r="H1485" t="str">
        <f t="shared" si="116"/>
        <v>USIPARTS COMERCIO DE PECAS PARA USINAS LTDA ME</v>
      </c>
      <c r="I1485">
        <f t="shared" si="117"/>
        <v>0</v>
      </c>
      <c r="J1485">
        <f t="shared" si="118"/>
        <v>1</v>
      </c>
    </row>
    <row r="1486" spans="1:10" x14ac:dyDescent="0.25">
      <c r="A1486" t="s">
        <v>397</v>
      </c>
      <c r="B1486" t="s">
        <v>143</v>
      </c>
      <c r="C1486" t="s">
        <v>72</v>
      </c>
      <c r="D1486" s="3">
        <v>45691</v>
      </c>
      <c r="E1486" t="str">
        <f>VLOOKUP(B1486,'PROCV GERENTES BD'!A:B,2,0)</f>
        <v>POENATELA</v>
      </c>
      <c r="F1486" s="4" t="str">
        <f t="shared" si="119"/>
        <v>2025-02-1</v>
      </c>
      <c r="G1486" t="str">
        <f t="shared" si="115"/>
        <v>POENATELA</v>
      </c>
      <c r="H1486" t="str">
        <f t="shared" si="116"/>
        <v>CONQUISTA INDUSTRIA DE MOVEIS S/A</v>
      </c>
      <c r="I1486">
        <f t="shared" si="117"/>
        <v>1</v>
      </c>
      <c r="J1486">
        <f t="shared" si="118"/>
        <v>0</v>
      </c>
    </row>
    <row r="1487" spans="1:10" x14ac:dyDescent="0.25">
      <c r="A1487" t="s">
        <v>428</v>
      </c>
      <c r="B1487" t="s">
        <v>177</v>
      </c>
      <c r="C1487" t="s">
        <v>59</v>
      </c>
      <c r="D1487" s="3">
        <v>45691</v>
      </c>
      <c r="E1487" t="str">
        <f>VLOOKUP(B1487,'PROCV GERENTES BD'!A:B,2,0)</f>
        <v>POENATELA</v>
      </c>
      <c r="F1487" s="4" t="str">
        <f t="shared" si="119"/>
        <v>2025-02-1</v>
      </c>
      <c r="G1487" t="str">
        <f t="shared" si="115"/>
        <v>POENATELA</v>
      </c>
      <c r="H1487" t="str">
        <f t="shared" si="116"/>
        <v>SAVIXX COMERCIO INTERNACIONAL S/A</v>
      </c>
      <c r="I1487">
        <f t="shared" si="117"/>
        <v>0</v>
      </c>
      <c r="J1487">
        <f t="shared" si="118"/>
        <v>0</v>
      </c>
    </row>
    <row r="1488" spans="1:10" x14ac:dyDescent="0.25">
      <c r="A1488" t="s">
        <v>354</v>
      </c>
      <c r="B1488" t="s">
        <v>97</v>
      </c>
      <c r="C1488" t="s">
        <v>56</v>
      </c>
      <c r="D1488" s="3">
        <v>45691</v>
      </c>
      <c r="E1488" t="str">
        <f>VLOOKUP(B1488,'PROCV GERENTES BD'!A:B,2,0)</f>
        <v>POENATELA</v>
      </c>
      <c r="F1488" s="4" t="str">
        <f t="shared" si="119"/>
        <v>2025-02-1</v>
      </c>
      <c r="G1488" t="str">
        <f t="shared" si="115"/>
        <v>POENATELA</v>
      </c>
      <c r="H1488" t="str">
        <f t="shared" si="116"/>
        <v>UBERTEC SERVICE USINAGEM LTDA EPP</v>
      </c>
      <c r="I1488">
        <f t="shared" si="117"/>
        <v>0</v>
      </c>
      <c r="J1488">
        <f t="shared" si="118"/>
        <v>1</v>
      </c>
    </row>
    <row r="1489" spans="1:10" x14ac:dyDescent="0.25">
      <c r="A1489" t="s">
        <v>460</v>
      </c>
      <c r="B1489" t="s">
        <v>216</v>
      </c>
      <c r="C1489" t="s">
        <v>56</v>
      </c>
      <c r="D1489" s="3">
        <v>45691</v>
      </c>
      <c r="E1489" t="str">
        <f>VLOOKUP(B1489,'PROCV GERENTES BD'!A:B,2,0)</f>
        <v>PRISCILA METZ</v>
      </c>
      <c r="F1489" s="4" t="str">
        <f t="shared" si="119"/>
        <v>2025-02-1</v>
      </c>
      <c r="G1489" t="str">
        <f t="shared" si="115"/>
        <v>PRISCILA METZ</v>
      </c>
      <c r="H1489" t="str">
        <f t="shared" si="116"/>
        <v>D M RODRIGUES LTDA ME</v>
      </c>
      <c r="I1489">
        <f t="shared" si="117"/>
        <v>0</v>
      </c>
      <c r="J1489">
        <f t="shared" si="118"/>
        <v>1</v>
      </c>
    </row>
    <row r="1490" spans="1:10" x14ac:dyDescent="0.25">
      <c r="A1490" t="s">
        <v>439</v>
      </c>
      <c r="B1490" t="s">
        <v>203</v>
      </c>
      <c r="C1490" t="s">
        <v>56</v>
      </c>
      <c r="D1490" s="3">
        <v>45691</v>
      </c>
      <c r="E1490" t="s">
        <v>25</v>
      </c>
      <c r="F1490" s="4" t="str">
        <f t="shared" si="119"/>
        <v>2025-02-1</v>
      </c>
      <c r="G1490" t="str">
        <f t="shared" si="115"/>
        <v xml:space="preserve">ROGERIO </v>
      </c>
      <c r="H1490" t="str">
        <f t="shared" si="116"/>
        <v>GRF JEANS WEAR LTDA EPP</v>
      </c>
      <c r="I1490">
        <f t="shared" si="117"/>
        <v>0</v>
      </c>
      <c r="J1490">
        <f t="shared" si="118"/>
        <v>1</v>
      </c>
    </row>
    <row r="1491" spans="1:10" x14ac:dyDescent="0.25">
      <c r="A1491" t="s">
        <v>469</v>
      </c>
      <c r="B1491" t="s">
        <v>225</v>
      </c>
      <c r="C1491" t="s">
        <v>56</v>
      </c>
      <c r="D1491" s="3">
        <v>45691</v>
      </c>
      <c r="E1491" t="str">
        <f>VLOOKUP(B1491,'PROCV GERENTES BD'!A:B,2,0)</f>
        <v>SEM GERENTE</v>
      </c>
      <c r="F1491" s="4" t="str">
        <f t="shared" si="119"/>
        <v>2025-02-1</v>
      </c>
      <c r="G1491" t="str">
        <f t="shared" si="115"/>
        <v>SEM GERENTE</v>
      </c>
      <c r="H1491" t="str">
        <f t="shared" si="116"/>
        <v>KUARA COMERCIAL E EXPORTADORA DE FRUTAS LTDA</v>
      </c>
      <c r="I1491">
        <f t="shared" si="117"/>
        <v>0</v>
      </c>
      <c r="J1491">
        <f t="shared" si="118"/>
        <v>1</v>
      </c>
    </row>
    <row r="1492" spans="1:10" x14ac:dyDescent="0.25">
      <c r="A1492" t="s">
        <v>471</v>
      </c>
      <c r="B1492" t="s">
        <v>227</v>
      </c>
      <c r="C1492" t="s">
        <v>72</v>
      </c>
      <c r="D1492" s="3">
        <v>45693</v>
      </c>
      <c r="E1492" t="str">
        <f>VLOOKUP(B1492,'PROCV GERENTES BD'!A:B,2,0)</f>
        <v>ADMINISTRAÇÃO</v>
      </c>
      <c r="F1492" s="4" t="str">
        <f t="shared" si="119"/>
        <v>2025-02-1</v>
      </c>
      <c r="G1492" t="str">
        <f t="shared" si="115"/>
        <v>ADMINISTRAÇÃO</v>
      </c>
      <c r="H1492" t="str">
        <f t="shared" si="116"/>
        <v>A C ESPORTES S A F</v>
      </c>
      <c r="I1492">
        <f t="shared" si="117"/>
        <v>1</v>
      </c>
      <c r="J1492">
        <f t="shared" si="118"/>
        <v>0</v>
      </c>
    </row>
    <row r="1493" spans="1:10" x14ac:dyDescent="0.25">
      <c r="A1493" t="s">
        <v>339</v>
      </c>
      <c r="B1493" t="s">
        <v>151</v>
      </c>
      <c r="C1493" t="s">
        <v>56</v>
      </c>
      <c r="D1493" s="3">
        <v>45693</v>
      </c>
      <c r="E1493" t="str">
        <f>VLOOKUP(B1493,'PROCV GERENTES BD'!A:B,2,0)</f>
        <v>ADMINISTRAÇÃO</v>
      </c>
      <c r="F1493" s="4" t="str">
        <f t="shared" si="119"/>
        <v>2025-02-1</v>
      </c>
      <c r="G1493" t="str">
        <f t="shared" si="115"/>
        <v>ADMINISTRAÇÃO</v>
      </c>
      <c r="H1493" t="str">
        <f t="shared" si="116"/>
        <v>BOM PASTOR PAPEIS LTDA EM RECUPERACAO JUDICIAL</v>
      </c>
      <c r="I1493">
        <f t="shared" si="117"/>
        <v>0</v>
      </c>
      <c r="J1493">
        <f t="shared" si="118"/>
        <v>1</v>
      </c>
    </row>
    <row r="1494" spans="1:10" x14ac:dyDescent="0.25">
      <c r="A1494" t="s">
        <v>473</v>
      </c>
      <c r="B1494" t="s">
        <v>229</v>
      </c>
      <c r="C1494" t="s">
        <v>72</v>
      </c>
      <c r="D1494" s="3">
        <v>45693</v>
      </c>
      <c r="E1494" t="str">
        <f>VLOOKUP(B1494,'PROCV GERENTES BD'!A:B,2,0)</f>
        <v>ADMINISTRAÇÃO</v>
      </c>
      <c r="F1494" s="4" t="str">
        <f t="shared" si="119"/>
        <v>2025-02-1</v>
      </c>
      <c r="G1494" t="str">
        <f t="shared" si="115"/>
        <v>ADMINISTRAÇÃO</v>
      </c>
      <c r="H1494" t="str">
        <f t="shared" si="116"/>
        <v>CF COMEX IMPORTACAO EQUIPAMENTOS E SERVICOS LTDA</v>
      </c>
      <c r="I1494">
        <f t="shared" si="117"/>
        <v>1</v>
      </c>
      <c r="J1494">
        <f t="shared" si="118"/>
        <v>0</v>
      </c>
    </row>
    <row r="1495" spans="1:10" x14ac:dyDescent="0.25">
      <c r="A1495" t="s">
        <v>474</v>
      </c>
      <c r="B1495" t="s">
        <v>230</v>
      </c>
      <c r="C1495" t="s">
        <v>72</v>
      </c>
      <c r="D1495" s="3">
        <v>45693</v>
      </c>
      <c r="E1495" t="str">
        <f>VLOOKUP(B1495,'PROCV GERENTES BD'!A:B,2,0)</f>
        <v>CELIO PIMENTA</v>
      </c>
      <c r="F1495" s="4" t="str">
        <f t="shared" si="119"/>
        <v>2025-02-1</v>
      </c>
      <c r="G1495" t="str">
        <f t="shared" si="115"/>
        <v>CELIO PIMENTA</v>
      </c>
      <c r="H1495" t="str">
        <f t="shared" si="116"/>
        <v>ACO X LTDA ME</v>
      </c>
      <c r="I1495">
        <f t="shared" si="117"/>
        <v>1</v>
      </c>
      <c r="J1495">
        <f t="shared" si="118"/>
        <v>0</v>
      </c>
    </row>
    <row r="1496" spans="1:10" x14ac:dyDescent="0.25">
      <c r="A1496" t="s">
        <v>382</v>
      </c>
      <c r="B1496" t="s">
        <v>125</v>
      </c>
      <c r="C1496" t="s">
        <v>56</v>
      </c>
      <c r="D1496" s="3">
        <v>45693</v>
      </c>
      <c r="E1496" t="str">
        <f>VLOOKUP(B1496,'PROCV GERENTES BD'!A:B,2,0)</f>
        <v>CELIO PIMENTA</v>
      </c>
      <c r="F1496" s="4" t="str">
        <f t="shared" si="119"/>
        <v>2025-02-1</v>
      </c>
      <c r="G1496" t="str">
        <f t="shared" si="115"/>
        <v>CELIO PIMENTA</v>
      </c>
      <c r="H1496" t="str">
        <f t="shared" si="116"/>
        <v>MINAS ALIMENTOS E FRUTAS SECAS LTDA EPP</v>
      </c>
      <c r="I1496">
        <f t="shared" si="117"/>
        <v>0</v>
      </c>
      <c r="J1496">
        <f t="shared" si="118"/>
        <v>1</v>
      </c>
    </row>
    <row r="1497" spans="1:10" x14ac:dyDescent="0.25">
      <c r="A1497" t="s">
        <v>60</v>
      </c>
      <c r="B1497" t="s">
        <v>61</v>
      </c>
      <c r="C1497" t="s">
        <v>56</v>
      </c>
      <c r="D1497" s="3">
        <v>45693</v>
      </c>
      <c r="E1497" t="str">
        <f>VLOOKUP(B1497,'PROCV GERENTES BD'!A:B,2,0)</f>
        <v>CELIO PIMENTA</v>
      </c>
      <c r="F1497" s="4" t="str">
        <f t="shared" si="119"/>
        <v>2025-02-1</v>
      </c>
      <c r="G1497" t="str">
        <f t="shared" si="115"/>
        <v>CELIO PIMENTA</v>
      </c>
      <c r="H1497" t="str">
        <f t="shared" si="116"/>
        <v>WJ CALDEIRARIA INDUSTRIA E COMERCIO LTDA ME</v>
      </c>
      <c r="I1497">
        <f t="shared" si="117"/>
        <v>0</v>
      </c>
      <c r="J1497">
        <f t="shared" si="118"/>
        <v>1</v>
      </c>
    </row>
    <row r="1498" spans="1:10" x14ac:dyDescent="0.25">
      <c r="A1498" t="s">
        <v>451</v>
      </c>
      <c r="B1498" t="s">
        <v>201</v>
      </c>
      <c r="C1498" t="s">
        <v>72</v>
      </c>
      <c r="D1498" s="3">
        <v>45693</v>
      </c>
      <c r="E1498" t="str">
        <f>VLOOKUP(B1498,'PROCV GERENTES BD'!A:B,2,0)</f>
        <v>FITZ</v>
      </c>
      <c r="F1498" s="4" t="str">
        <f t="shared" si="119"/>
        <v>2025-02-1</v>
      </c>
      <c r="G1498" t="str">
        <f t="shared" si="115"/>
        <v>FITZ</v>
      </c>
      <c r="H1498" t="str">
        <f t="shared" si="116"/>
        <v>ALPLAST ATACADISTA E APOIO ADMINISTRATIVO LTDA EPP</v>
      </c>
      <c r="I1498">
        <f t="shared" si="117"/>
        <v>1</v>
      </c>
      <c r="J1498">
        <f t="shared" si="118"/>
        <v>0</v>
      </c>
    </row>
    <row r="1499" spans="1:10" x14ac:dyDescent="0.25">
      <c r="A1499" t="s">
        <v>403</v>
      </c>
      <c r="B1499" t="s">
        <v>152</v>
      </c>
      <c r="C1499" t="s">
        <v>72</v>
      </c>
      <c r="D1499" s="3">
        <v>45693</v>
      </c>
      <c r="E1499" t="str">
        <f>VLOOKUP(B1499,'PROCV GERENTES BD'!A:B,2,0)</f>
        <v>MARCIO LEONEL</v>
      </c>
      <c r="F1499" s="4" t="str">
        <f t="shared" si="119"/>
        <v>2025-02-1</v>
      </c>
      <c r="G1499" t="str">
        <f t="shared" si="115"/>
        <v>MARCIO LEONEL</v>
      </c>
      <c r="H1499" t="str">
        <f t="shared" si="116"/>
        <v>MEDICAL PRIME IMP EXPORT DISTRIB PRODUTOS MEDICOS</v>
      </c>
      <c r="I1499">
        <f t="shared" si="117"/>
        <v>1</v>
      </c>
      <c r="J1499">
        <f t="shared" si="118"/>
        <v>0</v>
      </c>
    </row>
    <row r="1500" spans="1:10" x14ac:dyDescent="0.25">
      <c r="A1500" t="s">
        <v>317</v>
      </c>
      <c r="B1500" t="s">
        <v>211</v>
      </c>
      <c r="C1500" t="s">
        <v>56</v>
      </c>
      <c r="D1500" s="3">
        <v>45693</v>
      </c>
      <c r="E1500" t="str">
        <f>VLOOKUP(B1500,'PROCV GERENTES BD'!A:B,2,0)</f>
        <v xml:space="preserve">MARCUS VINICIUS </v>
      </c>
      <c r="F1500" s="4" t="str">
        <f t="shared" si="119"/>
        <v>2025-02-1</v>
      </c>
      <c r="G1500" t="str">
        <f t="shared" si="115"/>
        <v xml:space="preserve">MARCUS VINICIUS </v>
      </c>
      <c r="H1500" t="str">
        <f t="shared" si="116"/>
        <v>INDUSTRIA E COMERCIO DE CHURRASQUEIRAS BOM JESUS L</v>
      </c>
      <c r="I1500">
        <f t="shared" si="117"/>
        <v>0</v>
      </c>
      <c r="J1500">
        <f t="shared" si="118"/>
        <v>1</v>
      </c>
    </row>
    <row r="1501" spans="1:10" x14ac:dyDescent="0.25">
      <c r="A1501" t="s">
        <v>436</v>
      </c>
      <c r="B1501" t="s">
        <v>186</v>
      </c>
      <c r="C1501" t="s">
        <v>56</v>
      </c>
      <c r="D1501" s="3">
        <v>45693</v>
      </c>
      <c r="E1501" t="str">
        <f>VLOOKUP(B1501,'PROCV GERENTES BD'!A:B,2,0)</f>
        <v xml:space="preserve">MARCUS VINICIUS </v>
      </c>
      <c r="F1501" s="4" t="str">
        <f t="shared" si="119"/>
        <v>2025-02-1</v>
      </c>
      <c r="G1501" t="str">
        <f t="shared" si="115"/>
        <v xml:space="preserve">MARCUS VINICIUS </v>
      </c>
      <c r="H1501" t="str">
        <f t="shared" si="116"/>
        <v>LABOR ELETRIC INDUSTRIA E COMERCIO UNIPESSOAL LTDA</v>
      </c>
      <c r="I1501">
        <f t="shared" si="117"/>
        <v>0</v>
      </c>
      <c r="J1501">
        <f t="shared" si="118"/>
        <v>1</v>
      </c>
    </row>
    <row r="1502" spans="1:10" x14ac:dyDescent="0.25">
      <c r="A1502" t="s">
        <v>428</v>
      </c>
      <c r="B1502" t="s">
        <v>177</v>
      </c>
      <c r="C1502" t="s">
        <v>56</v>
      </c>
      <c r="D1502" s="3">
        <v>45693</v>
      </c>
      <c r="E1502" t="str">
        <f>VLOOKUP(B1502,'PROCV GERENTES BD'!A:B,2,0)</f>
        <v>POENATELA</v>
      </c>
      <c r="F1502" s="4" t="str">
        <f t="shared" si="119"/>
        <v>2025-02-1</v>
      </c>
      <c r="G1502" t="str">
        <f t="shared" si="115"/>
        <v>POENATELA</v>
      </c>
      <c r="H1502" t="str">
        <f t="shared" si="116"/>
        <v>SAVIXX COMERCIO INTERNACIONAL S/A</v>
      </c>
      <c r="I1502">
        <f t="shared" si="117"/>
        <v>0</v>
      </c>
      <c r="J1502">
        <f t="shared" si="118"/>
        <v>1</v>
      </c>
    </row>
    <row r="1503" spans="1:10" x14ac:dyDescent="0.25">
      <c r="A1503" t="s">
        <v>478</v>
      </c>
      <c r="B1503" t="s">
        <v>234</v>
      </c>
      <c r="C1503" t="s">
        <v>56</v>
      </c>
      <c r="D1503" s="3">
        <v>45693</v>
      </c>
      <c r="E1503" t="str">
        <f>VLOOKUP(B1503,'PROCV GERENTES BD'!A:B,2,0)</f>
        <v>POENATELA</v>
      </c>
      <c r="F1503" s="4" t="str">
        <f t="shared" si="119"/>
        <v>2025-02-1</v>
      </c>
      <c r="G1503" t="str">
        <f t="shared" si="115"/>
        <v>POENATELA</v>
      </c>
      <c r="H1503" t="str">
        <f t="shared" si="116"/>
        <v>SH METALIZACOES LTDA EPP</v>
      </c>
      <c r="I1503">
        <f t="shared" si="117"/>
        <v>0</v>
      </c>
      <c r="J1503">
        <f t="shared" si="118"/>
        <v>1</v>
      </c>
    </row>
    <row r="1504" spans="1:10" x14ac:dyDescent="0.25">
      <c r="A1504" t="s">
        <v>354</v>
      </c>
      <c r="B1504" t="s">
        <v>97</v>
      </c>
      <c r="C1504" t="s">
        <v>72</v>
      </c>
      <c r="D1504" s="3">
        <v>45693</v>
      </c>
      <c r="E1504" t="str">
        <f>VLOOKUP(B1504,'PROCV GERENTES BD'!A:B,2,0)</f>
        <v>POENATELA</v>
      </c>
      <c r="F1504" s="4" t="str">
        <f t="shared" si="119"/>
        <v>2025-02-1</v>
      </c>
      <c r="G1504" t="str">
        <f t="shared" si="115"/>
        <v>POENATELA</v>
      </c>
      <c r="H1504" t="str">
        <f t="shared" si="116"/>
        <v>UBERTEC SERVICE USINAGEM LTDA EPP</v>
      </c>
      <c r="I1504">
        <f t="shared" si="117"/>
        <v>1</v>
      </c>
      <c r="J1504">
        <f t="shared" si="118"/>
        <v>0</v>
      </c>
    </row>
    <row r="1505" spans="1:10" x14ac:dyDescent="0.25">
      <c r="A1505" t="s">
        <v>460</v>
      </c>
      <c r="B1505" t="s">
        <v>216</v>
      </c>
      <c r="C1505" t="s">
        <v>56</v>
      </c>
      <c r="D1505" s="3">
        <v>45693</v>
      </c>
      <c r="E1505" t="str">
        <f>VLOOKUP(B1505,'PROCV GERENTES BD'!A:B,2,0)</f>
        <v>PRISCILA METZ</v>
      </c>
      <c r="F1505" s="4" t="str">
        <f t="shared" si="119"/>
        <v>2025-02-1</v>
      </c>
      <c r="G1505" t="str">
        <f t="shared" si="115"/>
        <v>PRISCILA METZ</v>
      </c>
      <c r="H1505" t="str">
        <f t="shared" si="116"/>
        <v>D M RODRIGUES LTDA ME</v>
      </c>
      <c r="I1505">
        <f t="shared" si="117"/>
        <v>0</v>
      </c>
      <c r="J1505">
        <f t="shared" si="118"/>
        <v>1</v>
      </c>
    </row>
    <row r="1506" spans="1:10" x14ac:dyDescent="0.25">
      <c r="A1506" t="s">
        <v>479</v>
      </c>
      <c r="B1506" t="s">
        <v>235</v>
      </c>
      <c r="C1506" t="s">
        <v>56</v>
      </c>
      <c r="D1506" s="3">
        <v>45693</v>
      </c>
      <c r="E1506" t="str">
        <f>VLOOKUP(B1506,'PROCV GERENTES BD'!A:B,2,0)</f>
        <v>RAFAEL PARISE</v>
      </c>
      <c r="F1506" s="4" t="str">
        <f t="shared" si="119"/>
        <v>2025-02-1</v>
      </c>
      <c r="G1506" t="str">
        <f t="shared" si="115"/>
        <v>RAFAEL PARISE</v>
      </c>
      <c r="H1506" t="str">
        <f t="shared" si="116"/>
        <v>ORNELAS TRANSPORTE E LOGISTICA LTDA</v>
      </c>
      <c r="I1506">
        <f t="shared" si="117"/>
        <v>0</v>
      </c>
      <c r="J1506">
        <f t="shared" si="118"/>
        <v>1</v>
      </c>
    </row>
    <row r="1507" spans="1:10" x14ac:dyDescent="0.25">
      <c r="A1507" t="s">
        <v>462</v>
      </c>
      <c r="B1507" t="s">
        <v>218</v>
      </c>
      <c r="C1507" t="s">
        <v>56</v>
      </c>
      <c r="D1507" s="3">
        <v>45693</v>
      </c>
      <c r="E1507" t="str">
        <f>VLOOKUP(B1507,'PROCV GERENTES BD'!A:B,2,0)</f>
        <v>RAFAEL PARISE</v>
      </c>
      <c r="F1507" s="4" t="str">
        <f t="shared" si="119"/>
        <v>2025-02-1</v>
      </c>
      <c r="G1507" t="str">
        <f t="shared" si="115"/>
        <v>RAFAEL PARISE</v>
      </c>
      <c r="H1507" t="str">
        <f t="shared" si="116"/>
        <v>TREGA FILHOS EMPACOTAMENTO E DISTRIBUICAO LTDA ME</v>
      </c>
      <c r="I1507">
        <f t="shared" si="117"/>
        <v>0</v>
      </c>
      <c r="J1507">
        <f t="shared" si="118"/>
        <v>1</v>
      </c>
    </row>
    <row r="1508" spans="1:10" x14ac:dyDescent="0.25">
      <c r="A1508" t="s">
        <v>370</v>
      </c>
      <c r="B1508" t="s">
        <v>114</v>
      </c>
      <c r="C1508" t="s">
        <v>56</v>
      </c>
      <c r="D1508" s="3">
        <v>45693</v>
      </c>
      <c r="E1508" t="s">
        <v>25</v>
      </c>
      <c r="F1508" s="4" t="str">
        <f t="shared" si="119"/>
        <v>2025-02-1</v>
      </c>
      <c r="G1508" t="str">
        <f t="shared" si="115"/>
        <v xml:space="preserve">ROGERIO </v>
      </c>
      <c r="H1508" t="str">
        <f t="shared" si="116"/>
        <v>EVOLUTION MACHINES LTDA ME</v>
      </c>
      <c r="I1508">
        <f t="shared" si="117"/>
        <v>0</v>
      </c>
      <c r="J1508">
        <f t="shared" si="118"/>
        <v>1</v>
      </c>
    </row>
    <row r="1509" spans="1:10" x14ac:dyDescent="0.25">
      <c r="A1509" t="s">
        <v>380</v>
      </c>
      <c r="B1509" t="s">
        <v>123</v>
      </c>
      <c r="C1509" t="s">
        <v>72</v>
      </c>
      <c r="D1509" s="3">
        <v>45694</v>
      </c>
      <c r="E1509" t="str">
        <f>VLOOKUP(B1509,'PROCV GERENTES BD'!A:B,2,0)</f>
        <v>ANTONIO CARLOS</v>
      </c>
      <c r="F1509" s="4" t="str">
        <f t="shared" si="119"/>
        <v>2025-02-1</v>
      </c>
      <c r="G1509" t="str">
        <f t="shared" si="115"/>
        <v>ANTONIO CARLOS</v>
      </c>
      <c r="H1509" t="str">
        <f t="shared" si="116"/>
        <v>PREMOLDADOS MATOSINHOS LTDA EPP</v>
      </c>
      <c r="I1509">
        <f t="shared" si="117"/>
        <v>1</v>
      </c>
      <c r="J1509">
        <f t="shared" si="118"/>
        <v>0</v>
      </c>
    </row>
    <row r="1510" spans="1:10" x14ac:dyDescent="0.25">
      <c r="A1510" t="s">
        <v>311</v>
      </c>
      <c r="B1510" t="s">
        <v>130</v>
      </c>
      <c r="C1510" t="s">
        <v>72</v>
      </c>
      <c r="D1510" s="3">
        <v>45694</v>
      </c>
      <c r="E1510" t="str">
        <f>VLOOKUP(B1510,'PROCV GERENTES BD'!A:B,2,0)</f>
        <v>ANTONIO CARLOS</v>
      </c>
      <c r="F1510" s="4" t="str">
        <f t="shared" si="119"/>
        <v>2025-02-1</v>
      </c>
      <c r="G1510" t="str">
        <f t="shared" si="115"/>
        <v>ANTONIO CARLOS</v>
      </c>
      <c r="H1510" t="str">
        <f t="shared" si="116"/>
        <v>VIC LOGISTICA LTDA EM RECUPERACAO JUDICIAL</v>
      </c>
      <c r="I1510">
        <f t="shared" si="117"/>
        <v>1</v>
      </c>
      <c r="J1510">
        <f t="shared" si="118"/>
        <v>0</v>
      </c>
    </row>
    <row r="1511" spans="1:10" x14ac:dyDescent="0.25">
      <c r="A1511" t="s">
        <v>326</v>
      </c>
      <c r="B1511" t="s">
        <v>86</v>
      </c>
      <c r="C1511" t="s">
        <v>56</v>
      </c>
      <c r="D1511" s="3">
        <v>45694</v>
      </c>
      <c r="E1511" t="str">
        <f>VLOOKUP(B1511,'PROCV GERENTES BD'!A:B,2,0)</f>
        <v>CELIO PIMENTA</v>
      </c>
      <c r="F1511" s="4" t="str">
        <f t="shared" si="119"/>
        <v>2025-02-1</v>
      </c>
      <c r="G1511" t="str">
        <f t="shared" si="115"/>
        <v>CELIO PIMENTA</v>
      </c>
      <c r="H1511" t="str">
        <f t="shared" si="116"/>
        <v>IMPORTEXTIL COMERCIO DE TECIDOS LTDA</v>
      </c>
      <c r="I1511">
        <f t="shared" si="117"/>
        <v>0</v>
      </c>
      <c r="J1511">
        <f t="shared" si="118"/>
        <v>1</v>
      </c>
    </row>
    <row r="1512" spans="1:10" x14ac:dyDescent="0.25">
      <c r="A1512" t="s">
        <v>366</v>
      </c>
      <c r="B1512" t="s">
        <v>111</v>
      </c>
      <c r="C1512" t="s">
        <v>56</v>
      </c>
      <c r="D1512" s="3">
        <v>45694</v>
      </c>
      <c r="E1512" t="str">
        <f>VLOOKUP(B1512,'PROCV GERENTES BD'!A:B,2,0)</f>
        <v>DIOGO AZEVEDO</v>
      </c>
      <c r="F1512" s="4" t="str">
        <f t="shared" si="119"/>
        <v>2025-02-1</v>
      </c>
      <c r="G1512" t="str">
        <f t="shared" si="115"/>
        <v>DIOGO AZEVEDO</v>
      </c>
      <c r="H1512" t="str">
        <f t="shared" si="116"/>
        <v>INDUSTRIA E CERVEJARIA ARTESANAL DE MINAS GERAIS L</v>
      </c>
      <c r="I1512">
        <f t="shared" si="117"/>
        <v>0</v>
      </c>
      <c r="J1512">
        <f t="shared" si="118"/>
        <v>1</v>
      </c>
    </row>
    <row r="1513" spans="1:10" x14ac:dyDescent="0.25">
      <c r="A1513" t="s">
        <v>480</v>
      </c>
      <c r="B1513" t="s">
        <v>236</v>
      </c>
      <c r="C1513" t="s">
        <v>56</v>
      </c>
      <c r="D1513" s="3">
        <v>45694</v>
      </c>
      <c r="E1513" t="str">
        <f>VLOOKUP(B1513,'PROCV GERENTES BD'!A:B,2,0)</f>
        <v>FITZ</v>
      </c>
      <c r="F1513" s="4" t="str">
        <f t="shared" si="119"/>
        <v>2025-02-1</v>
      </c>
      <c r="G1513" t="str">
        <f t="shared" si="115"/>
        <v>FITZ</v>
      </c>
      <c r="H1513" t="str">
        <f t="shared" si="116"/>
        <v>ELO TELECOMUNICACOES E CONSTRUCOES S/A</v>
      </c>
      <c r="I1513">
        <f t="shared" si="117"/>
        <v>0</v>
      </c>
      <c r="J1513">
        <f t="shared" si="118"/>
        <v>1</v>
      </c>
    </row>
    <row r="1514" spans="1:10" x14ac:dyDescent="0.25">
      <c r="A1514" t="s">
        <v>317</v>
      </c>
      <c r="B1514" t="s">
        <v>211</v>
      </c>
      <c r="C1514" t="s">
        <v>72</v>
      </c>
      <c r="D1514" s="3">
        <v>45694</v>
      </c>
      <c r="E1514" t="str">
        <f>VLOOKUP(B1514,'PROCV GERENTES BD'!A:B,2,0)</f>
        <v xml:space="preserve">MARCUS VINICIUS </v>
      </c>
      <c r="F1514" s="4" t="str">
        <f t="shared" si="119"/>
        <v>2025-02-1</v>
      </c>
      <c r="G1514" t="str">
        <f t="shared" si="115"/>
        <v xml:space="preserve">MARCUS VINICIUS </v>
      </c>
      <c r="H1514" t="str">
        <f t="shared" si="116"/>
        <v>INDUSTRIA E COMERCIO DE CHURRASQUEIRAS BOM JESUS L</v>
      </c>
      <c r="I1514">
        <f t="shared" si="117"/>
        <v>1</v>
      </c>
      <c r="J1514">
        <f t="shared" si="118"/>
        <v>0</v>
      </c>
    </row>
    <row r="1515" spans="1:10" x14ac:dyDescent="0.25">
      <c r="A1515" t="s">
        <v>436</v>
      </c>
      <c r="B1515" t="s">
        <v>186</v>
      </c>
      <c r="C1515" t="s">
        <v>56</v>
      </c>
      <c r="D1515" s="3">
        <v>45694</v>
      </c>
      <c r="E1515" t="str">
        <f>VLOOKUP(B1515,'PROCV GERENTES BD'!A:B,2,0)</f>
        <v xml:space="preserve">MARCUS VINICIUS </v>
      </c>
      <c r="F1515" s="4" t="str">
        <f t="shared" si="119"/>
        <v>2025-02-1</v>
      </c>
      <c r="G1515" t="str">
        <f t="shared" si="115"/>
        <v xml:space="preserve">MARCUS VINICIUS </v>
      </c>
      <c r="H1515" t="str">
        <f t="shared" si="116"/>
        <v>LABOR ELETRIC INDUSTRIA E COMERCIO UNIPESSOAL LTDA</v>
      </c>
      <c r="I1515">
        <f t="shared" si="117"/>
        <v>0</v>
      </c>
      <c r="J1515">
        <f t="shared" si="118"/>
        <v>1</v>
      </c>
    </row>
    <row r="1516" spans="1:10" x14ac:dyDescent="0.25">
      <c r="A1516" t="s">
        <v>383</v>
      </c>
      <c r="B1516" t="s">
        <v>127</v>
      </c>
      <c r="C1516" t="s">
        <v>72</v>
      </c>
      <c r="D1516" s="3">
        <v>45694</v>
      </c>
      <c r="E1516" t="str">
        <f>VLOOKUP(B1516,'PROCV GERENTES BD'!A:B,2,0)</f>
        <v>NATALIA NUBIA</v>
      </c>
      <c r="F1516" s="4" t="str">
        <f t="shared" si="119"/>
        <v>2025-02-1</v>
      </c>
      <c r="G1516" t="str">
        <f t="shared" si="115"/>
        <v>NATALIA NUBIA</v>
      </c>
      <c r="H1516" t="str">
        <f t="shared" si="116"/>
        <v>FARINELLI NUTRIMENTOS LTDA</v>
      </c>
      <c r="I1516">
        <f t="shared" si="117"/>
        <v>1</v>
      </c>
      <c r="J1516">
        <f t="shared" si="118"/>
        <v>0</v>
      </c>
    </row>
    <row r="1517" spans="1:10" x14ac:dyDescent="0.25">
      <c r="A1517" t="s">
        <v>446</v>
      </c>
      <c r="B1517" t="s">
        <v>196</v>
      </c>
      <c r="C1517" t="s">
        <v>56</v>
      </c>
      <c r="D1517" s="3">
        <v>45694</v>
      </c>
      <c r="E1517" t="str">
        <f>VLOOKUP(B1517,'PROCV GERENTES BD'!A:B,2,0)</f>
        <v>NOELI SALETE</v>
      </c>
      <c r="F1517" s="4" t="str">
        <f t="shared" si="119"/>
        <v>2025-02-1</v>
      </c>
      <c r="G1517" t="str">
        <f t="shared" si="115"/>
        <v>NOELI SALETE</v>
      </c>
      <c r="H1517" t="str">
        <f t="shared" si="116"/>
        <v>AGRO INDUSTRIAL LAZZERI LTDA</v>
      </c>
      <c r="I1517">
        <f t="shared" si="117"/>
        <v>0</v>
      </c>
      <c r="J1517">
        <f t="shared" si="118"/>
        <v>1</v>
      </c>
    </row>
    <row r="1518" spans="1:10" x14ac:dyDescent="0.25">
      <c r="A1518" t="s">
        <v>402</v>
      </c>
      <c r="B1518" t="s">
        <v>150</v>
      </c>
      <c r="C1518" t="s">
        <v>56</v>
      </c>
      <c r="D1518" s="3">
        <v>45694</v>
      </c>
      <c r="E1518" t="str">
        <f>VLOOKUP(B1518,'PROCV GERENTES BD'!A:B,2,0)</f>
        <v>NOELI SALETE</v>
      </c>
      <c r="F1518" s="4" t="str">
        <f t="shared" si="119"/>
        <v>2025-02-1</v>
      </c>
      <c r="G1518" t="str">
        <f t="shared" si="115"/>
        <v>NOELI SALETE</v>
      </c>
      <c r="H1518" t="str">
        <f t="shared" si="116"/>
        <v>ALBERTO H DA SILVA ME</v>
      </c>
      <c r="I1518">
        <f t="shared" si="117"/>
        <v>0</v>
      </c>
      <c r="J1518">
        <f t="shared" si="118"/>
        <v>1</v>
      </c>
    </row>
    <row r="1519" spans="1:10" x14ac:dyDescent="0.25">
      <c r="A1519" t="s">
        <v>481</v>
      </c>
      <c r="B1519" t="s">
        <v>237</v>
      </c>
      <c r="C1519" t="s">
        <v>56</v>
      </c>
      <c r="D1519" s="3">
        <v>45694</v>
      </c>
      <c r="E1519" t="str">
        <f>VLOOKUP(B1519,'PROCV GERENTES BD'!A:B,2,0)</f>
        <v>PARTNER SECURITIZADORA</v>
      </c>
      <c r="F1519" s="4" t="str">
        <f t="shared" si="119"/>
        <v>2025-02-1</v>
      </c>
      <c r="G1519" t="str">
        <f t="shared" si="115"/>
        <v>PARTNER SECURITIZADORA</v>
      </c>
      <c r="H1519" t="str">
        <f t="shared" si="116"/>
        <v>ALTAG NEGOCIOS AGRICOLAS LTDA</v>
      </c>
      <c r="I1519">
        <f t="shared" si="117"/>
        <v>0</v>
      </c>
      <c r="J1519">
        <f t="shared" si="118"/>
        <v>1</v>
      </c>
    </row>
    <row r="1520" spans="1:10" x14ac:dyDescent="0.25">
      <c r="A1520" t="s">
        <v>397</v>
      </c>
      <c r="B1520" t="s">
        <v>143</v>
      </c>
      <c r="C1520" t="s">
        <v>72</v>
      </c>
      <c r="D1520" s="3">
        <v>45694</v>
      </c>
      <c r="E1520" t="str">
        <f>VLOOKUP(B1520,'PROCV GERENTES BD'!A:B,2,0)</f>
        <v>POENATELA</v>
      </c>
      <c r="F1520" s="4" t="str">
        <f t="shared" si="119"/>
        <v>2025-02-1</v>
      </c>
      <c r="G1520" t="str">
        <f t="shared" si="115"/>
        <v>POENATELA</v>
      </c>
      <c r="H1520" t="str">
        <f t="shared" si="116"/>
        <v>CONQUISTA INDUSTRIA DE MOVEIS S/A</v>
      </c>
      <c r="I1520">
        <f t="shared" si="117"/>
        <v>1</v>
      </c>
      <c r="J1520">
        <f t="shared" si="118"/>
        <v>0</v>
      </c>
    </row>
    <row r="1521" spans="1:10" x14ac:dyDescent="0.25">
      <c r="A1521" t="s">
        <v>354</v>
      </c>
      <c r="B1521" t="s">
        <v>97</v>
      </c>
      <c r="C1521" t="s">
        <v>72</v>
      </c>
      <c r="D1521" s="3">
        <v>45694</v>
      </c>
      <c r="E1521" t="str">
        <f>VLOOKUP(B1521,'PROCV GERENTES BD'!A:B,2,0)</f>
        <v>POENATELA</v>
      </c>
      <c r="F1521" s="4" t="str">
        <f t="shared" si="119"/>
        <v>2025-02-1</v>
      </c>
      <c r="G1521" t="str">
        <f t="shared" si="115"/>
        <v>POENATELA</v>
      </c>
      <c r="H1521" t="str">
        <f t="shared" si="116"/>
        <v>UBERTEC SERVICE USINAGEM LTDA EPP</v>
      </c>
      <c r="I1521">
        <f t="shared" si="117"/>
        <v>1</v>
      </c>
      <c r="J1521">
        <f t="shared" si="118"/>
        <v>0</v>
      </c>
    </row>
    <row r="1522" spans="1:10" x14ac:dyDescent="0.25">
      <c r="A1522" t="s">
        <v>460</v>
      </c>
      <c r="B1522" t="s">
        <v>216</v>
      </c>
      <c r="C1522" t="s">
        <v>56</v>
      </c>
      <c r="D1522" s="3">
        <v>45694</v>
      </c>
      <c r="E1522" t="str">
        <f>VLOOKUP(B1522,'PROCV GERENTES BD'!A:B,2,0)</f>
        <v>PRISCILA METZ</v>
      </c>
      <c r="F1522" s="4" t="str">
        <f t="shared" si="119"/>
        <v>2025-02-1</v>
      </c>
      <c r="G1522" t="str">
        <f t="shared" si="115"/>
        <v>PRISCILA METZ</v>
      </c>
      <c r="H1522" t="str">
        <f t="shared" si="116"/>
        <v>D M RODRIGUES LTDA ME</v>
      </c>
      <c r="I1522">
        <f t="shared" si="117"/>
        <v>0</v>
      </c>
      <c r="J1522">
        <f t="shared" si="118"/>
        <v>1</v>
      </c>
    </row>
    <row r="1523" spans="1:10" x14ac:dyDescent="0.25">
      <c r="A1523" t="s">
        <v>455</v>
      </c>
      <c r="B1523" t="s">
        <v>207</v>
      </c>
      <c r="C1523" t="s">
        <v>72</v>
      </c>
      <c r="D1523" s="3">
        <v>45694</v>
      </c>
      <c r="E1523" t="s">
        <v>25</v>
      </c>
      <c r="F1523" s="4" t="str">
        <f t="shared" si="119"/>
        <v>2025-02-1</v>
      </c>
      <c r="G1523" t="str">
        <f t="shared" si="115"/>
        <v xml:space="preserve">ROGERIO </v>
      </c>
      <c r="H1523" t="str">
        <f t="shared" si="116"/>
        <v>ORTHOSIDE INDUSTRIA E COMERCIO LTDA EPP</v>
      </c>
      <c r="I1523">
        <f t="shared" si="117"/>
        <v>1</v>
      </c>
      <c r="J1523">
        <f t="shared" si="118"/>
        <v>0</v>
      </c>
    </row>
    <row r="1524" spans="1:10" x14ac:dyDescent="0.25">
      <c r="A1524" t="s">
        <v>482</v>
      </c>
      <c r="B1524" t="s">
        <v>238</v>
      </c>
      <c r="C1524" t="s">
        <v>56</v>
      </c>
      <c r="D1524" s="3">
        <v>45694</v>
      </c>
      <c r="E1524" t="str">
        <f>VLOOKUP(B1524,'PROCV GERENTES BD'!A:B,2,0)</f>
        <v>SEM GERENTE</v>
      </c>
      <c r="F1524" s="4" t="str">
        <f t="shared" si="119"/>
        <v>2025-02-1</v>
      </c>
      <c r="G1524" t="str">
        <f t="shared" si="115"/>
        <v>SEM GERENTE</v>
      </c>
      <c r="H1524" t="str">
        <f t="shared" si="116"/>
        <v>GRAFICA ROMANA LTDA ME</v>
      </c>
      <c r="I1524">
        <f t="shared" si="117"/>
        <v>0</v>
      </c>
      <c r="J1524">
        <f t="shared" si="118"/>
        <v>1</v>
      </c>
    </row>
    <row r="1525" spans="1:10" x14ac:dyDescent="0.25">
      <c r="A1525" t="s">
        <v>60</v>
      </c>
      <c r="B1525" t="s">
        <v>61</v>
      </c>
      <c r="C1525" t="s">
        <v>56</v>
      </c>
      <c r="D1525" s="3">
        <v>45695</v>
      </c>
      <c r="E1525" t="str">
        <f>VLOOKUP(B1525,'PROCV GERENTES BD'!A:B,2,0)</f>
        <v>CELIO PIMENTA</v>
      </c>
      <c r="F1525" s="4" t="str">
        <f t="shared" si="119"/>
        <v>2025-02-1</v>
      </c>
      <c r="G1525" t="str">
        <f t="shared" si="115"/>
        <v>CELIO PIMENTA</v>
      </c>
      <c r="H1525" t="str">
        <f t="shared" si="116"/>
        <v>WJ CALDEIRARIA INDUSTRIA E COMERCIO LTDA ME</v>
      </c>
      <c r="I1525">
        <f t="shared" si="117"/>
        <v>0</v>
      </c>
      <c r="J1525">
        <f t="shared" si="118"/>
        <v>1</v>
      </c>
    </row>
    <row r="1526" spans="1:10" x14ac:dyDescent="0.25">
      <c r="A1526" t="s">
        <v>426</v>
      </c>
      <c r="B1526" t="s">
        <v>175</v>
      </c>
      <c r="C1526" t="s">
        <v>56</v>
      </c>
      <c r="D1526" s="3">
        <v>45695</v>
      </c>
      <c r="E1526" t="str">
        <f>VLOOKUP(B1526,'PROCV GERENTES BD'!A:B,2,0)</f>
        <v>NATALIA NUBIA</v>
      </c>
      <c r="F1526" s="4" t="str">
        <f t="shared" si="119"/>
        <v>2025-02-1</v>
      </c>
      <c r="G1526" t="str">
        <f t="shared" si="115"/>
        <v>NATALIA NUBIA</v>
      </c>
      <c r="H1526" t="str">
        <f t="shared" si="116"/>
        <v>MAAT COMERCIO DE VESTUARIO LTDA EPP</v>
      </c>
      <c r="I1526">
        <f t="shared" si="117"/>
        <v>0</v>
      </c>
      <c r="J1526">
        <f t="shared" si="118"/>
        <v>1</v>
      </c>
    </row>
    <row r="1527" spans="1:10" x14ac:dyDescent="0.25">
      <c r="A1527" t="s">
        <v>397</v>
      </c>
      <c r="B1527" t="s">
        <v>143</v>
      </c>
      <c r="C1527" t="s">
        <v>72</v>
      </c>
      <c r="D1527" s="3">
        <v>45695</v>
      </c>
      <c r="E1527" t="str">
        <f>VLOOKUP(B1527,'PROCV GERENTES BD'!A:B,2,0)</f>
        <v>POENATELA</v>
      </c>
      <c r="F1527" s="4" t="str">
        <f t="shared" si="119"/>
        <v>2025-02-1</v>
      </c>
      <c r="G1527" t="str">
        <f t="shared" si="115"/>
        <v>POENATELA</v>
      </c>
      <c r="H1527" t="str">
        <f t="shared" si="116"/>
        <v>CONQUISTA INDUSTRIA DE MOVEIS S/A</v>
      </c>
      <c r="I1527">
        <f t="shared" si="117"/>
        <v>1</v>
      </c>
      <c r="J1527">
        <f t="shared" si="118"/>
        <v>0</v>
      </c>
    </row>
    <row r="1528" spans="1:10" x14ac:dyDescent="0.25">
      <c r="A1528" t="s">
        <v>428</v>
      </c>
      <c r="B1528" t="s">
        <v>177</v>
      </c>
      <c r="C1528" t="s">
        <v>72</v>
      </c>
      <c r="D1528" s="3">
        <v>45695</v>
      </c>
      <c r="E1528" t="str">
        <f>VLOOKUP(B1528,'PROCV GERENTES BD'!A:B,2,0)</f>
        <v>POENATELA</v>
      </c>
      <c r="F1528" s="4" t="str">
        <f t="shared" si="119"/>
        <v>2025-02-1</v>
      </c>
      <c r="G1528" t="str">
        <f t="shared" si="115"/>
        <v>POENATELA</v>
      </c>
      <c r="H1528" t="str">
        <f t="shared" si="116"/>
        <v>SAVIXX COMERCIO INTERNACIONAL S/A</v>
      </c>
      <c r="I1528">
        <f t="shared" si="117"/>
        <v>1</v>
      </c>
      <c r="J1528">
        <f t="shared" si="118"/>
        <v>0</v>
      </c>
    </row>
    <row r="1529" spans="1:10" x14ac:dyDescent="0.25">
      <c r="A1529" t="s">
        <v>354</v>
      </c>
      <c r="B1529" t="s">
        <v>97</v>
      </c>
      <c r="C1529" t="s">
        <v>56</v>
      </c>
      <c r="D1529" s="3">
        <v>45695</v>
      </c>
      <c r="E1529" t="str">
        <f>VLOOKUP(B1529,'PROCV GERENTES BD'!A:B,2,0)</f>
        <v>POENATELA</v>
      </c>
      <c r="F1529" s="4" t="str">
        <f t="shared" si="119"/>
        <v>2025-02-1</v>
      </c>
      <c r="G1529" t="str">
        <f t="shared" si="115"/>
        <v>POENATELA</v>
      </c>
      <c r="H1529" t="str">
        <f t="shared" si="116"/>
        <v>UBERTEC SERVICE USINAGEM LTDA EPP</v>
      </c>
      <c r="I1529">
        <f t="shared" si="117"/>
        <v>0</v>
      </c>
      <c r="J1529">
        <f t="shared" si="118"/>
        <v>1</v>
      </c>
    </row>
    <row r="1530" spans="1:10" x14ac:dyDescent="0.25">
      <c r="A1530" t="s">
        <v>460</v>
      </c>
      <c r="B1530" t="s">
        <v>216</v>
      </c>
      <c r="C1530" t="s">
        <v>56</v>
      </c>
      <c r="D1530" s="3">
        <v>45695</v>
      </c>
      <c r="E1530" t="str">
        <f>VLOOKUP(B1530,'PROCV GERENTES BD'!A:B,2,0)</f>
        <v>PRISCILA METZ</v>
      </c>
      <c r="F1530" s="4" t="str">
        <f t="shared" si="119"/>
        <v>2025-02-1</v>
      </c>
      <c r="G1530" t="str">
        <f t="shared" si="115"/>
        <v>PRISCILA METZ</v>
      </c>
      <c r="H1530" t="str">
        <f t="shared" si="116"/>
        <v>D M RODRIGUES LTDA ME</v>
      </c>
      <c r="I1530">
        <f t="shared" si="117"/>
        <v>0</v>
      </c>
      <c r="J1530">
        <f t="shared" si="118"/>
        <v>1</v>
      </c>
    </row>
    <row r="1531" spans="1:10" x14ac:dyDescent="0.25">
      <c r="A1531" t="s">
        <v>462</v>
      </c>
      <c r="B1531" t="s">
        <v>218</v>
      </c>
      <c r="C1531" t="s">
        <v>56</v>
      </c>
      <c r="D1531" s="3">
        <v>45695</v>
      </c>
      <c r="E1531" t="str">
        <f>VLOOKUP(B1531,'PROCV GERENTES BD'!A:B,2,0)</f>
        <v>RAFAEL PARISE</v>
      </c>
      <c r="F1531" s="4" t="str">
        <f t="shared" si="119"/>
        <v>2025-02-1</v>
      </c>
      <c r="G1531" t="str">
        <f t="shared" si="115"/>
        <v>RAFAEL PARISE</v>
      </c>
      <c r="H1531" t="str">
        <f t="shared" si="116"/>
        <v>TREGA FILHOS EMPACOTAMENTO E DISTRIBUICAO LTDA ME</v>
      </c>
      <c r="I1531">
        <f t="shared" si="117"/>
        <v>0</v>
      </c>
      <c r="J1531">
        <f t="shared" si="118"/>
        <v>1</v>
      </c>
    </row>
    <row r="1532" spans="1:10" x14ac:dyDescent="0.25">
      <c r="A1532" t="s">
        <v>321</v>
      </c>
      <c r="B1532" t="s">
        <v>104</v>
      </c>
      <c r="C1532" t="s">
        <v>56</v>
      </c>
      <c r="D1532" s="3">
        <v>45695</v>
      </c>
      <c r="E1532" t="str">
        <f>VLOOKUP(B1532,'PROCV GERENTES BD'!A:B,2,0)</f>
        <v>THAYNA/COMERCIAL</v>
      </c>
      <c r="F1532" s="4" t="str">
        <f t="shared" si="119"/>
        <v>2025-02-1</v>
      </c>
      <c r="G1532" t="str">
        <f t="shared" si="115"/>
        <v>THAYNA/COMERCIAL</v>
      </c>
      <c r="H1532" t="str">
        <f t="shared" si="116"/>
        <v>MUTCD CENTRO DISTRIBUICAO IND FABRICANTE COSMETICO</v>
      </c>
      <c r="I1532">
        <f t="shared" si="117"/>
        <v>0</v>
      </c>
      <c r="J1532">
        <f t="shared" si="118"/>
        <v>1</v>
      </c>
    </row>
    <row r="1533" spans="1:10" x14ac:dyDescent="0.25">
      <c r="A1533" t="s">
        <v>339</v>
      </c>
      <c r="B1533" t="s">
        <v>151</v>
      </c>
      <c r="C1533" t="s">
        <v>59</v>
      </c>
      <c r="D1533" s="3">
        <v>45696</v>
      </c>
      <c r="E1533" t="str">
        <f>VLOOKUP(B1533,'PROCV GERENTES BD'!A:B,2,0)</f>
        <v>ADMINISTRAÇÃO</v>
      </c>
      <c r="F1533" s="4" t="str">
        <f t="shared" si="119"/>
        <v>2025-02-1</v>
      </c>
      <c r="G1533" t="str">
        <f t="shared" si="115"/>
        <v>ADMINISTRAÇÃO</v>
      </c>
      <c r="H1533" t="str">
        <f t="shared" si="116"/>
        <v>BOM PASTOR PAPEIS LTDA EM RECUPERACAO JUDICIAL</v>
      </c>
      <c r="I1533">
        <f t="shared" si="117"/>
        <v>0</v>
      </c>
      <c r="J1533">
        <f t="shared" si="118"/>
        <v>0</v>
      </c>
    </row>
    <row r="1534" spans="1:10" x14ac:dyDescent="0.25">
      <c r="A1534" t="s">
        <v>451</v>
      </c>
      <c r="B1534" t="s">
        <v>201</v>
      </c>
      <c r="C1534" t="s">
        <v>72</v>
      </c>
      <c r="D1534" s="3">
        <v>45696</v>
      </c>
      <c r="E1534" t="str">
        <f>VLOOKUP(B1534,'PROCV GERENTES BD'!A:B,2,0)</f>
        <v>FITZ</v>
      </c>
      <c r="F1534" s="4" t="str">
        <f t="shared" si="119"/>
        <v>2025-02-1</v>
      </c>
      <c r="G1534" t="str">
        <f t="shared" si="115"/>
        <v>FITZ</v>
      </c>
      <c r="H1534" t="str">
        <f t="shared" si="116"/>
        <v>ALPLAST ATACADISTA E APOIO ADMINISTRATIVO LTDA EPP</v>
      </c>
      <c r="I1534">
        <f t="shared" si="117"/>
        <v>1</v>
      </c>
      <c r="J1534">
        <f t="shared" si="118"/>
        <v>0</v>
      </c>
    </row>
    <row r="1535" spans="1:10" x14ac:dyDescent="0.25">
      <c r="A1535" t="s">
        <v>403</v>
      </c>
      <c r="B1535" t="s">
        <v>152</v>
      </c>
      <c r="C1535" t="s">
        <v>56</v>
      </c>
      <c r="D1535" s="3">
        <v>45696</v>
      </c>
      <c r="E1535" t="str">
        <f>VLOOKUP(B1535,'PROCV GERENTES BD'!A:B,2,0)</f>
        <v>MARCIO LEONEL</v>
      </c>
      <c r="F1535" s="4" t="str">
        <f t="shared" si="119"/>
        <v>2025-02-1</v>
      </c>
      <c r="G1535" t="str">
        <f t="shared" si="115"/>
        <v>MARCIO LEONEL</v>
      </c>
      <c r="H1535" t="str">
        <f t="shared" si="116"/>
        <v>MEDICAL PRIME IMP EXPORT DISTRIB PRODUTOS MEDICOS</v>
      </c>
      <c r="I1535">
        <f t="shared" si="117"/>
        <v>0</v>
      </c>
      <c r="J1535">
        <f t="shared" si="118"/>
        <v>1</v>
      </c>
    </row>
    <row r="1536" spans="1:10" x14ac:dyDescent="0.25">
      <c r="A1536" t="s">
        <v>436</v>
      </c>
      <c r="B1536" t="s">
        <v>186</v>
      </c>
      <c r="C1536" t="s">
        <v>56</v>
      </c>
      <c r="D1536" s="3">
        <v>45696</v>
      </c>
      <c r="E1536" t="str">
        <f>VLOOKUP(B1536,'PROCV GERENTES BD'!A:B,2,0)</f>
        <v xml:space="preserve">MARCUS VINICIUS </v>
      </c>
      <c r="F1536" s="4" t="str">
        <f t="shared" si="119"/>
        <v>2025-02-1</v>
      </c>
      <c r="G1536" t="str">
        <f t="shared" si="115"/>
        <v xml:space="preserve">MARCUS VINICIUS </v>
      </c>
      <c r="H1536" t="str">
        <f t="shared" si="116"/>
        <v>LABOR ELETRIC INDUSTRIA E COMERCIO UNIPESSOAL LTDA</v>
      </c>
      <c r="I1536">
        <f t="shared" si="117"/>
        <v>0</v>
      </c>
      <c r="J1536">
        <f t="shared" si="118"/>
        <v>1</v>
      </c>
    </row>
    <row r="1537" spans="1:10" x14ac:dyDescent="0.25">
      <c r="A1537" t="s">
        <v>426</v>
      </c>
      <c r="B1537" t="s">
        <v>175</v>
      </c>
      <c r="C1537" t="s">
        <v>56</v>
      </c>
      <c r="D1537" s="3">
        <v>45696</v>
      </c>
      <c r="E1537" t="str">
        <f>VLOOKUP(B1537,'PROCV GERENTES BD'!A:B,2,0)</f>
        <v>NATALIA NUBIA</v>
      </c>
      <c r="F1537" s="4" t="str">
        <f t="shared" si="119"/>
        <v>2025-02-1</v>
      </c>
      <c r="G1537" t="str">
        <f t="shared" si="115"/>
        <v>NATALIA NUBIA</v>
      </c>
      <c r="H1537" t="str">
        <f t="shared" si="116"/>
        <v>MAAT COMERCIO DE VESTUARIO LTDA EPP</v>
      </c>
      <c r="I1537">
        <f t="shared" si="117"/>
        <v>0</v>
      </c>
      <c r="J1537">
        <f t="shared" si="118"/>
        <v>1</v>
      </c>
    </row>
    <row r="1538" spans="1:10" x14ac:dyDescent="0.25">
      <c r="A1538" t="s">
        <v>446</v>
      </c>
      <c r="B1538" t="s">
        <v>196</v>
      </c>
      <c r="C1538" t="s">
        <v>56</v>
      </c>
      <c r="D1538" s="3">
        <v>45696</v>
      </c>
      <c r="E1538" t="str">
        <f>VLOOKUP(B1538,'PROCV GERENTES BD'!A:B,2,0)</f>
        <v>NOELI SALETE</v>
      </c>
      <c r="F1538" s="4" t="str">
        <f t="shared" si="119"/>
        <v>2025-02-1</v>
      </c>
      <c r="G1538" t="str">
        <f t="shared" ref="G1538:G1601" si="120">E1538</f>
        <v>NOELI SALETE</v>
      </c>
      <c r="H1538" t="str">
        <f t="shared" ref="H1538:H1601" si="121">B1538</f>
        <v>AGRO INDUSTRIAL LAZZERI LTDA</v>
      </c>
      <c r="I1538">
        <f t="shared" ref="I1538:I1601" si="122">IF(C1538="EXCLUSAO  ANOT.INADIMPLENCIA",1,0)</f>
        <v>0</v>
      </c>
      <c r="J1538">
        <f t="shared" ref="J1538:J1601" si="123">IF(C1538="INCLUSAO  ANOT.INADIMPLENCIA",1,0)</f>
        <v>1</v>
      </c>
    </row>
    <row r="1539" spans="1:10" x14ac:dyDescent="0.25">
      <c r="A1539" t="s">
        <v>354</v>
      </c>
      <c r="B1539" t="s">
        <v>97</v>
      </c>
      <c r="C1539" t="s">
        <v>72</v>
      </c>
      <c r="D1539" s="3">
        <v>45696</v>
      </c>
      <c r="E1539" t="str">
        <f>VLOOKUP(B1539,'PROCV GERENTES BD'!A:B,2,0)</f>
        <v>POENATELA</v>
      </c>
      <c r="F1539" s="4" t="str">
        <f t="shared" ref="F1539:F1602" si="124">YEAR(D1539)&amp;"-"&amp;TEXT(MONTH(D1539),"00")&amp;"-"&amp;IF(DAY(D1539)&lt;=15,"1",IF(DAY(D1539)&gt;15,"2",""))</f>
        <v>2025-02-1</v>
      </c>
      <c r="G1539" t="str">
        <f t="shared" si="120"/>
        <v>POENATELA</v>
      </c>
      <c r="H1539" t="str">
        <f t="shared" si="121"/>
        <v>UBERTEC SERVICE USINAGEM LTDA EPP</v>
      </c>
      <c r="I1539">
        <f t="shared" si="122"/>
        <v>1</v>
      </c>
      <c r="J1539">
        <f t="shared" si="123"/>
        <v>0</v>
      </c>
    </row>
    <row r="1540" spans="1:10" x14ac:dyDescent="0.25">
      <c r="A1540" t="s">
        <v>460</v>
      </c>
      <c r="B1540" t="s">
        <v>216</v>
      </c>
      <c r="C1540" t="s">
        <v>56</v>
      </c>
      <c r="D1540" s="3">
        <v>45696</v>
      </c>
      <c r="E1540" t="str">
        <f>VLOOKUP(B1540,'PROCV GERENTES BD'!A:B,2,0)</f>
        <v>PRISCILA METZ</v>
      </c>
      <c r="F1540" s="4" t="str">
        <f t="shared" si="124"/>
        <v>2025-02-1</v>
      </c>
      <c r="G1540" t="str">
        <f t="shared" si="120"/>
        <v>PRISCILA METZ</v>
      </c>
      <c r="H1540" t="str">
        <f t="shared" si="121"/>
        <v>D M RODRIGUES LTDA ME</v>
      </c>
      <c r="I1540">
        <f t="shared" si="122"/>
        <v>0</v>
      </c>
      <c r="J1540">
        <f t="shared" si="123"/>
        <v>1</v>
      </c>
    </row>
    <row r="1541" spans="1:10" x14ac:dyDescent="0.25">
      <c r="A1541" t="s">
        <v>398</v>
      </c>
      <c r="B1541" t="s">
        <v>144</v>
      </c>
      <c r="C1541" t="s">
        <v>72</v>
      </c>
      <c r="D1541" s="3">
        <v>45696</v>
      </c>
      <c r="E1541" t="str">
        <f>VLOOKUP(B1541,'PROCV GERENTES BD'!A:B,2,0)</f>
        <v>PRISCILA METZ</v>
      </c>
      <c r="F1541" s="4" t="str">
        <f t="shared" si="124"/>
        <v>2025-02-1</v>
      </c>
      <c r="G1541" t="str">
        <f t="shared" si="120"/>
        <v>PRISCILA METZ</v>
      </c>
      <c r="H1541" t="str">
        <f t="shared" si="121"/>
        <v>VLF IMPERIAL LATICINIOS LTDA ME</v>
      </c>
      <c r="I1541">
        <f t="shared" si="122"/>
        <v>1</v>
      </c>
      <c r="J1541">
        <f t="shared" si="123"/>
        <v>0</v>
      </c>
    </row>
    <row r="1542" spans="1:10" x14ac:dyDescent="0.25">
      <c r="A1542" t="s">
        <v>477</v>
      </c>
      <c r="B1542" t="s">
        <v>233</v>
      </c>
      <c r="C1542" t="s">
        <v>72</v>
      </c>
      <c r="D1542" s="3">
        <v>45696</v>
      </c>
      <c r="E1542" t="str">
        <f>VLOOKUP(B1542,'PROCV GERENTES BD'!A:B,2,0)</f>
        <v>SEM GERENTE</v>
      </c>
      <c r="F1542" s="4" t="str">
        <f t="shared" si="124"/>
        <v>2025-02-1</v>
      </c>
      <c r="G1542" t="str">
        <f t="shared" si="120"/>
        <v>SEM GERENTE</v>
      </c>
      <c r="H1542" t="str">
        <f t="shared" si="121"/>
        <v>S A COMERCIO E INDUSTRIA DE CALCADOS LTDA ME</v>
      </c>
      <c r="I1542">
        <f t="shared" si="122"/>
        <v>1</v>
      </c>
      <c r="J1542">
        <f t="shared" si="123"/>
        <v>0</v>
      </c>
    </row>
    <row r="1543" spans="1:10" x14ac:dyDescent="0.25">
      <c r="A1543" t="s">
        <v>339</v>
      </c>
      <c r="B1543" t="s">
        <v>151</v>
      </c>
      <c r="C1543" t="s">
        <v>56</v>
      </c>
      <c r="D1543" s="3">
        <v>45697</v>
      </c>
      <c r="E1543" t="str">
        <f>VLOOKUP(B1543,'PROCV GERENTES BD'!A:B,2,0)</f>
        <v>ADMINISTRAÇÃO</v>
      </c>
      <c r="F1543" s="4" t="str">
        <f t="shared" si="124"/>
        <v>2025-02-1</v>
      </c>
      <c r="G1543" t="str">
        <f t="shared" si="120"/>
        <v>ADMINISTRAÇÃO</v>
      </c>
      <c r="H1543" t="str">
        <f t="shared" si="121"/>
        <v>BOM PASTOR PAPEIS LTDA EM RECUPERACAO JUDICIAL</v>
      </c>
      <c r="I1543">
        <f t="shared" si="122"/>
        <v>0</v>
      </c>
      <c r="J1543">
        <f t="shared" si="123"/>
        <v>1</v>
      </c>
    </row>
    <row r="1544" spans="1:10" x14ac:dyDescent="0.25">
      <c r="A1544" t="s">
        <v>379</v>
      </c>
      <c r="B1544" t="s">
        <v>122</v>
      </c>
      <c r="C1544" t="s">
        <v>56</v>
      </c>
      <c r="D1544" s="3">
        <v>45697</v>
      </c>
      <c r="E1544" t="str">
        <f>VLOOKUP(B1544,'PROCV GERENTES BD'!A:B,2,0)</f>
        <v>ADMINISTRAÇÃO</v>
      </c>
      <c r="F1544" s="4" t="str">
        <f t="shared" si="124"/>
        <v>2025-02-1</v>
      </c>
      <c r="G1544" t="str">
        <f t="shared" si="120"/>
        <v>ADMINISTRAÇÃO</v>
      </c>
      <c r="H1544" t="str">
        <f t="shared" si="121"/>
        <v>ESPECIALI INDUSTRIA DE ALIMENTOS LTDA ME</v>
      </c>
      <c r="I1544">
        <f t="shared" si="122"/>
        <v>0</v>
      </c>
      <c r="J1544">
        <f t="shared" si="123"/>
        <v>1</v>
      </c>
    </row>
    <row r="1545" spans="1:10" x14ac:dyDescent="0.25">
      <c r="A1545" t="s">
        <v>389</v>
      </c>
      <c r="B1545" t="s">
        <v>135</v>
      </c>
      <c r="C1545" t="s">
        <v>56</v>
      </c>
      <c r="D1545" s="3">
        <v>45697</v>
      </c>
      <c r="E1545" t="str">
        <f>VLOOKUP(B1545,'PROCV GERENTES BD'!A:B,2,0)</f>
        <v>ADMINISTRAÇÃO</v>
      </c>
      <c r="F1545" s="4" t="str">
        <f t="shared" si="124"/>
        <v>2025-02-1</v>
      </c>
      <c r="G1545" t="str">
        <f t="shared" si="120"/>
        <v>ADMINISTRAÇÃO</v>
      </c>
      <c r="H1545" t="str">
        <f t="shared" si="121"/>
        <v>MOLAS ANEL POSTO DE TROCA LTDA EPP</v>
      </c>
      <c r="I1545">
        <f t="shared" si="122"/>
        <v>0</v>
      </c>
      <c r="J1545">
        <f t="shared" si="123"/>
        <v>1</v>
      </c>
    </row>
    <row r="1546" spans="1:10" x14ac:dyDescent="0.25">
      <c r="A1546" t="s">
        <v>380</v>
      </c>
      <c r="B1546" t="s">
        <v>123</v>
      </c>
      <c r="C1546" t="s">
        <v>56</v>
      </c>
      <c r="D1546" s="3">
        <v>45697</v>
      </c>
      <c r="E1546" t="str">
        <f>VLOOKUP(B1546,'PROCV GERENTES BD'!A:B,2,0)</f>
        <v>ANTONIO CARLOS</v>
      </c>
      <c r="F1546" s="4" t="str">
        <f t="shared" si="124"/>
        <v>2025-02-1</v>
      </c>
      <c r="G1546" t="str">
        <f t="shared" si="120"/>
        <v>ANTONIO CARLOS</v>
      </c>
      <c r="H1546" t="str">
        <f t="shared" si="121"/>
        <v>PREMOLDADOS MATOSINHOS LTDA EPP</v>
      </c>
      <c r="I1546">
        <f t="shared" si="122"/>
        <v>0</v>
      </c>
      <c r="J1546">
        <f t="shared" si="123"/>
        <v>1</v>
      </c>
    </row>
    <row r="1547" spans="1:10" x14ac:dyDescent="0.25">
      <c r="A1547" t="s">
        <v>450</v>
      </c>
      <c r="B1547" t="s">
        <v>200</v>
      </c>
      <c r="C1547" t="s">
        <v>335</v>
      </c>
      <c r="D1547" s="3">
        <v>45697</v>
      </c>
      <c r="E1547" t="str">
        <f>VLOOKUP(B1547,'PROCV GERENTES BD'!A:B,2,0)</f>
        <v>CELIO PIMENTA</v>
      </c>
      <c r="F1547" s="4" t="str">
        <f t="shared" si="124"/>
        <v>2025-02-1</v>
      </c>
      <c r="G1547" t="str">
        <f t="shared" si="120"/>
        <v>CELIO PIMENTA</v>
      </c>
      <c r="H1547" t="str">
        <f t="shared" si="121"/>
        <v>CIA TEXTIL LTDA ME</v>
      </c>
      <c r="I1547">
        <f t="shared" si="122"/>
        <v>0</v>
      </c>
      <c r="J1547">
        <f t="shared" si="123"/>
        <v>0</v>
      </c>
    </row>
    <row r="1548" spans="1:10" x14ac:dyDescent="0.25">
      <c r="A1548" t="s">
        <v>326</v>
      </c>
      <c r="B1548" t="s">
        <v>86</v>
      </c>
      <c r="C1548" t="s">
        <v>335</v>
      </c>
      <c r="D1548" s="3">
        <v>45697</v>
      </c>
      <c r="E1548" t="str">
        <f>VLOOKUP(B1548,'PROCV GERENTES BD'!A:B,2,0)</f>
        <v>CELIO PIMENTA</v>
      </c>
      <c r="F1548" s="4" t="str">
        <f t="shared" si="124"/>
        <v>2025-02-1</v>
      </c>
      <c r="G1548" t="str">
        <f t="shared" si="120"/>
        <v>CELIO PIMENTA</v>
      </c>
      <c r="H1548" t="str">
        <f t="shared" si="121"/>
        <v>IMPORTEXTIL COMERCIO DE TECIDOS LTDA</v>
      </c>
      <c r="I1548">
        <f t="shared" si="122"/>
        <v>0</v>
      </c>
      <c r="J1548">
        <f t="shared" si="123"/>
        <v>0</v>
      </c>
    </row>
    <row r="1549" spans="1:10" x14ac:dyDescent="0.25">
      <c r="A1549" t="s">
        <v>326</v>
      </c>
      <c r="B1549" t="s">
        <v>86</v>
      </c>
      <c r="C1549" t="s">
        <v>337</v>
      </c>
      <c r="D1549" s="3">
        <v>45697</v>
      </c>
      <c r="E1549" t="str">
        <f>VLOOKUP(B1549,'PROCV GERENTES BD'!A:B,2,0)</f>
        <v>CELIO PIMENTA</v>
      </c>
      <c r="F1549" s="4" t="str">
        <f t="shared" si="124"/>
        <v>2025-02-1</v>
      </c>
      <c r="G1549" t="str">
        <f t="shared" si="120"/>
        <v>CELIO PIMENTA</v>
      </c>
      <c r="H1549" t="str">
        <f t="shared" si="121"/>
        <v>IMPORTEXTIL COMERCIO DE TECIDOS LTDA</v>
      </c>
      <c r="I1549">
        <f t="shared" si="122"/>
        <v>0</v>
      </c>
      <c r="J1549">
        <f t="shared" si="123"/>
        <v>0</v>
      </c>
    </row>
    <row r="1550" spans="1:10" x14ac:dyDescent="0.25">
      <c r="A1550" t="s">
        <v>326</v>
      </c>
      <c r="B1550" t="s">
        <v>86</v>
      </c>
      <c r="C1550" t="s">
        <v>56</v>
      </c>
      <c r="D1550" s="3">
        <v>45697</v>
      </c>
      <c r="E1550" t="str">
        <f>VLOOKUP(B1550,'PROCV GERENTES BD'!A:B,2,0)</f>
        <v>CELIO PIMENTA</v>
      </c>
      <c r="F1550" s="4" t="str">
        <f t="shared" si="124"/>
        <v>2025-02-1</v>
      </c>
      <c r="G1550" t="str">
        <f t="shared" si="120"/>
        <v>CELIO PIMENTA</v>
      </c>
      <c r="H1550" t="str">
        <f t="shared" si="121"/>
        <v>IMPORTEXTIL COMERCIO DE TECIDOS LTDA</v>
      </c>
      <c r="I1550">
        <f t="shared" si="122"/>
        <v>0</v>
      </c>
      <c r="J1550">
        <f t="shared" si="123"/>
        <v>1</v>
      </c>
    </row>
    <row r="1551" spans="1:10" x14ac:dyDescent="0.25">
      <c r="A1551" t="s">
        <v>318</v>
      </c>
      <c r="B1551" t="s">
        <v>87</v>
      </c>
      <c r="C1551" t="s">
        <v>56</v>
      </c>
      <c r="D1551" s="3">
        <v>45697</v>
      </c>
      <c r="E1551" t="str">
        <f>VLOOKUP(B1551,'PROCV GERENTES BD'!A:B,2,0)</f>
        <v>CELIO PIMENTA</v>
      </c>
      <c r="F1551" s="4" t="str">
        <f t="shared" si="124"/>
        <v>2025-02-1</v>
      </c>
      <c r="G1551" t="str">
        <f t="shared" si="120"/>
        <v>CELIO PIMENTA</v>
      </c>
      <c r="H1551" t="str">
        <f t="shared" si="121"/>
        <v>MBIOLOG DIAGNOSTICOS LTDA</v>
      </c>
      <c r="I1551">
        <f t="shared" si="122"/>
        <v>0</v>
      </c>
      <c r="J1551">
        <f t="shared" si="123"/>
        <v>1</v>
      </c>
    </row>
    <row r="1552" spans="1:10" x14ac:dyDescent="0.25">
      <c r="A1552" t="s">
        <v>60</v>
      </c>
      <c r="B1552" t="s">
        <v>61</v>
      </c>
      <c r="C1552" t="s">
        <v>56</v>
      </c>
      <c r="D1552" s="3">
        <v>45697</v>
      </c>
      <c r="E1552" t="str">
        <f>VLOOKUP(B1552,'PROCV GERENTES BD'!A:B,2,0)</f>
        <v>CELIO PIMENTA</v>
      </c>
      <c r="F1552" s="4" t="str">
        <f t="shared" si="124"/>
        <v>2025-02-1</v>
      </c>
      <c r="G1552" t="str">
        <f t="shared" si="120"/>
        <v>CELIO PIMENTA</v>
      </c>
      <c r="H1552" t="str">
        <f t="shared" si="121"/>
        <v>WJ CALDEIRARIA INDUSTRIA E COMERCIO LTDA ME</v>
      </c>
      <c r="I1552">
        <f t="shared" si="122"/>
        <v>0</v>
      </c>
      <c r="J1552">
        <f t="shared" si="123"/>
        <v>1</v>
      </c>
    </row>
    <row r="1553" spans="1:10" x14ac:dyDescent="0.25">
      <c r="A1553" t="s">
        <v>451</v>
      </c>
      <c r="B1553" t="s">
        <v>201</v>
      </c>
      <c r="C1553" t="s">
        <v>56</v>
      </c>
      <c r="D1553" s="3">
        <v>45697</v>
      </c>
      <c r="E1553" t="str">
        <f>VLOOKUP(B1553,'PROCV GERENTES BD'!A:B,2,0)</f>
        <v>FITZ</v>
      </c>
      <c r="F1553" s="4" t="str">
        <f t="shared" si="124"/>
        <v>2025-02-1</v>
      </c>
      <c r="G1553" t="str">
        <f t="shared" si="120"/>
        <v>FITZ</v>
      </c>
      <c r="H1553" t="str">
        <f t="shared" si="121"/>
        <v>ALPLAST ATACADISTA E APOIO ADMINISTRATIVO LTDA EPP</v>
      </c>
      <c r="I1553">
        <f t="shared" si="122"/>
        <v>0</v>
      </c>
      <c r="J1553">
        <f t="shared" si="123"/>
        <v>1</v>
      </c>
    </row>
    <row r="1554" spans="1:10" x14ac:dyDescent="0.25">
      <c r="A1554" t="s">
        <v>331</v>
      </c>
      <c r="B1554" t="s">
        <v>126</v>
      </c>
      <c r="C1554" t="s">
        <v>72</v>
      </c>
      <c r="D1554" s="3">
        <v>45697</v>
      </c>
      <c r="E1554" t="str">
        <f>VLOOKUP(B1554,'PROCV GERENTES BD'!A:B,2,0)</f>
        <v>FITZ</v>
      </c>
      <c r="F1554" s="4" t="str">
        <f t="shared" si="124"/>
        <v>2025-02-1</v>
      </c>
      <c r="G1554" t="str">
        <f t="shared" si="120"/>
        <v>FITZ</v>
      </c>
      <c r="H1554" t="str">
        <f t="shared" si="121"/>
        <v>TRANSHENRY TRANSPORTES LTDA</v>
      </c>
      <c r="I1554">
        <f t="shared" si="122"/>
        <v>1</v>
      </c>
      <c r="J1554">
        <f t="shared" si="123"/>
        <v>0</v>
      </c>
    </row>
    <row r="1555" spans="1:10" x14ac:dyDescent="0.25">
      <c r="A1555" t="s">
        <v>330</v>
      </c>
      <c r="B1555" t="s">
        <v>116</v>
      </c>
      <c r="C1555" t="s">
        <v>56</v>
      </c>
      <c r="D1555" s="3">
        <v>45697</v>
      </c>
      <c r="E1555" t="str">
        <f>VLOOKUP(B1555,'PROCV GERENTES BD'!A:B,2,0)</f>
        <v>FITZ</v>
      </c>
      <c r="F1555" s="4" t="str">
        <f t="shared" si="124"/>
        <v>2025-02-1</v>
      </c>
      <c r="G1555" t="str">
        <f t="shared" si="120"/>
        <v>FITZ</v>
      </c>
      <c r="H1555" t="str">
        <f t="shared" si="121"/>
        <v>SIAP COMERCIO DE PRODUTOS AGROPECUARIOS LTDA</v>
      </c>
      <c r="I1555">
        <f t="shared" si="122"/>
        <v>0</v>
      </c>
      <c r="J1555">
        <f t="shared" si="123"/>
        <v>1</v>
      </c>
    </row>
    <row r="1556" spans="1:10" x14ac:dyDescent="0.25">
      <c r="A1556" t="s">
        <v>325</v>
      </c>
      <c r="B1556" t="s">
        <v>210</v>
      </c>
      <c r="C1556" t="s">
        <v>72</v>
      </c>
      <c r="D1556" s="3">
        <v>45697</v>
      </c>
      <c r="E1556" t="str">
        <f>VLOOKUP(B1556,'PROCV GERENTES BD'!A:B,2,0)</f>
        <v>JOSE ROBERTO</v>
      </c>
      <c r="F1556" s="4" t="str">
        <f t="shared" si="124"/>
        <v>2025-02-1</v>
      </c>
      <c r="G1556" t="str">
        <f t="shared" si="120"/>
        <v>JOSE ROBERTO</v>
      </c>
      <c r="H1556" t="str">
        <f t="shared" si="121"/>
        <v>FUNDACAO DE ENSINO E PESQUISA DO SUL DE MINAS FEPE</v>
      </c>
      <c r="I1556">
        <f t="shared" si="122"/>
        <v>1</v>
      </c>
      <c r="J1556">
        <f t="shared" si="123"/>
        <v>0</v>
      </c>
    </row>
    <row r="1557" spans="1:10" x14ac:dyDescent="0.25">
      <c r="A1557" t="s">
        <v>403</v>
      </c>
      <c r="B1557" t="s">
        <v>152</v>
      </c>
      <c r="C1557" t="s">
        <v>72</v>
      </c>
      <c r="D1557" s="3">
        <v>45697</v>
      </c>
      <c r="E1557" t="str">
        <f>VLOOKUP(B1557,'PROCV GERENTES BD'!A:B,2,0)</f>
        <v>MARCIO LEONEL</v>
      </c>
      <c r="F1557" s="4" t="str">
        <f t="shared" si="124"/>
        <v>2025-02-1</v>
      </c>
      <c r="G1557" t="str">
        <f t="shared" si="120"/>
        <v>MARCIO LEONEL</v>
      </c>
      <c r="H1557" t="str">
        <f t="shared" si="121"/>
        <v>MEDICAL PRIME IMP EXPORT DISTRIB PRODUTOS MEDICOS</v>
      </c>
      <c r="I1557">
        <f t="shared" si="122"/>
        <v>1</v>
      </c>
      <c r="J1557">
        <f t="shared" si="123"/>
        <v>0</v>
      </c>
    </row>
    <row r="1558" spans="1:10" x14ac:dyDescent="0.25">
      <c r="A1558" t="s">
        <v>436</v>
      </c>
      <c r="B1558" t="s">
        <v>186</v>
      </c>
      <c r="C1558" t="s">
        <v>56</v>
      </c>
      <c r="D1558" s="3">
        <v>45697</v>
      </c>
      <c r="E1558" t="str">
        <f>VLOOKUP(B1558,'PROCV GERENTES BD'!A:B,2,0)</f>
        <v xml:space="preserve">MARCUS VINICIUS </v>
      </c>
      <c r="F1558" s="4" t="str">
        <f t="shared" si="124"/>
        <v>2025-02-1</v>
      </c>
      <c r="G1558" t="str">
        <f t="shared" si="120"/>
        <v xml:space="preserve">MARCUS VINICIUS </v>
      </c>
      <c r="H1558" t="str">
        <f t="shared" si="121"/>
        <v>LABOR ELETRIC INDUSTRIA E COMERCIO UNIPESSOAL LTDA</v>
      </c>
      <c r="I1558">
        <f t="shared" si="122"/>
        <v>0</v>
      </c>
      <c r="J1558">
        <f t="shared" si="123"/>
        <v>1</v>
      </c>
    </row>
    <row r="1559" spans="1:10" x14ac:dyDescent="0.25">
      <c r="A1559" t="s">
        <v>392</v>
      </c>
      <c r="B1559" t="s">
        <v>138</v>
      </c>
      <c r="C1559" t="s">
        <v>56</v>
      </c>
      <c r="D1559" s="3">
        <v>45697</v>
      </c>
      <c r="E1559" t="str">
        <f>VLOOKUP(B1559,'PROCV GERENTES BD'!A:B,2,0)</f>
        <v xml:space="preserve">MARCUS VINICIUS </v>
      </c>
      <c r="F1559" s="4" t="str">
        <f t="shared" si="124"/>
        <v>2025-02-1</v>
      </c>
      <c r="G1559" t="str">
        <f t="shared" si="120"/>
        <v xml:space="preserve">MARCUS VINICIUS </v>
      </c>
      <c r="H1559" t="str">
        <f t="shared" si="121"/>
        <v>PALMILHADO INDUSTRIA E COMERCIO LTDA</v>
      </c>
      <c r="I1559">
        <f t="shared" si="122"/>
        <v>0</v>
      </c>
      <c r="J1559">
        <f t="shared" si="123"/>
        <v>1</v>
      </c>
    </row>
    <row r="1560" spans="1:10" x14ac:dyDescent="0.25">
      <c r="A1560" t="s">
        <v>426</v>
      </c>
      <c r="B1560" t="s">
        <v>175</v>
      </c>
      <c r="C1560" t="s">
        <v>56</v>
      </c>
      <c r="D1560" s="3">
        <v>45697</v>
      </c>
      <c r="E1560" t="str">
        <f>VLOOKUP(B1560,'PROCV GERENTES BD'!A:B,2,0)</f>
        <v>NATALIA NUBIA</v>
      </c>
      <c r="F1560" s="4" t="str">
        <f t="shared" si="124"/>
        <v>2025-02-1</v>
      </c>
      <c r="G1560" t="str">
        <f t="shared" si="120"/>
        <v>NATALIA NUBIA</v>
      </c>
      <c r="H1560" t="str">
        <f t="shared" si="121"/>
        <v>MAAT COMERCIO DE VESTUARIO LTDA EPP</v>
      </c>
      <c r="I1560">
        <f t="shared" si="122"/>
        <v>0</v>
      </c>
      <c r="J1560">
        <f t="shared" si="123"/>
        <v>1</v>
      </c>
    </row>
    <row r="1561" spans="1:10" x14ac:dyDescent="0.25">
      <c r="A1561" t="s">
        <v>427</v>
      </c>
      <c r="B1561" t="s">
        <v>206</v>
      </c>
      <c r="C1561" t="s">
        <v>56</v>
      </c>
      <c r="D1561" s="3">
        <v>45697</v>
      </c>
      <c r="E1561" t="str">
        <f>VLOOKUP(B1561,'PROCV GERENTES BD'!A:B,2,0)</f>
        <v>NOELI SALETE</v>
      </c>
      <c r="F1561" s="4" t="str">
        <f t="shared" si="124"/>
        <v>2025-02-1</v>
      </c>
      <c r="G1561" t="str">
        <f t="shared" si="120"/>
        <v>NOELI SALETE</v>
      </c>
      <c r="H1561" t="str">
        <f t="shared" si="121"/>
        <v>GLOBAL ACO SERV PRODUTOS SIDERURGICOS LTDA RECUPER</v>
      </c>
      <c r="I1561">
        <f t="shared" si="122"/>
        <v>0</v>
      </c>
      <c r="J1561">
        <f t="shared" si="123"/>
        <v>1</v>
      </c>
    </row>
    <row r="1562" spans="1:10" x14ac:dyDescent="0.25">
      <c r="A1562" t="s">
        <v>397</v>
      </c>
      <c r="B1562" t="s">
        <v>143</v>
      </c>
      <c r="C1562" t="s">
        <v>72</v>
      </c>
      <c r="D1562" s="3">
        <v>45697</v>
      </c>
      <c r="E1562" t="str">
        <f>VLOOKUP(B1562,'PROCV GERENTES BD'!A:B,2,0)</f>
        <v>POENATELA</v>
      </c>
      <c r="F1562" s="4" t="str">
        <f t="shared" si="124"/>
        <v>2025-02-1</v>
      </c>
      <c r="G1562" t="str">
        <f t="shared" si="120"/>
        <v>POENATELA</v>
      </c>
      <c r="H1562" t="str">
        <f t="shared" si="121"/>
        <v>CONQUISTA INDUSTRIA DE MOVEIS S/A</v>
      </c>
      <c r="I1562">
        <f t="shared" si="122"/>
        <v>1</v>
      </c>
      <c r="J1562">
        <f t="shared" si="123"/>
        <v>0</v>
      </c>
    </row>
    <row r="1563" spans="1:10" x14ac:dyDescent="0.25">
      <c r="A1563" t="s">
        <v>483</v>
      </c>
      <c r="B1563" t="s">
        <v>239</v>
      </c>
      <c r="C1563" t="s">
        <v>335</v>
      </c>
      <c r="D1563" s="3">
        <v>45697</v>
      </c>
      <c r="E1563" t="str">
        <f>VLOOKUP(B1563,'PROCV GERENTES BD'!A:B,2,0)</f>
        <v>POENATELA</v>
      </c>
      <c r="F1563" s="4" t="str">
        <f t="shared" si="124"/>
        <v>2025-02-1</v>
      </c>
      <c r="G1563" t="str">
        <f t="shared" si="120"/>
        <v>POENATELA</v>
      </c>
      <c r="H1563" t="str">
        <f t="shared" si="121"/>
        <v>JUATUBA MOVEIS E EMBALAGENS LTDA</v>
      </c>
      <c r="I1563">
        <f t="shared" si="122"/>
        <v>0</v>
      </c>
      <c r="J1563">
        <f t="shared" si="123"/>
        <v>0</v>
      </c>
    </row>
    <row r="1564" spans="1:10" x14ac:dyDescent="0.25">
      <c r="A1564" t="s">
        <v>428</v>
      </c>
      <c r="B1564" t="s">
        <v>177</v>
      </c>
      <c r="C1564" t="s">
        <v>72</v>
      </c>
      <c r="D1564" s="3">
        <v>45697</v>
      </c>
      <c r="E1564" t="str">
        <f>VLOOKUP(B1564,'PROCV GERENTES BD'!A:B,2,0)</f>
        <v>POENATELA</v>
      </c>
      <c r="F1564" s="4" t="str">
        <f t="shared" si="124"/>
        <v>2025-02-1</v>
      </c>
      <c r="G1564" t="str">
        <f t="shared" si="120"/>
        <v>POENATELA</v>
      </c>
      <c r="H1564" t="str">
        <f t="shared" si="121"/>
        <v>SAVIXX COMERCIO INTERNACIONAL S/A</v>
      </c>
      <c r="I1564">
        <f t="shared" si="122"/>
        <v>1</v>
      </c>
      <c r="J1564">
        <f t="shared" si="123"/>
        <v>0</v>
      </c>
    </row>
    <row r="1565" spans="1:10" x14ac:dyDescent="0.25">
      <c r="A1565" t="s">
        <v>478</v>
      </c>
      <c r="B1565" t="s">
        <v>234</v>
      </c>
      <c r="C1565" t="s">
        <v>72</v>
      </c>
      <c r="D1565" s="3">
        <v>45697</v>
      </c>
      <c r="E1565" t="str">
        <f>VLOOKUP(B1565,'PROCV GERENTES BD'!A:B,2,0)</f>
        <v>POENATELA</v>
      </c>
      <c r="F1565" s="4" t="str">
        <f t="shared" si="124"/>
        <v>2025-02-1</v>
      </c>
      <c r="G1565" t="str">
        <f t="shared" si="120"/>
        <v>POENATELA</v>
      </c>
      <c r="H1565" t="str">
        <f t="shared" si="121"/>
        <v>SH METALIZACOES LTDA EPP</v>
      </c>
      <c r="I1565">
        <f t="shared" si="122"/>
        <v>1</v>
      </c>
      <c r="J1565">
        <f t="shared" si="123"/>
        <v>0</v>
      </c>
    </row>
    <row r="1566" spans="1:10" x14ac:dyDescent="0.25">
      <c r="A1566" t="s">
        <v>460</v>
      </c>
      <c r="B1566" t="s">
        <v>216</v>
      </c>
      <c r="C1566" t="s">
        <v>56</v>
      </c>
      <c r="D1566" s="3">
        <v>45697</v>
      </c>
      <c r="E1566" t="str">
        <f>VLOOKUP(B1566,'PROCV GERENTES BD'!A:B,2,0)</f>
        <v>PRISCILA METZ</v>
      </c>
      <c r="F1566" s="4" t="str">
        <f t="shared" si="124"/>
        <v>2025-02-1</v>
      </c>
      <c r="G1566" t="str">
        <f t="shared" si="120"/>
        <v>PRISCILA METZ</v>
      </c>
      <c r="H1566" t="str">
        <f t="shared" si="121"/>
        <v>D M RODRIGUES LTDA ME</v>
      </c>
      <c r="I1566">
        <f t="shared" si="122"/>
        <v>0</v>
      </c>
      <c r="J1566">
        <f t="shared" si="123"/>
        <v>1</v>
      </c>
    </row>
    <row r="1567" spans="1:10" x14ac:dyDescent="0.25">
      <c r="A1567" t="s">
        <v>484</v>
      </c>
      <c r="B1567" t="s">
        <v>240</v>
      </c>
      <c r="C1567" t="s">
        <v>72</v>
      </c>
      <c r="D1567" s="3">
        <v>45697</v>
      </c>
      <c r="E1567" t="str">
        <f>VLOOKUP(B1567,'PROCV GERENTES BD'!A:B,2,0)</f>
        <v>PRISCILA METZ</v>
      </c>
      <c r="F1567" s="4" t="str">
        <f t="shared" si="124"/>
        <v>2025-02-1</v>
      </c>
      <c r="G1567" t="str">
        <f t="shared" si="120"/>
        <v>PRISCILA METZ</v>
      </c>
      <c r="H1567" t="str">
        <f t="shared" si="121"/>
        <v>TERRAPLAST INDUSTRIA E COMERCIO DE EQUIPAMENTOS DE</v>
      </c>
      <c r="I1567">
        <f t="shared" si="122"/>
        <v>1</v>
      </c>
      <c r="J1567">
        <f t="shared" si="123"/>
        <v>0</v>
      </c>
    </row>
    <row r="1568" spans="1:10" x14ac:dyDescent="0.25">
      <c r="A1568" t="s">
        <v>442</v>
      </c>
      <c r="B1568" t="s">
        <v>192</v>
      </c>
      <c r="C1568" t="s">
        <v>59</v>
      </c>
      <c r="D1568" s="3">
        <v>45697</v>
      </c>
      <c r="E1568" t="str">
        <f>VLOOKUP(B1568,'PROCV GERENTES BD'!A:B,2,0)</f>
        <v>RAFAEL PARISE</v>
      </c>
      <c r="F1568" s="4" t="str">
        <f t="shared" si="124"/>
        <v>2025-02-1</v>
      </c>
      <c r="G1568" t="str">
        <f t="shared" si="120"/>
        <v>RAFAEL PARISE</v>
      </c>
      <c r="H1568" t="str">
        <f t="shared" si="121"/>
        <v>MARCAS COMERCIO LTDA ME</v>
      </c>
      <c r="I1568">
        <f t="shared" si="122"/>
        <v>0</v>
      </c>
      <c r="J1568">
        <f t="shared" si="123"/>
        <v>0</v>
      </c>
    </row>
    <row r="1569" spans="1:10" x14ac:dyDescent="0.25">
      <c r="A1569" t="s">
        <v>333</v>
      </c>
      <c r="B1569" t="s">
        <v>129</v>
      </c>
      <c r="C1569" t="s">
        <v>56</v>
      </c>
      <c r="D1569" s="3">
        <v>45697</v>
      </c>
      <c r="E1569" t="s">
        <v>25</v>
      </c>
      <c r="F1569" s="4" t="str">
        <f t="shared" si="124"/>
        <v>2025-02-1</v>
      </c>
      <c r="G1569" t="str">
        <f t="shared" si="120"/>
        <v xml:space="preserve">ROGERIO </v>
      </c>
      <c r="H1569" t="str">
        <f t="shared" si="121"/>
        <v>BIBE PRODUTOS INFANTIS LTDA</v>
      </c>
      <c r="I1569">
        <f t="shared" si="122"/>
        <v>0</v>
      </c>
      <c r="J1569">
        <f t="shared" si="123"/>
        <v>1</v>
      </c>
    </row>
    <row r="1570" spans="1:10" x14ac:dyDescent="0.25">
      <c r="A1570" t="s">
        <v>469</v>
      </c>
      <c r="B1570" t="s">
        <v>225</v>
      </c>
      <c r="C1570" t="s">
        <v>72</v>
      </c>
      <c r="D1570" s="3">
        <v>45697</v>
      </c>
      <c r="E1570" t="str">
        <f>VLOOKUP(B1570,'PROCV GERENTES BD'!A:B,2,0)</f>
        <v>SEM GERENTE</v>
      </c>
      <c r="F1570" s="4" t="str">
        <f t="shared" si="124"/>
        <v>2025-02-1</v>
      </c>
      <c r="G1570" t="str">
        <f t="shared" si="120"/>
        <v>SEM GERENTE</v>
      </c>
      <c r="H1570" t="str">
        <f t="shared" si="121"/>
        <v>KUARA COMERCIAL E EXPORTADORA DE FRUTAS LTDA</v>
      </c>
      <c r="I1570">
        <f t="shared" si="122"/>
        <v>1</v>
      </c>
      <c r="J1570">
        <f t="shared" si="123"/>
        <v>0</v>
      </c>
    </row>
    <row r="1571" spans="1:10" x14ac:dyDescent="0.25">
      <c r="A1571" t="s">
        <v>321</v>
      </c>
      <c r="B1571" t="s">
        <v>104</v>
      </c>
      <c r="C1571" t="s">
        <v>56</v>
      </c>
      <c r="D1571" s="3">
        <v>45697</v>
      </c>
      <c r="E1571" t="str">
        <f>VLOOKUP(B1571,'PROCV GERENTES BD'!A:B,2,0)</f>
        <v>THAYNA/COMERCIAL</v>
      </c>
      <c r="F1571" s="4" t="str">
        <f t="shared" si="124"/>
        <v>2025-02-1</v>
      </c>
      <c r="G1571" t="str">
        <f t="shared" si="120"/>
        <v>THAYNA/COMERCIAL</v>
      </c>
      <c r="H1571" t="str">
        <f t="shared" si="121"/>
        <v>MUTCD CENTRO DISTRIBUICAO IND FABRICANTE COSMETICO</v>
      </c>
      <c r="I1571">
        <f t="shared" si="122"/>
        <v>0</v>
      </c>
      <c r="J1571">
        <f t="shared" si="123"/>
        <v>1</v>
      </c>
    </row>
    <row r="1572" spans="1:10" x14ac:dyDescent="0.25">
      <c r="A1572" t="s">
        <v>474</v>
      </c>
      <c r="B1572" t="s">
        <v>230</v>
      </c>
      <c r="C1572" t="s">
        <v>72</v>
      </c>
      <c r="D1572" s="6">
        <v>45737</v>
      </c>
      <c r="E1572" t="s">
        <v>8</v>
      </c>
      <c r="F1572" s="4" t="str">
        <f t="shared" si="124"/>
        <v>2025-03-2</v>
      </c>
      <c r="G1572" t="str">
        <f t="shared" si="120"/>
        <v>CELIO PIMENTA</v>
      </c>
      <c r="H1572" t="str">
        <f t="shared" si="121"/>
        <v>ACO X LTDA ME</v>
      </c>
      <c r="I1572">
        <f t="shared" si="122"/>
        <v>1</v>
      </c>
      <c r="J1572">
        <f t="shared" si="123"/>
        <v>0</v>
      </c>
    </row>
    <row r="1573" spans="1:10" x14ac:dyDescent="0.25">
      <c r="A1573" t="s">
        <v>326</v>
      </c>
      <c r="B1573" t="s">
        <v>86</v>
      </c>
      <c r="C1573" t="s">
        <v>56</v>
      </c>
      <c r="D1573" s="6">
        <v>45737</v>
      </c>
      <c r="E1573" t="s">
        <v>8</v>
      </c>
      <c r="F1573" s="4" t="str">
        <f t="shared" si="124"/>
        <v>2025-03-2</v>
      </c>
      <c r="G1573" t="str">
        <f t="shared" si="120"/>
        <v>CELIO PIMENTA</v>
      </c>
      <c r="H1573" t="str">
        <f t="shared" si="121"/>
        <v>IMPORTEXTIL COMERCIO DE TECIDOS LTDA</v>
      </c>
      <c r="I1573">
        <f t="shared" si="122"/>
        <v>0</v>
      </c>
      <c r="J1573">
        <f t="shared" si="123"/>
        <v>1</v>
      </c>
    </row>
    <row r="1574" spans="1:10" x14ac:dyDescent="0.25">
      <c r="A1574" t="s">
        <v>458</v>
      </c>
      <c r="B1574" t="s">
        <v>214</v>
      </c>
      <c r="C1574" t="s">
        <v>56</v>
      </c>
      <c r="D1574" s="6">
        <v>45737</v>
      </c>
      <c r="E1574" t="s">
        <v>8</v>
      </c>
      <c r="F1574" s="4" t="str">
        <f t="shared" si="124"/>
        <v>2025-03-2</v>
      </c>
      <c r="G1574" t="str">
        <f t="shared" si="120"/>
        <v>CELIO PIMENTA</v>
      </c>
      <c r="H1574" t="str">
        <f t="shared" si="121"/>
        <v>LIDER COMERCIO DE UNIFORMES E EPI S LTDA ME</v>
      </c>
      <c r="I1574">
        <f t="shared" si="122"/>
        <v>0</v>
      </c>
      <c r="J1574">
        <f t="shared" si="123"/>
        <v>1</v>
      </c>
    </row>
    <row r="1575" spans="1:10" x14ac:dyDescent="0.25">
      <c r="A1575" t="s">
        <v>60</v>
      </c>
      <c r="B1575" t="s">
        <v>61</v>
      </c>
      <c r="C1575" t="s">
        <v>56</v>
      </c>
      <c r="D1575" s="6">
        <v>45737</v>
      </c>
      <c r="E1575" t="s">
        <v>8</v>
      </c>
      <c r="F1575" s="4" t="str">
        <f t="shared" si="124"/>
        <v>2025-03-2</v>
      </c>
      <c r="G1575" t="str">
        <f t="shared" si="120"/>
        <v>CELIO PIMENTA</v>
      </c>
      <c r="H1575" t="str">
        <f t="shared" si="121"/>
        <v>WJ CALDEIRARIA INDUSTRIA E COMERCIO LTDA ME</v>
      </c>
      <c r="I1575">
        <f t="shared" si="122"/>
        <v>0</v>
      </c>
      <c r="J1575">
        <f t="shared" si="123"/>
        <v>1</v>
      </c>
    </row>
    <row r="1576" spans="1:10" x14ac:dyDescent="0.25">
      <c r="A1576" t="s">
        <v>485</v>
      </c>
      <c r="B1576" t="s">
        <v>241</v>
      </c>
      <c r="C1576" t="s">
        <v>72</v>
      </c>
      <c r="D1576" s="6">
        <v>45737</v>
      </c>
      <c r="E1576" t="s">
        <v>39</v>
      </c>
      <c r="F1576" s="4" t="str">
        <f t="shared" si="124"/>
        <v>2025-03-2</v>
      </c>
      <c r="G1576" t="str">
        <f t="shared" si="120"/>
        <v>EDUARDO MATOSO</v>
      </c>
      <c r="H1576" t="str">
        <f t="shared" si="121"/>
        <v>FUMEF FUNDICAO E MECANICA DE FERROS LTDA</v>
      </c>
      <c r="I1576">
        <f t="shared" si="122"/>
        <v>1</v>
      </c>
      <c r="J1576">
        <f t="shared" si="123"/>
        <v>0</v>
      </c>
    </row>
    <row r="1577" spans="1:10" x14ac:dyDescent="0.25">
      <c r="A1577" t="s">
        <v>418</v>
      </c>
      <c r="B1577" t="s">
        <v>167</v>
      </c>
      <c r="C1577" t="s">
        <v>56</v>
      </c>
      <c r="D1577" s="6">
        <v>45737</v>
      </c>
      <c r="E1577" t="s">
        <v>10</v>
      </c>
      <c r="F1577" s="4" t="str">
        <f t="shared" si="124"/>
        <v>2025-03-2</v>
      </c>
      <c r="G1577" t="str">
        <f t="shared" si="120"/>
        <v>FITZ</v>
      </c>
      <c r="H1577" t="str">
        <f t="shared" si="121"/>
        <v>ESCUDO ADMINISTRACAO E SERVICOS LTDA EM RECUPERACA</v>
      </c>
      <c r="I1577">
        <f t="shared" si="122"/>
        <v>0</v>
      </c>
      <c r="J1577">
        <f t="shared" si="123"/>
        <v>1</v>
      </c>
    </row>
    <row r="1578" spans="1:10" x14ac:dyDescent="0.25">
      <c r="A1578" t="s">
        <v>419</v>
      </c>
      <c r="B1578" t="s">
        <v>168</v>
      </c>
      <c r="C1578" t="s">
        <v>56</v>
      </c>
      <c r="D1578" s="6">
        <v>45737</v>
      </c>
      <c r="E1578" t="s">
        <v>10</v>
      </c>
      <c r="F1578" s="4" t="str">
        <f t="shared" si="124"/>
        <v>2025-03-2</v>
      </c>
      <c r="G1578" t="str">
        <f t="shared" si="120"/>
        <v>FITZ</v>
      </c>
      <c r="H1578" t="str">
        <f t="shared" si="121"/>
        <v>ESCUDO VIGILANCIA E SEGURANCA LTDA EM RECUPERACAO</v>
      </c>
      <c r="I1578">
        <f t="shared" si="122"/>
        <v>0</v>
      </c>
      <c r="J1578">
        <f t="shared" si="123"/>
        <v>1</v>
      </c>
    </row>
    <row r="1579" spans="1:10" x14ac:dyDescent="0.25">
      <c r="A1579" t="s">
        <v>410</v>
      </c>
      <c r="B1579" t="s">
        <v>159</v>
      </c>
      <c r="C1579" t="s">
        <v>56</v>
      </c>
      <c r="D1579" s="6">
        <v>45737</v>
      </c>
      <c r="E1579" t="s">
        <v>10</v>
      </c>
      <c r="F1579" s="4" t="str">
        <f t="shared" si="124"/>
        <v>2025-03-2</v>
      </c>
      <c r="G1579" t="str">
        <f t="shared" si="120"/>
        <v>FITZ</v>
      </c>
      <c r="H1579" t="str">
        <f t="shared" si="121"/>
        <v>MOINHO DE TRIGO JM LTDA</v>
      </c>
      <c r="I1579">
        <f t="shared" si="122"/>
        <v>0</v>
      </c>
      <c r="J1579">
        <f t="shared" si="123"/>
        <v>1</v>
      </c>
    </row>
    <row r="1580" spans="1:10" x14ac:dyDescent="0.25">
      <c r="A1580" t="s">
        <v>420</v>
      </c>
      <c r="B1580" t="s">
        <v>169</v>
      </c>
      <c r="C1580" t="s">
        <v>56</v>
      </c>
      <c r="D1580" s="6">
        <v>45737</v>
      </c>
      <c r="E1580" t="s">
        <v>10</v>
      </c>
      <c r="F1580" s="4" t="str">
        <f t="shared" si="124"/>
        <v>2025-03-2</v>
      </c>
      <c r="G1580" t="str">
        <f t="shared" si="120"/>
        <v>FITZ</v>
      </c>
      <c r="H1580" t="str">
        <f t="shared" si="121"/>
        <v>MORIA PRESTACAO DE SERVICOS LTDA ME</v>
      </c>
      <c r="I1580">
        <f t="shared" si="122"/>
        <v>0</v>
      </c>
      <c r="J1580">
        <f t="shared" si="123"/>
        <v>1</v>
      </c>
    </row>
    <row r="1581" spans="1:10" x14ac:dyDescent="0.25">
      <c r="A1581" t="s">
        <v>486</v>
      </c>
      <c r="B1581" t="s">
        <v>242</v>
      </c>
      <c r="C1581" t="s">
        <v>56</v>
      </c>
      <c r="D1581" s="6">
        <v>45737</v>
      </c>
      <c r="E1581" t="s">
        <v>10</v>
      </c>
      <c r="F1581" s="4" t="str">
        <f t="shared" si="124"/>
        <v>2025-03-2</v>
      </c>
      <c r="G1581" t="str">
        <f t="shared" si="120"/>
        <v>FITZ</v>
      </c>
      <c r="H1581" t="str">
        <f t="shared" si="121"/>
        <v>NUTRIENS FERTIL LTDA ME</v>
      </c>
      <c r="I1581">
        <f t="shared" si="122"/>
        <v>0</v>
      </c>
      <c r="J1581">
        <f t="shared" si="123"/>
        <v>1</v>
      </c>
    </row>
    <row r="1582" spans="1:10" x14ac:dyDescent="0.25">
      <c r="A1582" t="s">
        <v>487</v>
      </c>
      <c r="B1582" t="s">
        <v>243</v>
      </c>
      <c r="C1582" t="s">
        <v>56</v>
      </c>
      <c r="D1582" s="6">
        <v>45737</v>
      </c>
      <c r="E1582" t="s">
        <v>10</v>
      </c>
      <c r="F1582" s="4" t="str">
        <f t="shared" si="124"/>
        <v>2025-03-2</v>
      </c>
      <c r="G1582" t="str">
        <f t="shared" si="120"/>
        <v>FITZ</v>
      </c>
      <c r="H1582" t="str">
        <f t="shared" si="121"/>
        <v>ONFARM BRASIL LTDA ME</v>
      </c>
      <c r="I1582">
        <f t="shared" si="122"/>
        <v>0</v>
      </c>
      <c r="J1582">
        <f t="shared" si="123"/>
        <v>1</v>
      </c>
    </row>
    <row r="1583" spans="1:10" x14ac:dyDescent="0.25">
      <c r="A1583" t="s">
        <v>403</v>
      </c>
      <c r="B1583" t="s">
        <v>152</v>
      </c>
      <c r="C1583" t="s">
        <v>56</v>
      </c>
      <c r="D1583" s="6">
        <v>45737</v>
      </c>
      <c r="E1583" t="s">
        <v>13</v>
      </c>
      <c r="F1583" s="4" t="str">
        <f t="shared" si="124"/>
        <v>2025-03-2</v>
      </c>
      <c r="G1583" t="str">
        <f t="shared" si="120"/>
        <v>MARCIO LEONEL</v>
      </c>
      <c r="H1583" t="str">
        <f t="shared" si="121"/>
        <v>MEDICAL PRIME IMP EXPORT DISTRIB PRODUTOS MEDICOS</v>
      </c>
      <c r="I1583">
        <f t="shared" si="122"/>
        <v>0</v>
      </c>
      <c r="J1583">
        <f t="shared" si="123"/>
        <v>1</v>
      </c>
    </row>
    <row r="1584" spans="1:10" x14ac:dyDescent="0.25">
      <c r="A1584" t="s">
        <v>66</v>
      </c>
      <c r="B1584" t="s">
        <v>67</v>
      </c>
      <c r="C1584" t="s">
        <v>56</v>
      </c>
      <c r="D1584" s="6">
        <v>45737</v>
      </c>
      <c r="E1584" t="s">
        <v>14</v>
      </c>
      <c r="F1584" s="4" t="str">
        <f t="shared" si="124"/>
        <v>2025-03-2</v>
      </c>
      <c r="G1584" t="str">
        <f t="shared" si="120"/>
        <v xml:space="preserve">MARCUS VINICIUS </v>
      </c>
      <c r="H1584" t="str">
        <f t="shared" si="121"/>
        <v>COM IND DE CEREAIS E TRANSPORTES MACIEL LTDA</v>
      </c>
      <c r="I1584">
        <f t="shared" si="122"/>
        <v>0</v>
      </c>
      <c r="J1584">
        <f t="shared" si="123"/>
        <v>1</v>
      </c>
    </row>
    <row r="1585" spans="1:10" x14ac:dyDescent="0.25">
      <c r="A1585" t="s">
        <v>314</v>
      </c>
      <c r="B1585" t="s">
        <v>108</v>
      </c>
      <c r="C1585" t="s">
        <v>72</v>
      </c>
      <c r="D1585" s="6">
        <v>45737</v>
      </c>
      <c r="E1585" t="s">
        <v>18</v>
      </c>
      <c r="F1585" s="4" t="str">
        <f t="shared" si="124"/>
        <v>2025-03-2</v>
      </c>
      <c r="G1585" t="str">
        <f t="shared" si="120"/>
        <v>POENATELA</v>
      </c>
      <c r="H1585" t="str">
        <f t="shared" si="121"/>
        <v>ECOPINUS INDUSTRIA E COMERCIO DE EMBALAGENS DE MAD</v>
      </c>
      <c r="I1585">
        <f t="shared" si="122"/>
        <v>1</v>
      </c>
      <c r="J1585">
        <f t="shared" si="123"/>
        <v>0</v>
      </c>
    </row>
    <row r="1586" spans="1:10" x14ac:dyDescent="0.25">
      <c r="A1586" t="s">
        <v>483</v>
      </c>
      <c r="B1586" t="s">
        <v>239</v>
      </c>
      <c r="C1586" t="s">
        <v>72</v>
      </c>
      <c r="D1586" s="6">
        <v>45737</v>
      </c>
      <c r="E1586" t="s">
        <v>18</v>
      </c>
      <c r="F1586" s="4" t="str">
        <f t="shared" si="124"/>
        <v>2025-03-2</v>
      </c>
      <c r="G1586" t="str">
        <f t="shared" si="120"/>
        <v>POENATELA</v>
      </c>
      <c r="H1586" t="str">
        <f t="shared" si="121"/>
        <v>JUATUBA MOVEIS E EMBALAGENS LTDA</v>
      </c>
      <c r="I1586">
        <f t="shared" si="122"/>
        <v>1</v>
      </c>
      <c r="J1586">
        <f t="shared" si="123"/>
        <v>0</v>
      </c>
    </row>
    <row r="1587" spans="1:10" x14ac:dyDescent="0.25">
      <c r="A1587" t="s">
        <v>488</v>
      </c>
      <c r="B1587" t="s">
        <v>244</v>
      </c>
      <c r="C1587" t="s">
        <v>72</v>
      </c>
      <c r="D1587" s="6">
        <v>45737</v>
      </c>
      <c r="E1587" t="s">
        <v>18</v>
      </c>
      <c r="F1587" s="4" t="str">
        <f t="shared" si="124"/>
        <v>2025-03-2</v>
      </c>
      <c r="G1587" t="str">
        <f t="shared" si="120"/>
        <v>POENATELA</v>
      </c>
      <c r="H1587" t="str">
        <f t="shared" si="121"/>
        <v>PARANAIBA FERTILIZANTES IND E COM LTDA EM RECUPERA</v>
      </c>
      <c r="I1587">
        <f t="shared" si="122"/>
        <v>1</v>
      </c>
      <c r="J1587">
        <f t="shared" si="123"/>
        <v>0</v>
      </c>
    </row>
    <row r="1588" spans="1:10" x14ac:dyDescent="0.25">
      <c r="A1588" t="s">
        <v>361</v>
      </c>
      <c r="B1588" t="s">
        <v>103</v>
      </c>
      <c r="C1588" t="s">
        <v>56</v>
      </c>
      <c r="D1588" s="6">
        <v>45737</v>
      </c>
      <c r="E1588" t="s">
        <v>19</v>
      </c>
      <c r="F1588" s="4" t="str">
        <f t="shared" si="124"/>
        <v>2025-03-2</v>
      </c>
      <c r="G1588" t="str">
        <f t="shared" si="120"/>
        <v>PRISCILA METZ</v>
      </c>
      <c r="H1588" t="str">
        <f t="shared" si="121"/>
        <v>ESSENZA INDUSTRIA QUIMICA LTDA</v>
      </c>
      <c r="I1588">
        <f t="shared" si="122"/>
        <v>0</v>
      </c>
      <c r="J1588">
        <f t="shared" si="123"/>
        <v>1</v>
      </c>
    </row>
    <row r="1589" spans="1:10" x14ac:dyDescent="0.25">
      <c r="A1589" t="s">
        <v>489</v>
      </c>
      <c r="B1589" t="s">
        <v>245</v>
      </c>
      <c r="C1589" t="s">
        <v>72</v>
      </c>
      <c r="D1589" s="6">
        <v>45737</v>
      </c>
      <c r="E1589" t="s">
        <v>20</v>
      </c>
      <c r="F1589" s="4" t="str">
        <f t="shared" si="124"/>
        <v>2025-03-2</v>
      </c>
      <c r="G1589" t="str">
        <f t="shared" si="120"/>
        <v>RAFAEL PARISE</v>
      </c>
      <c r="H1589" t="str">
        <f t="shared" si="121"/>
        <v>IVA LOCACOES E CONSTRUCOES LTDA EPP</v>
      </c>
      <c r="I1589">
        <f t="shared" si="122"/>
        <v>1</v>
      </c>
      <c r="J1589">
        <f t="shared" si="123"/>
        <v>0</v>
      </c>
    </row>
    <row r="1590" spans="1:10" x14ac:dyDescent="0.25">
      <c r="A1590" t="s">
        <v>490</v>
      </c>
      <c r="B1590" t="s">
        <v>246</v>
      </c>
      <c r="C1590" t="s">
        <v>56</v>
      </c>
      <c r="D1590" s="6">
        <v>45737</v>
      </c>
      <c r="E1590" t="s">
        <v>20</v>
      </c>
      <c r="F1590" s="4" t="str">
        <f t="shared" si="124"/>
        <v>2025-03-2</v>
      </c>
      <c r="G1590" t="str">
        <f t="shared" si="120"/>
        <v>RAFAEL PARISE</v>
      </c>
      <c r="H1590" t="str">
        <f t="shared" si="121"/>
        <v>RENOVAR AGRICOLA LTDA</v>
      </c>
      <c r="I1590">
        <f t="shared" si="122"/>
        <v>0</v>
      </c>
      <c r="J1590">
        <f t="shared" si="123"/>
        <v>1</v>
      </c>
    </row>
    <row r="1591" spans="1:10" x14ac:dyDescent="0.25">
      <c r="A1591" t="s">
        <v>82</v>
      </c>
      <c r="B1591" t="s">
        <v>83</v>
      </c>
      <c r="C1591" t="s">
        <v>56</v>
      </c>
      <c r="D1591" s="6">
        <v>45737</v>
      </c>
      <c r="E1591" t="s">
        <v>20</v>
      </c>
      <c r="F1591" s="4" t="str">
        <f t="shared" si="124"/>
        <v>2025-03-2</v>
      </c>
      <c r="G1591" t="str">
        <f t="shared" si="120"/>
        <v>RAFAEL PARISE</v>
      </c>
      <c r="H1591" t="str">
        <f t="shared" si="121"/>
        <v>UNITA AUTO PECAS LTDA EPP</v>
      </c>
      <c r="I1591">
        <f t="shared" si="122"/>
        <v>0</v>
      </c>
      <c r="J1591">
        <f t="shared" si="123"/>
        <v>1</v>
      </c>
    </row>
    <row r="1592" spans="1:10" x14ac:dyDescent="0.25">
      <c r="A1592" t="s">
        <v>73</v>
      </c>
      <c r="B1592" t="s">
        <v>74</v>
      </c>
      <c r="C1592" t="s">
        <v>56</v>
      </c>
      <c r="D1592" s="6">
        <v>45737</v>
      </c>
      <c r="E1592" t="s">
        <v>25</v>
      </c>
      <c r="F1592" s="4" t="str">
        <f t="shared" si="124"/>
        <v>2025-03-2</v>
      </c>
      <c r="G1592" t="str">
        <f t="shared" si="120"/>
        <v xml:space="preserve">ROGERIO </v>
      </c>
      <c r="H1592" t="str">
        <f t="shared" si="121"/>
        <v>DIOTTONI INDUSTRIA E COMERCIO DE ALIMENTOS LTDA ME</v>
      </c>
      <c r="I1592">
        <f t="shared" si="122"/>
        <v>0</v>
      </c>
      <c r="J1592">
        <f t="shared" si="123"/>
        <v>1</v>
      </c>
    </row>
    <row r="1593" spans="1:10" x14ac:dyDescent="0.25">
      <c r="A1593" t="s">
        <v>482</v>
      </c>
      <c r="B1593" t="s">
        <v>238</v>
      </c>
      <c r="C1593" t="s">
        <v>56</v>
      </c>
      <c r="D1593" s="6">
        <v>45737</v>
      </c>
      <c r="E1593" t="s">
        <v>21</v>
      </c>
      <c r="F1593" s="4" t="str">
        <f t="shared" si="124"/>
        <v>2025-03-2</v>
      </c>
      <c r="G1593" t="str">
        <f t="shared" si="120"/>
        <v>SEM GERENTE</v>
      </c>
      <c r="H1593" t="str">
        <f t="shared" si="121"/>
        <v>GRAFICA ROMANA LTDA ME</v>
      </c>
      <c r="I1593">
        <f t="shared" si="122"/>
        <v>0</v>
      </c>
      <c r="J1593">
        <f t="shared" si="123"/>
        <v>1</v>
      </c>
    </row>
    <row r="1594" spans="1:10" x14ac:dyDescent="0.25">
      <c r="A1594" t="s">
        <v>434</v>
      </c>
      <c r="B1594" t="s">
        <v>184</v>
      </c>
      <c r="C1594" t="s">
        <v>56</v>
      </c>
      <c r="D1594" s="6">
        <v>45737</v>
      </c>
      <c r="E1594" t="str">
        <f>VLOOKUP(B1594,'PROCV GERENTES BD'!A:B,2,0)</f>
        <v>WHELKYA IRIS</v>
      </c>
      <c r="F1594" s="4" t="str">
        <f t="shared" si="124"/>
        <v>2025-03-2</v>
      </c>
      <c r="G1594" t="str">
        <f t="shared" si="120"/>
        <v>WHELKYA IRIS</v>
      </c>
      <c r="H1594" t="str">
        <f t="shared" si="121"/>
        <v>JFIX INDUSTRIA QUIMICA LTDA ME</v>
      </c>
      <c r="I1594">
        <f t="shared" si="122"/>
        <v>0</v>
      </c>
      <c r="J1594">
        <f t="shared" si="123"/>
        <v>1</v>
      </c>
    </row>
    <row r="1595" spans="1:10" x14ac:dyDescent="0.25">
      <c r="A1595" t="s">
        <v>339</v>
      </c>
      <c r="B1595" t="s">
        <v>151</v>
      </c>
      <c r="C1595" t="s">
        <v>72</v>
      </c>
      <c r="D1595" s="6">
        <v>45738</v>
      </c>
      <c r="E1595" t="str">
        <f>VLOOKUP(B1595,'PROCV GERENTES BD'!A:B,2,0)</f>
        <v>ADMINISTRAÇÃO</v>
      </c>
      <c r="F1595" s="4" t="str">
        <f t="shared" si="124"/>
        <v>2025-03-2</v>
      </c>
      <c r="G1595" t="str">
        <f t="shared" si="120"/>
        <v>ADMINISTRAÇÃO</v>
      </c>
      <c r="H1595" t="str">
        <f t="shared" si="121"/>
        <v>BOM PASTOR PAPEIS LTDA EM RECUPERACAO JUDICIAL</v>
      </c>
      <c r="I1595">
        <f t="shared" si="122"/>
        <v>1</v>
      </c>
      <c r="J1595">
        <f t="shared" si="123"/>
        <v>0</v>
      </c>
    </row>
    <row r="1596" spans="1:10" x14ac:dyDescent="0.25">
      <c r="A1596" t="s">
        <v>326</v>
      </c>
      <c r="B1596" t="s">
        <v>86</v>
      </c>
      <c r="C1596" t="s">
        <v>56</v>
      </c>
      <c r="D1596" s="6">
        <v>45738</v>
      </c>
      <c r="E1596" t="s">
        <v>8</v>
      </c>
      <c r="F1596" s="4" t="str">
        <f t="shared" si="124"/>
        <v>2025-03-2</v>
      </c>
      <c r="G1596" t="str">
        <f t="shared" si="120"/>
        <v>CELIO PIMENTA</v>
      </c>
      <c r="H1596" t="str">
        <f t="shared" si="121"/>
        <v>IMPORTEXTIL COMERCIO DE TECIDOS LTDA</v>
      </c>
      <c r="I1596">
        <f t="shared" si="122"/>
        <v>0</v>
      </c>
      <c r="J1596">
        <f t="shared" si="123"/>
        <v>1</v>
      </c>
    </row>
    <row r="1597" spans="1:10" x14ac:dyDescent="0.25">
      <c r="A1597" t="s">
        <v>458</v>
      </c>
      <c r="B1597" t="s">
        <v>214</v>
      </c>
      <c r="C1597" t="s">
        <v>56</v>
      </c>
      <c r="D1597" s="6">
        <v>45738</v>
      </c>
      <c r="E1597" t="s">
        <v>8</v>
      </c>
      <c r="F1597" s="4" t="str">
        <f t="shared" si="124"/>
        <v>2025-03-2</v>
      </c>
      <c r="G1597" t="str">
        <f t="shared" si="120"/>
        <v>CELIO PIMENTA</v>
      </c>
      <c r="H1597" t="str">
        <f t="shared" si="121"/>
        <v>LIDER COMERCIO DE UNIFORMES E EPI S LTDA ME</v>
      </c>
      <c r="I1597">
        <f t="shared" si="122"/>
        <v>0</v>
      </c>
      <c r="J1597">
        <f t="shared" si="123"/>
        <v>1</v>
      </c>
    </row>
    <row r="1598" spans="1:10" x14ac:dyDescent="0.25">
      <c r="A1598" t="s">
        <v>475</v>
      </c>
      <c r="B1598" t="s">
        <v>231</v>
      </c>
      <c r="C1598" t="s">
        <v>56</v>
      </c>
      <c r="D1598" s="6">
        <v>45738</v>
      </c>
      <c r="E1598" t="s">
        <v>9</v>
      </c>
      <c r="F1598" s="4" t="str">
        <f t="shared" si="124"/>
        <v>2025-03-2</v>
      </c>
      <c r="G1598" t="str">
        <f t="shared" si="120"/>
        <v>DIOGO AZEVEDO</v>
      </c>
      <c r="H1598" t="str">
        <f t="shared" si="121"/>
        <v>VGS COMERCIO DE EMBALAGENS DE MADEIRAS LTDA ME</v>
      </c>
      <c r="I1598">
        <f t="shared" si="122"/>
        <v>0</v>
      </c>
      <c r="J1598">
        <f t="shared" si="123"/>
        <v>1</v>
      </c>
    </row>
    <row r="1599" spans="1:10" x14ac:dyDescent="0.25">
      <c r="A1599" t="s">
        <v>451</v>
      </c>
      <c r="B1599" t="s">
        <v>201</v>
      </c>
      <c r="C1599" t="s">
        <v>72</v>
      </c>
      <c r="D1599" s="6">
        <v>45738</v>
      </c>
      <c r="E1599" t="s">
        <v>10</v>
      </c>
      <c r="F1599" s="4" t="str">
        <f t="shared" si="124"/>
        <v>2025-03-2</v>
      </c>
      <c r="G1599" t="str">
        <f t="shared" si="120"/>
        <v>FITZ</v>
      </c>
      <c r="H1599" t="str">
        <f t="shared" si="121"/>
        <v>ALPLAST ATACADISTA E APOIO ADMINISTRATIVO LTDA EPP</v>
      </c>
      <c r="I1599">
        <f t="shared" si="122"/>
        <v>1</v>
      </c>
      <c r="J1599">
        <f t="shared" si="123"/>
        <v>0</v>
      </c>
    </row>
    <row r="1600" spans="1:10" x14ac:dyDescent="0.25">
      <c r="A1600" t="s">
        <v>68</v>
      </c>
      <c r="B1600" t="s">
        <v>69</v>
      </c>
      <c r="C1600" t="s">
        <v>56</v>
      </c>
      <c r="D1600" s="6">
        <v>45738</v>
      </c>
      <c r="E1600" t="s">
        <v>10</v>
      </c>
      <c r="F1600" s="4" t="str">
        <f t="shared" si="124"/>
        <v>2025-03-2</v>
      </c>
      <c r="G1600" t="str">
        <f t="shared" si="120"/>
        <v>FITZ</v>
      </c>
      <c r="H1600" t="str">
        <f t="shared" si="121"/>
        <v>MAPP COM IMPORTACAO EXPORTACAO IND PRODUTOS ALIMEN</v>
      </c>
      <c r="I1600">
        <f t="shared" si="122"/>
        <v>0</v>
      </c>
      <c r="J1600">
        <f t="shared" si="123"/>
        <v>1</v>
      </c>
    </row>
    <row r="1601" spans="1:10" x14ac:dyDescent="0.25">
      <c r="A1601" t="s">
        <v>403</v>
      </c>
      <c r="B1601" t="s">
        <v>152</v>
      </c>
      <c r="C1601" t="s">
        <v>56</v>
      </c>
      <c r="D1601" s="6">
        <v>45738</v>
      </c>
      <c r="E1601" t="s">
        <v>13</v>
      </c>
      <c r="F1601" s="4" t="str">
        <f t="shared" si="124"/>
        <v>2025-03-2</v>
      </c>
      <c r="G1601" t="str">
        <f t="shared" si="120"/>
        <v>MARCIO LEONEL</v>
      </c>
      <c r="H1601" t="str">
        <f t="shared" si="121"/>
        <v>MEDICAL PRIME IMP EXPORT DISTRIB PRODUTOS MEDICOS</v>
      </c>
      <c r="I1601">
        <f t="shared" si="122"/>
        <v>0</v>
      </c>
      <c r="J1601">
        <f t="shared" si="123"/>
        <v>1</v>
      </c>
    </row>
    <row r="1602" spans="1:10" x14ac:dyDescent="0.25">
      <c r="A1602" t="s">
        <v>436</v>
      </c>
      <c r="B1602" t="s">
        <v>186</v>
      </c>
      <c r="C1602" t="s">
        <v>56</v>
      </c>
      <c r="D1602" s="6">
        <v>45738</v>
      </c>
      <c r="E1602" t="s">
        <v>14</v>
      </c>
      <c r="F1602" s="4" t="str">
        <f t="shared" si="124"/>
        <v>2025-03-2</v>
      </c>
      <c r="G1602" t="str">
        <f t="shared" ref="G1602:G1665" si="125">E1602</f>
        <v xml:space="preserve">MARCUS VINICIUS </v>
      </c>
      <c r="H1602" t="str">
        <f t="shared" ref="H1602:H1665" si="126">B1602</f>
        <v>LABOR ELETRIC INDUSTRIA E COMERCIO UNIPESSOAL LTDA</v>
      </c>
      <c r="I1602">
        <f t="shared" ref="I1602:I1665" si="127">IF(C1602="EXCLUSAO  ANOT.INADIMPLENCIA",1,0)</f>
        <v>0</v>
      </c>
      <c r="J1602">
        <f t="shared" ref="J1602:J1665" si="128">IF(C1602="INCLUSAO  ANOT.INADIMPLENCIA",1,0)</f>
        <v>1</v>
      </c>
    </row>
    <row r="1603" spans="1:10" x14ac:dyDescent="0.25">
      <c r="A1603" t="s">
        <v>404</v>
      </c>
      <c r="B1603" t="s">
        <v>153</v>
      </c>
      <c r="C1603" t="s">
        <v>72</v>
      </c>
      <c r="D1603" s="6">
        <v>45738</v>
      </c>
      <c r="E1603" t="s">
        <v>14</v>
      </c>
      <c r="F1603" s="4" t="str">
        <f t="shared" ref="F1603:F1666" si="129">YEAR(D1603)&amp;"-"&amp;TEXT(MONTH(D1603),"00")&amp;"-"&amp;IF(DAY(D1603)&lt;=15,"1",IF(DAY(D1603)&gt;15,"2",""))</f>
        <v>2025-03-2</v>
      </c>
      <c r="G1603" t="str">
        <f t="shared" si="125"/>
        <v xml:space="preserve">MARCUS VINICIUS </v>
      </c>
      <c r="H1603" t="str">
        <f t="shared" si="126"/>
        <v>OLINDA IMPORTACAO E COMERCIO LTDA</v>
      </c>
      <c r="I1603">
        <f t="shared" si="127"/>
        <v>1</v>
      </c>
      <c r="J1603">
        <f t="shared" si="128"/>
        <v>0</v>
      </c>
    </row>
    <row r="1604" spans="1:10" x14ac:dyDescent="0.25">
      <c r="A1604" t="s">
        <v>383</v>
      </c>
      <c r="B1604" t="s">
        <v>127</v>
      </c>
      <c r="C1604" t="s">
        <v>72</v>
      </c>
      <c r="D1604" s="6">
        <v>45738</v>
      </c>
      <c r="E1604" t="s">
        <v>15</v>
      </c>
      <c r="F1604" s="4" t="str">
        <f t="shared" si="129"/>
        <v>2025-03-2</v>
      </c>
      <c r="G1604" t="str">
        <f t="shared" si="125"/>
        <v>NATALIA NUBIA</v>
      </c>
      <c r="H1604" t="str">
        <f t="shared" si="126"/>
        <v>FARINELLI NUTRIMENTOS LTDA</v>
      </c>
      <c r="I1604">
        <f t="shared" si="127"/>
        <v>1</v>
      </c>
      <c r="J1604">
        <f t="shared" si="128"/>
        <v>0</v>
      </c>
    </row>
    <row r="1605" spans="1:10" x14ac:dyDescent="0.25">
      <c r="A1605" t="s">
        <v>426</v>
      </c>
      <c r="B1605" t="s">
        <v>175</v>
      </c>
      <c r="C1605" t="s">
        <v>56</v>
      </c>
      <c r="D1605" s="6">
        <v>45738</v>
      </c>
      <c r="E1605" t="s">
        <v>15</v>
      </c>
      <c r="F1605" s="4" t="str">
        <f t="shared" si="129"/>
        <v>2025-03-2</v>
      </c>
      <c r="G1605" t="str">
        <f t="shared" si="125"/>
        <v>NATALIA NUBIA</v>
      </c>
      <c r="H1605" t="str">
        <f t="shared" si="126"/>
        <v>MAAT COMERCIO DE VESTUARIO LTDA EPP</v>
      </c>
      <c r="I1605">
        <f t="shared" si="127"/>
        <v>0</v>
      </c>
      <c r="J1605">
        <f t="shared" si="128"/>
        <v>1</v>
      </c>
    </row>
    <row r="1606" spans="1:10" x14ac:dyDescent="0.25">
      <c r="A1606" t="s">
        <v>446</v>
      </c>
      <c r="B1606" t="s">
        <v>196</v>
      </c>
      <c r="C1606" t="s">
        <v>56</v>
      </c>
      <c r="D1606" s="6">
        <v>45738</v>
      </c>
      <c r="E1606" t="s">
        <v>16</v>
      </c>
      <c r="F1606" s="4" t="str">
        <f t="shared" si="129"/>
        <v>2025-03-2</v>
      </c>
      <c r="G1606" t="str">
        <f t="shared" si="125"/>
        <v>NOELI SALETE</v>
      </c>
      <c r="H1606" t="str">
        <f t="shared" si="126"/>
        <v>AGRO INDUSTRIAL LAZZERI LTDA</v>
      </c>
      <c r="I1606">
        <f t="shared" si="127"/>
        <v>0</v>
      </c>
      <c r="J1606">
        <f t="shared" si="128"/>
        <v>1</v>
      </c>
    </row>
    <row r="1607" spans="1:10" x14ac:dyDescent="0.25">
      <c r="A1607" t="s">
        <v>415</v>
      </c>
      <c r="B1607" t="s">
        <v>164</v>
      </c>
      <c r="C1607" t="s">
        <v>56</v>
      </c>
      <c r="D1607" s="6">
        <v>45738</v>
      </c>
      <c r="E1607" t="s">
        <v>40</v>
      </c>
      <c r="F1607" s="4" t="str">
        <f t="shared" si="129"/>
        <v>2025-03-2</v>
      </c>
      <c r="G1607" t="str">
        <f t="shared" si="125"/>
        <v xml:space="preserve">NOELI SALETE </v>
      </c>
      <c r="H1607" t="str">
        <f t="shared" si="126"/>
        <v>SGAMAQ INOVACAO AGROINDUSTRIAL LTDA</v>
      </c>
      <c r="I1607">
        <f t="shared" si="127"/>
        <v>0</v>
      </c>
      <c r="J1607">
        <f t="shared" si="128"/>
        <v>1</v>
      </c>
    </row>
    <row r="1608" spans="1:10" x14ac:dyDescent="0.25">
      <c r="A1608" t="s">
        <v>397</v>
      </c>
      <c r="B1608" t="s">
        <v>143</v>
      </c>
      <c r="C1608" t="s">
        <v>72</v>
      </c>
      <c r="D1608" s="6">
        <v>45738</v>
      </c>
      <c r="E1608" t="s">
        <v>18</v>
      </c>
      <c r="F1608" s="4" t="str">
        <f t="shared" si="129"/>
        <v>2025-03-2</v>
      </c>
      <c r="G1608" t="str">
        <f t="shared" si="125"/>
        <v>POENATELA</v>
      </c>
      <c r="H1608" t="str">
        <f t="shared" si="126"/>
        <v>CONQUISTA INDUSTRIA DE MOVEIS S/A</v>
      </c>
      <c r="I1608">
        <f t="shared" si="127"/>
        <v>1</v>
      </c>
      <c r="J1608">
        <f t="shared" si="128"/>
        <v>0</v>
      </c>
    </row>
    <row r="1609" spans="1:10" x14ac:dyDescent="0.25">
      <c r="A1609" t="s">
        <v>491</v>
      </c>
      <c r="B1609" t="s">
        <v>247</v>
      </c>
      <c r="C1609" t="s">
        <v>56</v>
      </c>
      <c r="D1609" s="6">
        <v>45738</v>
      </c>
      <c r="E1609" t="s">
        <v>19</v>
      </c>
      <c r="F1609" s="4" t="str">
        <f t="shared" si="129"/>
        <v>2025-03-2</v>
      </c>
      <c r="G1609" t="str">
        <f t="shared" si="125"/>
        <v>PRISCILA METZ</v>
      </c>
      <c r="H1609" t="str">
        <f t="shared" si="126"/>
        <v>A 8 ENGENHARIA LTDA ME</v>
      </c>
      <c r="I1609">
        <f t="shared" si="127"/>
        <v>0</v>
      </c>
      <c r="J1609">
        <f t="shared" si="128"/>
        <v>1</v>
      </c>
    </row>
    <row r="1610" spans="1:10" x14ac:dyDescent="0.25">
      <c r="A1610" t="s">
        <v>333</v>
      </c>
      <c r="B1610" t="s">
        <v>129</v>
      </c>
      <c r="C1610" t="s">
        <v>56</v>
      </c>
      <c r="D1610" s="6">
        <v>45738</v>
      </c>
      <c r="E1610" t="s">
        <v>25</v>
      </c>
      <c r="F1610" s="4" t="str">
        <f t="shared" si="129"/>
        <v>2025-03-2</v>
      </c>
      <c r="G1610" t="str">
        <f t="shared" si="125"/>
        <v xml:space="preserve">ROGERIO </v>
      </c>
      <c r="H1610" t="str">
        <f t="shared" si="126"/>
        <v>BIBE PRODUTOS INFANTIS LTDA</v>
      </c>
      <c r="I1610">
        <f t="shared" si="127"/>
        <v>0</v>
      </c>
      <c r="J1610">
        <f t="shared" si="128"/>
        <v>1</v>
      </c>
    </row>
    <row r="1611" spans="1:10" x14ac:dyDescent="0.25">
      <c r="A1611" t="s">
        <v>339</v>
      </c>
      <c r="B1611" t="s">
        <v>151</v>
      </c>
      <c r="C1611" t="s">
        <v>56</v>
      </c>
      <c r="D1611" s="6">
        <v>45741</v>
      </c>
      <c r="E1611" t="str">
        <f>VLOOKUP(B1611,'PROCV GERENTES BD'!A:B,2,0)</f>
        <v>ADMINISTRAÇÃO</v>
      </c>
      <c r="F1611" s="4" t="str">
        <f t="shared" si="129"/>
        <v>2025-03-2</v>
      </c>
      <c r="G1611" t="str">
        <f t="shared" si="125"/>
        <v>ADMINISTRAÇÃO</v>
      </c>
      <c r="H1611" t="str">
        <f t="shared" si="126"/>
        <v>BOM PASTOR PAPEIS LTDA EM RECUPERACAO JUDICIAL</v>
      </c>
      <c r="I1611">
        <f t="shared" si="127"/>
        <v>0</v>
      </c>
      <c r="J1611">
        <f t="shared" si="128"/>
        <v>1</v>
      </c>
    </row>
    <row r="1612" spans="1:10" x14ac:dyDescent="0.25">
      <c r="A1612" t="s">
        <v>492</v>
      </c>
      <c r="B1612" t="s">
        <v>248</v>
      </c>
      <c r="C1612" t="s">
        <v>56</v>
      </c>
      <c r="D1612" s="6">
        <v>45741</v>
      </c>
      <c r="E1612" t="str">
        <f>VLOOKUP(B1612,'PROCV GERENTES BD'!A:B,2,0)</f>
        <v>ADMINISTRAÇÃO</v>
      </c>
      <c r="F1612" s="4" t="str">
        <f t="shared" si="129"/>
        <v>2025-03-2</v>
      </c>
      <c r="G1612" t="str">
        <f t="shared" si="125"/>
        <v>ADMINISTRAÇÃO</v>
      </c>
      <c r="H1612" t="str">
        <f t="shared" si="126"/>
        <v>REAL FILTROS E ACESSORIOS AUTOMOTIVOS LTDA EPP</v>
      </c>
      <c r="I1612">
        <f t="shared" si="127"/>
        <v>0</v>
      </c>
      <c r="J1612">
        <f t="shared" si="128"/>
        <v>1</v>
      </c>
    </row>
    <row r="1613" spans="1:10" x14ac:dyDescent="0.25">
      <c r="A1613" t="s">
        <v>363</v>
      </c>
      <c r="B1613" t="s">
        <v>106</v>
      </c>
      <c r="C1613" t="s">
        <v>56</v>
      </c>
      <c r="D1613" s="6">
        <v>45741</v>
      </c>
      <c r="E1613" t="str">
        <f>VLOOKUP(B1613,'PROCV GERENTES BD'!A:B,2,0)</f>
        <v>ADMINISTRAÇÃO</v>
      </c>
      <c r="F1613" s="4" t="str">
        <f t="shared" si="129"/>
        <v>2025-03-2</v>
      </c>
      <c r="G1613" t="str">
        <f t="shared" si="125"/>
        <v>ADMINISTRAÇÃO</v>
      </c>
      <c r="H1613" t="str">
        <f t="shared" si="126"/>
        <v>DECISION DESENVOLVIMENTO DE SISTEMAS LTDA</v>
      </c>
      <c r="I1613">
        <f t="shared" si="127"/>
        <v>0</v>
      </c>
      <c r="J1613">
        <f t="shared" si="128"/>
        <v>1</v>
      </c>
    </row>
    <row r="1614" spans="1:10" x14ac:dyDescent="0.25">
      <c r="A1614" t="s">
        <v>380</v>
      </c>
      <c r="B1614" t="s">
        <v>123</v>
      </c>
      <c r="C1614" t="s">
        <v>56</v>
      </c>
      <c r="D1614" s="6">
        <v>45741</v>
      </c>
      <c r="E1614" t="s">
        <v>7</v>
      </c>
      <c r="F1614" s="4" t="str">
        <f t="shared" si="129"/>
        <v>2025-03-2</v>
      </c>
      <c r="G1614" t="str">
        <f t="shared" si="125"/>
        <v>ANTONIO CARLOS</v>
      </c>
      <c r="H1614" t="str">
        <f t="shared" si="126"/>
        <v>PREMOLDADOS MATOSINHOS LTDA EPP</v>
      </c>
      <c r="I1614">
        <f t="shared" si="127"/>
        <v>0</v>
      </c>
      <c r="J1614">
        <f t="shared" si="128"/>
        <v>1</v>
      </c>
    </row>
    <row r="1615" spans="1:10" x14ac:dyDescent="0.25">
      <c r="A1615" t="s">
        <v>450</v>
      </c>
      <c r="B1615" t="s">
        <v>200</v>
      </c>
      <c r="C1615" t="s">
        <v>72</v>
      </c>
      <c r="D1615" s="6">
        <v>45741</v>
      </c>
      <c r="E1615" t="s">
        <v>8</v>
      </c>
      <c r="F1615" s="4" t="str">
        <f t="shared" si="129"/>
        <v>2025-03-2</v>
      </c>
      <c r="G1615" t="str">
        <f t="shared" si="125"/>
        <v>CELIO PIMENTA</v>
      </c>
      <c r="H1615" t="str">
        <f t="shared" si="126"/>
        <v>CIA TEXTIL LTDA ME</v>
      </c>
      <c r="I1615">
        <f t="shared" si="127"/>
        <v>1</v>
      </c>
      <c r="J1615">
        <f t="shared" si="128"/>
        <v>0</v>
      </c>
    </row>
    <row r="1616" spans="1:10" x14ac:dyDescent="0.25">
      <c r="A1616" t="s">
        <v>326</v>
      </c>
      <c r="B1616" t="s">
        <v>86</v>
      </c>
      <c r="C1616" t="s">
        <v>59</v>
      </c>
      <c r="D1616" s="6">
        <v>45741</v>
      </c>
      <c r="E1616" t="s">
        <v>8</v>
      </c>
      <c r="F1616" s="4" t="str">
        <f t="shared" si="129"/>
        <v>2025-03-2</v>
      </c>
      <c r="G1616" t="str">
        <f t="shared" si="125"/>
        <v>CELIO PIMENTA</v>
      </c>
      <c r="H1616" t="str">
        <f t="shared" si="126"/>
        <v>IMPORTEXTIL COMERCIO DE TECIDOS LTDA</v>
      </c>
      <c r="I1616">
        <f t="shared" si="127"/>
        <v>0</v>
      </c>
      <c r="J1616">
        <f t="shared" si="128"/>
        <v>0</v>
      </c>
    </row>
    <row r="1617" spans="1:10" x14ac:dyDescent="0.25">
      <c r="A1617" t="s">
        <v>318</v>
      </c>
      <c r="B1617" t="s">
        <v>87</v>
      </c>
      <c r="C1617" t="s">
        <v>56</v>
      </c>
      <c r="D1617" s="6">
        <v>45741</v>
      </c>
      <c r="E1617" t="s">
        <v>8</v>
      </c>
      <c r="F1617" s="4" t="str">
        <f t="shared" si="129"/>
        <v>2025-03-2</v>
      </c>
      <c r="G1617" t="str">
        <f t="shared" si="125"/>
        <v>CELIO PIMENTA</v>
      </c>
      <c r="H1617" t="str">
        <f t="shared" si="126"/>
        <v>MBIOLOG DIAGNOSTICOS LTDA</v>
      </c>
      <c r="I1617">
        <f t="shared" si="127"/>
        <v>0</v>
      </c>
      <c r="J1617">
        <f t="shared" si="128"/>
        <v>1</v>
      </c>
    </row>
    <row r="1618" spans="1:10" x14ac:dyDescent="0.25">
      <c r="A1618" t="s">
        <v>60</v>
      </c>
      <c r="B1618" t="s">
        <v>61</v>
      </c>
      <c r="C1618" t="s">
        <v>56</v>
      </c>
      <c r="D1618" s="6">
        <v>45741</v>
      </c>
      <c r="E1618" t="s">
        <v>8</v>
      </c>
      <c r="F1618" s="4" t="str">
        <f t="shared" si="129"/>
        <v>2025-03-2</v>
      </c>
      <c r="G1618" t="str">
        <f t="shared" si="125"/>
        <v>CELIO PIMENTA</v>
      </c>
      <c r="H1618" t="str">
        <f t="shared" si="126"/>
        <v>WJ CALDEIRARIA INDUSTRIA E COMERCIO LTDA ME</v>
      </c>
      <c r="I1618">
        <f t="shared" si="127"/>
        <v>0</v>
      </c>
      <c r="J1618">
        <f t="shared" si="128"/>
        <v>1</v>
      </c>
    </row>
    <row r="1619" spans="1:10" x14ac:dyDescent="0.25">
      <c r="A1619" t="s">
        <v>366</v>
      </c>
      <c r="B1619" t="s">
        <v>111</v>
      </c>
      <c r="C1619" t="s">
        <v>56</v>
      </c>
      <c r="D1619" s="6">
        <v>45741</v>
      </c>
      <c r="E1619" t="s">
        <v>9</v>
      </c>
      <c r="F1619" s="4" t="str">
        <f t="shared" si="129"/>
        <v>2025-03-2</v>
      </c>
      <c r="G1619" t="str">
        <f t="shared" si="125"/>
        <v>DIOGO AZEVEDO</v>
      </c>
      <c r="H1619" t="str">
        <f t="shared" si="126"/>
        <v>INDUSTRIA E CERVEJARIA ARTESANAL DE MINAS GERAIS L</v>
      </c>
      <c r="I1619">
        <f t="shared" si="127"/>
        <v>0</v>
      </c>
      <c r="J1619">
        <f t="shared" si="128"/>
        <v>1</v>
      </c>
    </row>
    <row r="1620" spans="1:10" x14ac:dyDescent="0.25">
      <c r="A1620" t="s">
        <v>493</v>
      </c>
      <c r="B1620" t="s">
        <v>249</v>
      </c>
      <c r="C1620" t="s">
        <v>56</v>
      </c>
      <c r="D1620" s="6">
        <v>45741</v>
      </c>
      <c r="E1620" t="s">
        <v>10</v>
      </c>
      <c r="F1620" s="4" t="str">
        <f t="shared" si="129"/>
        <v>2025-03-2</v>
      </c>
      <c r="G1620" t="str">
        <f t="shared" si="125"/>
        <v>FITZ</v>
      </c>
      <c r="H1620" t="str">
        <f t="shared" si="126"/>
        <v>GOIARTE SOLUCOES CONSTRUTIVAS EM CONCRETO LTDA</v>
      </c>
      <c r="I1620">
        <f t="shared" si="127"/>
        <v>0</v>
      </c>
      <c r="J1620">
        <f t="shared" si="128"/>
        <v>1</v>
      </c>
    </row>
    <row r="1621" spans="1:10" x14ac:dyDescent="0.25">
      <c r="A1621" t="s">
        <v>68</v>
      </c>
      <c r="B1621" t="s">
        <v>69</v>
      </c>
      <c r="C1621" t="s">
        <v>56</v>
      </c>
      <c r="D1621" s="6">
        <v>45741</v>
      </c>
      <c r="E1621" t="s">
        <v>10</v>
      </c>
      <c r="F1621" s="4" t="str">
        <f t="shared" si="129"/>
        <v>2025-03-2</v>
      </c>
      <c r="G1621" t="str">
        <f t="shared" si="125"/>
        <v>FITZ</v>
      </c>
      <c r="H1621" t="str">
        <f t="shared" si="126"/>
        <v>MAPP COM IMPORTACAO EXPORTACAO IND PRODUTOS ALIMEN</v>
      </c>
      <c r="I1621">
        <f t="shared" si="127"/>
        <v>0</v>
      </c>
      <c r="J1621">
        <f t="shared" si="128"/>
        <v>1</v>
      </c>
    </row>
    <row r="1622" spans="1:10" x14ac:dyDescent="0.25">
      <c r="A1622" t="s">
        <v>410</v>
      </c>
      <c r="B1622" t="s">
        <v>159</v>
      </c>
      <c r="C1622" t="s">
        <v>56</v>
      </c>
      <c r="D1622" s="6">
        <v>45741</v>
      </c>
      <c r="E1622" t="s">
        <v>10</v>
      </c>
      <c r="F1622" s="4" t="str">
        <f t="shared" si="129"/>
        <v>2025-03-2</v>
      </c>
      <c r="G1622" t="str">
        <f t="shared" si="125"/>
        <v>FITZ</v>
      </c>
      <c r="H1622" t="str">
        <f t="shared" si="126"/>
        <v>MOINHO DE TRIGO JM LTDA</v>
      </c>
      <c r="I1622">
        <f t="shared" si="127"/>
        <v>0</v>
      </c>
      <c r="J1622">
        <f t="shared" si="128"/>
        <v>1</v>
      </c>
    </row>
    <row r="1623" spans="1:10" x14ac:dyDescent="0.25">
      <c r="A1623" t="s">
        <v>420</v>
      </c>
      <c r="B1623" t="s">
        <v>169</v>
      </c>
      <c r="C1623" t="s">
        <v>72</v>
      </c>
      <c r="D1623" s="6">
        <v>45741</v>
      </c>
      <c r="E1623" t="s">
        <v>10</v>
      </c>
      <c r="F1623" s="4" t="str">
        <f t="shared" si="129"/>
        <v>2025-03-2</v>
      </c>
      <c r="G1623" t="str">
        <f t="shared" si="125"/>
        <v>FITZ</v>
      </c>
      <c r="H1623" t="str">
        <f t="shared" si="126"/>
        <v>MORIA PRESTACAO DE SERVICOS LTDA ME</v>
      </c>
      <c r="I1623">
        <f t="shared" si="127"/>
        <v>1</v>
      </c>
      <c r="J1623">
        <f t="shared" si="128"/>
        <v>0</v>
      </c>
    </row>
    <row r="1624" spans="1:10" x14ac:dyDescent="0.25">
      <c r="A1624" t="s">
        <v>331</v>
      </c>
      <c r="B1624" t="s">
        <v>126</v>
      </c>
      <c r="C1624" t="s">
        <v>59</v>
      </c>
      <c r="D1624" s="6">
        <v>45741</v>
      </c>
      <c r="E1624" t="s">
        <v>10</v>
      </c>
      <c r="F1624" s="4" t="str">
        <f t="shared" si="129"/>
        <v>2025-03-2</v>
      </c>
      <c r="G1624" t="str">
        <f t="shared" si="125"/>
        <v>FITZ</v>
      </c>
      <c r="H1624" t="str">
        <f t="shared" si="126"/>
        <v>TRANSHENRY TRANSPORTES LTDA</v>
      </c>
      <c r="I1624">
        <f t="shared" si="127"/>
        <v>0</v>
      </c>
      <c r="J1624">
        <f t="shared" si="128"/>
        <v>0</v>
      </c>
    </row>
    <row r="1625" spans="1:10" x14ac:dyDescent="0.25">
      <c r="A1625" t="s">
        <v>446</v>
      </c>
      <c r="B1625" t="s">
        <v>196</v>
      </c>
      <c r="C1625" t="s">
        <v>56</v>
      </c>
      <c r="D1625" s="6">
        <v>45741</v>
      </c>
      <c r="E1625" t="s">
        <v>16</v>
      </c>
      <c r="F1625" s="4" t="str">
        <f t="shared" si="129"/>
        <v>2025-03-2</v>
      </c>
      <c r="G1625" t="str">
        <f t="shared" si="125"/>
        <v>NOELI SALETE</v>
      </c>
      <c r="H1625" t="str">
        <f t="shared" si="126"/>
        <v>AGRO INDUSTRIAL LAZZERI LTDA</v>
      </c>
      <c r="I1625">
        <f t="shared" si="127"/>
        <v>0</v>
      </c>
      <c r="J1625">
        <f t="shared" si="128"/>
        <v>1</v>
      </c>
    </row>
    <row r="1626" spans="1:10" x14ac:dyDescent="0.25">
      <c r="A1626" t="s">
        <v>78</v>
      </c>
      <c r="B1626" t="s">
        <v>79</v>
      </c>
      <c r="C1626" t="s">
        <v>56</v>
      </c>
      <c r="D1626" s="6">
        <v>45741</v>
      </c>
      <c r="E1626" t="s">
        <v>16</v>
      </c>
      <c r="F1626" s="4" t="str">
        <f t="shared" si="129"/>
        <v>2025-03-2</v>
      </c>
      <c r="G1626" t="str">
        <f t="shared" si="125"/>
        <v>NOELI SALETE</v>
      </c>
      <c r="H1626" t="str">
        <f t="shared" si="126"/>
        <v>SMARTCENTER SOLUCOES INTELIGENTES LTDA ME</v>
      </c>
      <c r="I1626">
        <f t="shared" si="127"/>
        <v>0</v>
      </c>
      <c r="J1626">
        <f t="shared" si="128"/>
        <v>1</v>
      </c>
    </row>
    <row r="1627" spans="1:10" x14ac:dyDescent="0.25">
      <c r="A1627" t="s">
        <v>494</v>
      </c>
      <c r="B1627" t="s">
        <v>250</v>
      </c>
      <c r="C1627" t="s">
        <v>56</v>
      </c>
      <c r="D1627" s="6">
        <v>45741</v>
      </c>
      <c r="E1627" t="s">
        <v>16</v>
      </c>
      <c r="F1627" s="4" t="str">
        <f t="shared" si="129"/>
        <v>2025-03-2</v>
      </c>
      <c r="G1627" t="str">
        <f t="shared" si="125"/>
        <v>NOELI SALETE</v>
      </c>
      <c r="H1627" t="str">
        <f t="shared" si="126"/>
        <v>SMARTCENTERGROUP COMERCIO DE EQUIPAMENTOS DE INFOR</v>
      </c>
      <c r="I1627">
        <f t="shared" si="127"/>
        <v>0</v>
      </c>
      <c r="J1627">
        <f t="shared" si="128"/>
        <v>1</v>
      </c>
    </row>
    <row r="1628" spans="1:10" x14ac:dyDescent="0.25">
      <c r="A1628" t="s">
        <v>352</v>
      </c>
      <c r="B1628" t="s">
        <v>95</v>
      </c>
      <c r="C1628" t="s">
        <v>56</v>
      </c>
      <c r="D1628" s="6">
        <v>45741</v>
      </c>
      <c r="E1628" t="s">
        <v>18</v>
      </c>
      <c r="F1628" s="4" t="str">
        <f t="shared" si="129"/>
        <v>2025-03-2</v>
      </c>
      <c r="G1628" t="str">
        <f t="shared" si="125"/>
        <v>POENATELA</v>
      </c>
      <c r="H1628" t="str">
        <f t="shared" si="126"/>
        <v>CERVEJARIA SOUZA LTDA</v>
      </c>
      <c r="I1628">
        <f t="shared" si="127"/>
        <v>0</v>
      </c>
      <c r="J1628">
        <f t="shared" si="128"/>
        <v>1</v>
      </c>
    </row>
    <row r="1629" spans="1:10" x14ac:dyDescent="0.25">
      <c r="A1629" t="s">
        <v>378</v>
      </c>
      <c r="B1629" t="s">
        <v>121</v>
      </c>
      <c r="C1629" t="s">
        <v>56</v>
      </c>
      <c r="D1629" s="6">
        <v>45741</v>
      </c>
      <c r="E1629" t="s">
        <v>18</v>
      </c>
      <c r="F1629" s="4" t="str">
        <f t="shared" si="129"/>
        <v>2025-03-2</v>
      </c>
      <c r="G1629" t="str">
        <f t="shared" si="125"/>
        <v>POENATELA</v>
      </c>
      <c r="H1629" t="str">
        <f t="shared" si="126"/>
        <v>COOPERATIVA TRANSP AUTON CARGAS PASSAG SERVICOS LO</v>
      </c>
      <c r="I1629">
        <f t="shared" si="127"/>
        <v>0</v>
      </c>
      <c r="J1629">
        <f t="shared" si="128"/>
        <v>1</v>
      </c>
    </row>
    <row r="1630" spans="1:10" x14ac:dyDescent="0.25">
      <c r="A1630" t="s">
        <v>354</v>
      </c>
      <c r="B1630" t="s">
        <v>97</v>
      </c>
      <c r="C1630" t="s">
        <v>56</v>
      </c>
      <c r="D1630" s="6">
        <v>45741</v>
      </c>
      <c r="E1630" t="s">
        <v>18</v>
      </c>
      <c r="F1630" s="4" t="str">
        <f t="shared" si="129"/>
        <v>2025-03-2</v>
      </c>
      <c r="G1630" t="str">
        <f t="shared" si="125"/>
        <v>POENATELA</v>
      </c>
      <c r="H1630" t="str">
        <f t="shared" si="126"/>
        <v>UBERTEC SERVICE USINAGEM LTDA EPP</v>
      </c>
      <c r="I1630">
        <f t="shared" si="127"/>
        <v>0</v>
      </c>
      <c r="J1630">
        <f t="shared" si="128"/>
        <v>1</v>
      </c>
    </row>
    <row r="1631" spans="1:10" x14ac:dyDescent="0.25">
      <c r="A1631" t="s">
        <v>361</v>
      </c>
      <c r="B1631" t="s">
        <v>103</v>
      </c>
      <c r="C1631" t="s">
        <v>56</v>
      </c>
      <c r="D1631" s="6">
        <v>45741</v>
      </c>
      <c r="E1631" t="s">
        <v>19</v>
      </c>
      <c r="F1631" s="4" t="str">
        <f t="shared" si="129"/>
        <v>2025-03-2</v>
      </c>
      <c r="G1631" t="str">
        <f t="shared" si="125"/>
        <v>PRISCILA METZ</v>
      </c>
      <c r="H1631" t="str">
        <f t="shared" si="126"/>
        <v>ESSENZA INDUSTRIA QUIMICA LTDA</v>
      </c>
      <c r="I1631">
        <f t="shared" si="127"/>
        <v>0</v>
      </c>
      <c r="J1631">
        <f t="shared" si="128"/>
        <v>1</v>
      </c>
    </row>
    <row r="1632" spans="1:10" x14ac:dyDescent="0.25">
      <c r="A1632" t="s">
        <v>442</v>
      </c>
      <c r="B1632" t="s">
        <v>192</v>
      </c>
      <c r="C1632" t="s">
        <v>56</v>
      </c>
      <c r="D1632" s="6">
        <v>45741</v>
      </c>
      <c r="E1632" t="s">
        <v>20</v>
      </c>
      <c r="F1632" s="4" t="str">
        <f t="shared" si="129"/>
        <v>2025-03-2</v>
      </c>
      <c r="G1632" t="str">
        <f t="shared" si="125"/>
        <v>RAFAEL PARISE</v>
      </c>
      <c r="H1632" t="str">
        <f t="shared" si="126"/>
        <v>MARCAS COMERCIO LTDA ME</v>
      </c>
      <c r="I1632">
        <f t="shared" si="127"/>
        <v>0</v>
      </c>
      <c r="J1632">
        <f t="shared" si="128"/>
        <v>1</v>
      </c>
    </row>
    <row r="1633" spans="1:10" x14ac:dyDescent="0.25">
      <c r="A1633" t="s">
        <v>73</v>
      </c>
      <c r="B1633" t="s">
        <v>74</v>
      </c>
      <c r="C1633" t="s">
        <v>56</v>
      </c>
      <c r="D1633" s="6">
        <v>45741</v>
      </c>
      <c r="E1633" t="s">
        <v>25</v>
      </c>
      <c r="F1633" s="4" t="str">
        <f t="shared" si="129"/>
        <v>2025-03-2</v>
      </c>
      <c r="G1633" t="str">
        <f t="shared" si="125"/>
        <v xml:space="preserve">ROGERIO </v>
      </c>
      <c r="H1633" t="str">
        <f t="shared" si="126"/>
        <v>DIOTTONI INDUSTRIA E COMERCIO DE ALIMENTOS LTDA ME</v>
      </c>
      <c r="I1633">
        <f t="shared" si="127"/>
        <v>0</v>
      </c>
      <c r="J1633">
        <f t="shared" si="128"/>
        <v>1</v>
      </c>
    </row>
    <row r="1634" spans="1:10" x14ac:dyDescent="0.25">
      <c r="A1634" t="s">
        <v>465</v>
      </c>
      <c r="B1634" t="s">
        <v>221</v>
      </c>
      <c r="C1634" t="s">
        <v>59</v>
      </c>
      <c r="D1634" s="6">
        <v>45741</v>
      </c>
      <c r="E1634" t="s">
        <v>25</v>
      </c>
      <c r="F1634" s="4" t="str">
        <f t="shared" si="129"/>
        <v>2025-03-2</v>
      </c>
      <c r="G1634" t="str">
        <f t="shared" si="125"/>
        <v xml:space="preserve">ROGERIO </v>
      </c>
      <c r="H1634" t="str">
        <f t="shared" si="126"/>
        <v>METAL STAMP INDUSTRIA E COMERCIO LTDA</v>
      </c>
      <c r="I1634">
        <f t="shared" si="127"/>
        <v>0</v>
      </c>
      <c r="J1634">
        <f t="shared" si="128"/>
        <v>0</v>
      </c>
    </row>
    <row r="1635" spans="1:10" x14ac:dyDescent="0.25">
      <c r="A1635" t="s">
        <v>495</v>
      </c>
      <c r="B1635" t="s">
        <v>251</v>
      </c>
      <c r="C1635" t="s">
        <v>72</v>
      </c>
      <c r="D1635" s="6">
        <v>45741</v>
      </c>
      <c r="E1635" t="s">
        <v>25</v>
      </c>
      <c r="F1635" s="4" t="str">
        <f t="shared" si="129"/>
        <v>2025-03-2</v>
      </c>
      <c r="G1635" t="str">
        <f t="shared" si="125"/>
        <v xml:space="preserve">ROGERIO </v>
      </c>
      <c r="H1635" t="str">
        <f t="shared" si="126"/>
        <v>MUNDO AGRO COMERCIO E DISTRIBUICAO DE CALCADOS LTD</v>
      </c>
      <c r="I1635">
        <f t="shared" si="127"/>
        <v>1</v>
      </c>
      <c r="J1635">
        <f t="shared" si="128"/>
        <v>0</v>
      </c>
    </row>
    <row r="1636" spans="1:10" x14ac:dyDescent="0.25">
      <c r="A1636" t="s">
        <v>492</v>
      </c>
      <c r="B1636" t="s">
        <v>248</v>
      </c>
      <c r="C1636" t="s">
        <v>56</v>
      </c>
      <c r="D1636" s="3">
        <v>45743</v>
      </c>
      <c r="E1636" t="str">
        <f>VLOOKUP(B1636,'PROCV GERENTES BD'!A:B,2,0)</f>
        <v>ADMINISTRAÇÃO</v>
      </c>
      <c r="F1636" s="4" t="str">
        <f t="shared" si="129"/>
        <v>2025-03-2</v>
      </c>
      <c r="G1636" t="str">
        <f t="shared" si="125"/>
        <v>ADMINISTRAÇÃO</v>
      </c>
      <c r="H1636" t="str">
        <f t="shared" si="126"/>
        <v>REAL FILTROS E ACESSORIOS AUTOMOTIVOS LTDA EPP</v>
      </c>
      <c r="I1636">
        <f t="shared" si="127"/>
        <v>0</v>
      </c>
      <c r="J1636">
        <f t="shared" si="128"/>
        <v>1</v>
      </c>
    </row>
    <row r="1637" spans="1:10" x14ac:dyDescent="0.25">
      <c r="A1637" t="s">
        <v>339</v>
      </c>
      <c r="B1637" t="s">
        <v>151</v>
      </c>
      <c r="C1637" t="s">
        <v>56</v>
      </c>
      <c r="D1637" s="3">
        <v>45743</v>
      </c>
      <c r="E1637" t="str">
        <f>VLOOKUP(B1637,'PROCV GERENTES BD'!A:B,2,0)</f>
        <v>ADMINISTRAÇÃO</v>
      </c>
      <c r="F1637" s="4" t="str">
        <f t="shared" si="129"/>
        <v>2025-03-2</v>
      </c>
      <c r="G1637" t="str">
        <f t="shared" si="125"/>
        <v>ADMINISTRAÇÃO</v>
      </c>
      <c r="H1637" t="str">
        <f t="shared" si="126"/>
        <v>BOM PASTOR PAPEIS LTDA EM RECUPERACAO JUDICIAL</v>
      </c>
      <c r="I1637">
        <f t="shared" si="127"/>
        <v>0</v>
      </c>
      <c r="J1637">
        <f t="shared" si="128"/>
        <v>1</v>
      </c>
    </row>
    <row r="1638" spans="1:10" x14ac:dyDescent="0.25">
      <c r="A1638" t="s">
        <v>363</v>
      </c>
      <c r="B1638" t="s">
        <v>106</v>
      </c>
      <c r="C1638" t="s">
        <v>56</v>
      </c>
      <c r="D1638" s="3">
        <v>45743</v>
      </c>
      <c r="E1638" t="str">
        <f>VLOOKUP(B1638,'PROCV GERENTES BD'!A:B,2,0)</f>
        <v>ADMINISTRAÇÃO</v>
      </c>
      <c r="F1638" s="4" t="str">
        <f t="shared" si="129"/>
        <v>2025-03-2</v>
      </c>
      <c r="G1638" t="str">
        <f t="shared" si="125"/>
        <v>ADMINISTRAÇÃO</v>
      </c>
      <c r="H1638" t="str">
        <f t="shared" si="126"/>
        <v>DECISION DESENVOLVIMENTO DE SISTEMAS LTDA</v>
      </c>
      <c r="I1638">
        <f t="shared" si="127"/>
        <v>0</v>
      </c>
      <c r="J1638">
        <f t="shared" si="128"/>
        <v>1</v>
      </c>
    </row>
    <row r="1639" spans="1:10" x14ac:dyDescent="0.25">
      <c r="A1639" t="s">
        <v>363</v>
      </c>
      <c r="B1639" t="s">
        <v>106</v>
      </c>
      <c r="C1639" t="s">
        <v>56</v>
      </c>
      <c r="D1639" s="3">
        <v>45743</v>
      </c>
      <c r="E1639" t="str">
        <f>VLOOKUP(B1639,'PROCV GERENTES BD'!A:B,2,0)</f>
        <v>ADMINISTRAÇÃO</v>
      </c>
      <c r="F1639" s="4" t="str">
        <f t="shared" si="129"/>
        <v>2025-03-2</v>
      </c>
      <c r="G1639" t="str">
        <f t="shared" si="125"/>
        <v>ADMINISTRAÇÃO</v>
      </c>
      <c r="H1639" t="str">
        <f t="shared" si="126"/>
        <v>DECISION DESENVOLVIMENTO DE SISTEMAS LTDA</v>
      </c>
      <c r="I1639">
        <f t="shared" si="127"/>
        <v>0</v>
      </c>
      <c r="J1639">
        <f t="shared" si="128"/>
        <v>1</v>
      </c>
    </row>
    <row r="1640" spans="1:10" x14ac:dyDescent="0.25">
      <c r="A1640" t="s">
        <v>60</v>
      </c>
      <c r="B1640" t="s">
        <v>61</v>
      </c>
      <c r="C1640" t="s">
        <v>56</v>
      </c>
      <c r="D1640" s="3">
        <v>45743</v>
      </c>
      <c r="E1640" t="str">
        <f>VLOOKUP(B1640,'PROCV GERENTES BD'!A:B,2,0)</f>
        <v>CELIO PIMENTA</v>
      </c>
      <c r="F1640" s="4" t="str">
        <f t="shared" si="129"/>
        <v>2025-03-2</v>
      </c>
      <c r="G1640" t="str">
        <f t="shared" si="125"/>
        <v>CELIO PIMENTA</v>
      </c>
      <c r="H1640" t="str">
        <f t="shared" si="126"/>
        <v>WJ CALDEIRARIA INDUSTRIA E COMERCIO LTDA ME</v>
      </c>
      <c r="I1640">
        <f t="shared" si="127"/>
        <v>0</v>
      </c>
      <c r="J1640">
        <f t="shared" si="128"/>
        <v>1</v>
      </c>
    </row>
    <row r="1641" spans="1:10" x14ac:dyDescent="0.25">
      <c r="A1641" t="s">
        <v>326</v>
      </c>
      <c r="B1641" t="s">
        <v>86</v>
      </c>
      <c r="C1641" t="s">
        <v>56</v>
      </c>
      <c r="D1641" s="3">
        <v>45743</v>
      </c>
      <c r="E1641" t="str">
        <f>VLOOKUP(B1641,'PROCV GERENTES BD'!A:B,2,0)</f>
        <v>CELIO PIMENTA</v>
      </c>
      <c r="F1641" s="4" t="str">
        <f t="shared" si="129"/>
        <v>2025-03-2</v>
      </c>
      <c r="G1641" t="str">
        <f t="shared" si="125"/>
        <v>CELIO PIMENTA</v>
      </c>
      <c r="H1641" t="str">
        <f t="shared" si="126"/>
        <v>IMPORTEXTIL COMERCIO DE TECIDOS LTDA</v>
      </c>
      <c r="I1641">
        <f t="shared" si="127"/>
        <v>0</v>
      </c>
      <c r="J1641">
        <f t="shared" si="128"/>
        <v>1</v>
      </c>
    </row>
    <row r="1642" spans="1:10" x14ac:dyDescent="0.25">
      <c r="A1642" t="s">
        <v>458</v>
      </c>
      <c r="B1642" t="s">
        <v>214</v>
      </c>
      <c r="C1642" t="s">
        <v>56</v>
      </c>
      <c r="D1642" s="3">
        <v>45743</v>
      </c>
      <c r="E1642" t="str">
        <f>VLOOKUP(B1642,'PROCV GERENTES BD'!A:B,2,0)</f>
        <v>CELIO PIMENTA</v>
      </c>
      <c r="F1642" s="4" t="str">
        <f t="shared" si="129"/>
        <v>2025-03-2</v>
      </c>
      <c r="G1642" t="str">
        <f t="shared" si="125"/>
        <v>CELIO PIMENTA</v>
      </c>
      <c r="H1642" t="str">
        <f t="shared" si="126"/>
        <v>LIDER COMERCIO DE UNIFORMES E EPI S LTDA ME</v>
      </c>
      <c r="I1642">
        <f t="shared" si="127"/>
        <v>0</v>
      </c>
      <c r="J1642">
        <f t="shared" si="128"/>
        <v>1</v>
      </c>
    </row>
    <row r="1643" spans="1:10" x14ac:dyDescent="0.25">
      <c r="A1643" t="s">
        <v>468</v>
      </c>
      <c r="B1643" t="s">
        <v>224</v>
      </c>
      <c r="C1643" t="s">
        <v>77</v>
      </c>
      <c r="D1643" s="3">
        <v>45743</v>
      </c>
      <c r="E1643" t="str">
        <f>VLOOKUP(B1643,'PROCV GERENTES BD'!A:B,2,0)</f>
        <v>CELIO PIMENTA</v>
      </c>
      <c r="F1643" s="4" t="str">
        <f t="shared" si="129"/>
        <v>2025-03-2</v>
      </c>
      <c r="G1643" t="str">
        <f t="shared" si="125"/>
        <v>CELIO PIMENTA</v>
      </c>
      <c r="H1643" t="str">
        <f t="shared" si="126"/>
        <v>MINAS CLEAN DISTRIBUIDORA DE PRODUTOS PARA LIMPEZA</v>
      </c>
      <c r="I1643">
        <f t="shared" si="127"/>
        <v>0</v>
      </c>
      <c r="J1643">
        <f t="shared" si="128"/>
        <v>0</v>
      </c>
    </row>
    <row r="1644" spans="1:10" x14ac:dyDescent="0.25">
      <c r="A1644" t="s">
        <v>475</v>
      </c>
      <c r="B1644" t="s">
        <v>231</v>
      </c>
      <c r="C1644" t="s">
        <v>56</v>
      </c>
      <c r="D1644" s="3">
        <v>45743</v>
      </c>
      <c r="E1644" t="str">
        <f>VLOOKUP(B1644,'PROCV GERENTES BD'!A:B,2,0)</f>
        <v>DIOGO AZEVEDO</v>
      </c>
      <c r="F1644" s="4" t="str">
        <f t="shared" si="129"/>
        <v>2025-03-2</v>
      </c>
      <c r="G1644" t="str">
        <f t="shared" si="125"/>
        <v>DIOGO AZEVEDO</v>
      </c>
      <c r="H1644" t="str">
        <f t="shared" si="126"/>
        <v>VGS COMERCIO DE EMBALAGENS DE MADEIRAS LTDA ME</v>
      </c>
      <c r="I1644">
        <f t="shared" si="127"/>
        <v>0</v>
      </c>
      <c r="J1644">
        <f t="shared" si="128"/>
        <v>1</v>
      </c>
    </row>
    <row r="1645" spans="1:10" x14ac:dyDescent="0.25">
      <c r="A1645" t="s">
        <v>366</v>
      </c>
      <c r="B1645" t="s">
        <v>111</v>
      </c>
      <c r="C1645" t="s">
        <v>72</v>
      </c>
      <c r="D1645" s="3">
        <v>45743</v>
      </c>
      <c r="E1645" t="str">
        <f>VLOOKUP(B1645,'PROCV GERENTES BD'!A:B,2,0)</f>
        <v>DIOGO AZEVEDO</v>
      </c>
      <c r="F1645" s="4" t="str">
        <f t="shared" si="129"/>
        <v>2025-03-2</v>
      </c>
      <c r="G1645" t="str">
        <f t="shared" si="125"/>
        <v>DIOGO AZEVEDO</v>
      </c>
      <c r="H1645" t="str">
        <f t="shared" si="126"/>
        <v>INDUSTRIA E CERVEJARIA ARTESANAL DE MINAS GERAIS L</v>
      </c>
      <c r="I1645">
        <f t="shared" si="127"/>
        <v>1</v>
      </c>
      <c r="J1645">
        <f t="shared" si="128"/>
        <v>0</v>
      </c>
    </row>
    <row r="1646" spans="1:10" x14ac:dyDescent="0.25">
      <c r="A1646" t="s">
        <v>475</v>
      </c>
      <c r="B1646" t="s">
        <v>231</v>
      </c>
      <c r="C1646" t="s">
        <v>56</v>
      </c>
      <c r="D1646" s="3">
        <v>45743</v>
      </c>
      <c r="E1646" t="str">
        <f>VLOOKUP(B1646,'PROCV GERENTES BD'!A:B,2,0)</f>
        <v>DIOGO AZEVEDO</v>
      </c>
      <c r="F1646" s="4" t="str">
        <f t="shared" si="129"/>
        <v>2025-03-2</v>
      </c>
      <c r="G1646" t="str">
        <f t="shared" si="125"/>
        <v>DIOGO AZEVEDO</v>
      </c>
      <c r="H1646" t="str">
        <f t="shared" si="126"/>
        <v>VGS COMERCIO DE EMBALAGENS DE MADEIRAS LTDA ME</v>
      </c>
      <c r="I1646">
        <f t="shared" si="127"/>
        <v>0</v>
      </c>
      <c r="J1646">
        <f t="shared" si="128"/>
        <v>1</v>
      </c>
    </row>
    <row r="1647" spans="1:10" x14ac:dyDescent="0.25">
      <c r="A1647" t="s">
        <v>68</v>
      </c>
      <c r="B1647" t="s">
        <v>69</v>
      </c>
      <c r="C1647" t="s">
        <v>56</v>
      </c>
      <c r="D1647" s="3">
        <v>45743</v>
      </c>
      <c r="E1647" t="str">
        <f>VLOOKUP(B1647,'PROCV GERENTES BD'!A:B,2,0)</f>
        <v>FITZ</v>
      </c>
      <c r="F1647" s="4" t="str">
        <f t="shared" si="129"/>
        <v>2025-03-2</v>
      </c>
      <c r="G1647" t="str">
        <f t="shared" si="125"/>
        <v>FITZ</v>
      </c>
      <c r="H1647" t="str">
        <f t="shared" si="126"/>
        <v>MAPP COM IMPORTACAO EXPORTACAO IND PRODUTOS ALIMEN</v>
      </c>
      <c r="I1647">
        <f t="shared" si="127"/>
        <v>0</v>
      </c>
      <c r="J1647">
        <f t="shared" si="128"/>
        <v>1</v>
      </c>
    </row>
    <row r="1648" spans="1:10" x14ac:dyDescent="0.25">
      <c r="A1648" t="s">
        <v>410</v>
      </c>
      <c r="B1648" t="s">
        <v>159</v>
      </c>
      <c r="C1648" t="s">
        <v>59</v>
      </c>
      <c r="D1648" s="3">
        <v>45743</v>
      </c>
      <c r="E1648" t="str">
        <f>VLOOKUP(B1648,'PROCV GERENTES BD'!A:B,2,0)</f>
        <v>FITZ</v>
      </c>
      <c r="F1648" s="4" t="str">
        <f t="shared" si="129"/>
        <v>2025-03-2</v>
      </c>
      <c r="G1648" t="str">
        <f t="shared" si="125"/>
        <v>FITZ</v>
      </c>
      <c r="H1648" t="str">
        <f t="shared" si="126"/>
        <v>MOINHO DE TRIGO JM LTDA</v>
      </c>
      <c r="I1648">
        <f t="shared" si="127"/>
        <v>0</v>
      </c>
      <c r="J1648">
        <f t="shared" si="128"/>
        <v>0</v>
      </c>
    </row>
    <row r="1649" spans="1:10" x14ac:dyDescent="0.25">
      <c r="A1649" t="s">
        <v>436</v>
      </c>
      <c r="B1649" t="s">
        <v>186</v>
      </c>
      <c r="C1649" t="s">
        <v>56</v>
      </c>
      <c r="D1649" s="3">
        <v>45743</v>
      </c>
      <c r="E1649" t="str">
        <f>VLOOKUP(B1649,'PROCV GERENTES BD'!A:B,2,0)</f>
        <v xml:space="preserve">MARCUS VINICIUS </v>
      </c>
      <c r="F1649" s="4" t="str">
        <f t="shared" si="129"/>
        <v>2025-03-2</v>
      </c>
      <c r="G1649" t="str">
        <f t="shared" si="125"/>
        <v xml:space="preserve">MARCUS VINICIUS </v>
      </c>
      <c r="H1649" t="str">
        <f t="shared" si="126"/>
        <v>LABOR ELETRIC INDUSTRIA E COMERCIO UNIPESSOAL LTDA</v>
      </c>
      <c r="I1649">
        <f t="shared" si="127"/>
        <v>0</v>
      </c>
      <c r="J1649">
        <f t="shared" si="128"/>
        <v>1</v>
      </c>
    </row>
    <row r="1650" spans="1:10" x14ac:dyDescent="0.25">
      <c r="A1650" t="s">
        <v>383</v>
      </c>
      <c r="B1650" t="s">
        <v>127</v>
      </c>
      <c r="C1650" t="s">
        <v>72</v>
      </c>
      <c r="D1650" s="3">
        <v>45743</v>
      </c>
      <c r="E1650" t="str">
        <f>VLOOKUP(B1650,'PROCV GERENTES BD'!A:B,2,0)</f>
        <v>NATALIA NUBIA</v>
      </c>
      <c r="F1650" s="4" t="str">
        <f t="shared" si="129"/>
        <v>2025-03-2</v>
      </c>
      <c r="G1650" t="str">
        <f t="shared" si="125"/>
        <v>NATALIA NUBIA</v>
      </c>
      <c r="H1650" t="str">
        <f t="shared" si="126"/>
        <v>FARINELLI NUTRIMENTOS LTDA</v>
      </c>
      <c r="I1650">
        <f t="shared" si="127"/>
        <v>1</v>
      </c>
      <c r="J1650">
        <f t="shared" si="128"/>
        <v>0</v>
      </c>
    </row>
    <row r="1651" spans="1:10" x14ac:dyDescent="0.25">
      <c r="A1651" t="s">
        <v>426</v>
      </c>
      <c r="B1651" t="s">
        <v>175</v>
      </c>
      <c r="C1651" t="s">
        <v>56</v>
      </c>
      <c r="D1651" s="3">
        <v>45743</v>
      </c>
      <c r="E1651" t="str">
        <f>VLOOKUP(B1651,'PROCV GERENTES BD'!A:B,2,0)</f>
        <v>NATALIA NUBIA</v>
      </c>
      <c r="F1651" s="4" t="str">
        <f t="shared" si="129"/>
        <v>2025-03-2</v>
      </c>
      <c r="G1651" t="str">
        <f t="shared" si="125"/>
        <v>NATALIA NUBIA</v>
      </c>
      <c r="H1651" t="str">
        <f t="shared" si="126"/>
        <v>MAAT COMERCIO DE VESTUARIO LTDA EPP</v>
      </c>
      <c r="I1651">
        <f t="shared" si="127"/>
        <v>0</v>
      </c>
      <c r="J1651">
        <f t="shared" si="128"/>
        <v>1</v>
      </c>
    </row>
    <row r="1652" spans="1:10" x14ac:dyDescent="0.25">
      <c r="A1652" t="s">
        <v>426</v>
      </c>
      <c r="B1652" t="s">
        <v>175</v>
      </c>
      <c r="C1652" t="s">
        <v>77</v>
      </c>
      <c r="D1652" s="3">
        <v>45743</v>
      </c>
      <c r="E1652" t="str">
        <f>VLOOKUP(B1652,'PROCV GERENTES BD'!A:B,2,0)</f>
        <v>NATALIA NUBIA</v>
      </c>
      <c r="F1652" s="4" t="str">
        <f t="shared" si="129"/>
        <v>2025-03-2</v>
      </c>
      <c r="G1652" t="str">
        <f t="shared" si="125"/>
        <v>NATALIA NUBIA</v>
      </c>
      <c r="H1652" t="str">
        <f t="shared" si="126"/>
        <v>MAAT COMERCIO DE VESTUARIO LTDA EPP</v>
      </c>
      <c r="I1652">
        <f t="shared" si="127"/>
        <v>0</v>
      </c>
      <c r="J1652">
        <f t="shared" si="128"/>
        <v>0</v>
      </c>
    </row>
    <row r="1653" spans="1:10" x14ac:dyDescent="0.25">
      <c r="A1653" t="s">
        <v>426</v>
      </c>
      <c r="B1653" t="s">
        <v>175</v>
      </c>
      <c r="C1653" t="s">
        <v>59</v>
      </c>
      <c r="D1653" s="3">
        <v>45743</v>
      </c>
      <c r="E1653" t="str">
        <f>VLOOKUP(B1653,'PROCV GERENTES BD'!A:B,2,0)</f>
        <v>NATALIA NUBIA</v>
      </c>
      <c r="F1653" s="4" t="str">
        <f t="shared" si="129"/>
        <v>2025-03-2</v>
      </c>
      <c r="G1653" t="str">
        <f t="shared" si="125"/>
        <v>NATALIA NUBIA</v>
      </c>
      <c r="H1653" t="str">
        <f t="shared" si="126"/>
        <v>MAAT COMERCIO DE VESTUARIO LTDA EPP</v>
      </c>
      <c r="I1653">
        <f t="shared" si="127"/>
        <v>0</v>
      </c>
      <c r="J1653">
        <f t="shared" si="128"/>
        <v>0</v>
      </c>
    </row>
    <row r="1654" spans="1:10" x14ac:dyDescent="0.25">
      <c r="A1654" t="s">
        <v>427</v>
      </c>
      <c r="B1654" t="s">
        <v>206</v>
      </c>
      <c r="C1654" t="s">
        <v>56</v>
      </c>
      <c r="D1654" s="3">
        <v>45743</v>
      </c>
      <c r="E1654" t="str">
        <f>VLOOKUP(B1654,'PROCV GERENTES BD'!A:B,2,0)</f>
        <v>NOELI SALETE</v>
      </c>
      <c r="F1654" s="4" t="str">
        <f t="shared" si="129"/>
        <v>2025-03-2</v>
      </c>
      <c r="G1654" t="str">
        <f t="shared" si="125"/>
        <v>NOELI SALETE</v>
      </c>
      <c r="H1654" t="str">
        <f t="shared" si="126"/>
        <v>GLOBAL ACO SERV PRODUTOS SIDERURGICOS LTDA RECUPER</v>
      </c>
      <c r="I1654">
        <f t="shared" si="127"/>
        <v>0</v>
      </c>
      <c r="J1654">
        <f t="shared" si="128"/>
        <v>1</v>
      </c>
    </row>
    <row r="1655" spans="1:10" x14ac:dyDescent="0.25">
      <c r="A1655" t="s">
        <v>78</v>
      </c>
      <c r="B1655" t="s">
        <v>79</v>
      </c>
      <c r="C1655" t="s">
        <v>56</v>
      </c>
      <c r="D1655" s="3">
        <v>45743</v>
      </c>
      <c r="E1655" t="str">
        <f>VLOOKUP(B1655,'PROCV GERENTES BD'!A:B,2,0)</f>
        <v>NOELI SALETE</v>
      </c>
      <c r="F1655" s="4" t="str">
        <f t="shared" si="129"/>
        <v>2025-03-2</v>
      </c>
      <c r="G1655" t="str">
        <f t="shared" si="125"/>
        <v>NOELI SALETE</v>
      </c>
      <c r="H1655" t="str">
        <f t="shared" si="126"/>
        <v>SMARTCENTER SOLUCOES INTELIGENTES LTDA ME</v>
      </c>
      <c r="I1655">
        <f t="shared" si="127"/>
        <v>0</v>
      </c>
      <c r="J1655">
        <f t="shared" si="128"/>
        <v>1</v>
      </c>
    </row>
    <row r="1656" spans="1:10" x14ac:dyDescent="0.25">
      <c r="A1656" t="s">
        <v>408</v>
      </c>
      <c r="B1656" t="s">
        <v>157</v>
      </c>
      <c r="C1656" t="s">
        <v>56</v>
      </c>
      <c r="D1656" s="3">
        <v>45743</v>
      </c>
      <c r="E1656" t="str">
        <f>VLOOKUP(B1656,'PROCV GERENTES BD'!A:B,2,0)</f>
        <v>NOELI SALETE</v>
      </c>
      <c r="F1656" s="4" t="str">
        <f t="shared" si="129"/>
        <v>2025-03-2</v>
      </c>
      <c r="G1656" t="str">
        <f t="shared" si="125"/>
        <v>NOELI SALETE</v>
      </c>
      <c r="H1656" t="str">
        <f t="shared" si="126"/>
        <v>POOLMAK SISTEMAS ESTRUTURAIS LTDA</v>
      </c>
      <c r="I1656">
        <f t="shared" si="127"/>
        <v>0</v>
      </c>
      <c r="J1656">
        <f t="shared" si="128"/>
        <v>1</v>
      </c>
    </row>
    <row r="1657" spans="1:10" x14ac:dyDescent="0.25">
      <c r="A1657" t="s">
        <v>494</v>
      </c>
      <c r="B1657" t="s">
        <v>250</v>
      </c>
      <c r="C1657" t="s">
        <v>56</v>
      </c>
      <c r="D1657" s="3">
        <v>45743</v>
      </c>
      <c r="E1657" t="str">
        <f>VLOOKUP(B1657,'PROCV GERENTES BD'!A:B,2,0)</f>
        <v>NOELI SALETE</v>
      </c>
      <c r="F1657" s="4" t="str">
        <f t="shared" si="129"/>
        <v>2025-03-2</v>
      </c>
      <c r="G1657" t="str">
        <f t="shared" si="125"/>
        <v>NOELI SALETE</v>
      </c>
      <c r="H1657" t="str">
        <f t="shared" si="126"/>
        <v>SMARTCENTERGROUP COMERCIO DE EQUIPAMENTOS DE INFOR</v>
      </c>
      <c r="I1657">
        <f t="shared" si="127"/>
        <v>0</v>
      </c>
      <c r="J1657">
        <f t="shared" si="128"/>
        <v>1</v>
      </c>
    </row>
    <row r="1658" spans="1:10" x14ac:dyDescent="0.25">
      <c r="A1658" t="s">
        <v>446</v>
      </c>
      <c r="B1658" t="s">
        <v>196</v>
      </c>
      <c r="C1658" t="s">
        <v>59</v>
      </c>
      <c r="D1658" s="3">
        <v>45743</v>
      </c>
      <c r="E1658" t="str">
        <f>VLOOKUP(B1658,'PROCV GERENTES BD'!A:B,2,0)</f>
        <v>NOELI SALETE</v>
      </c>
      <c r="F1658" s="4" t="str">
        <f t="shared" si="129"/>
        <v>2025-03-2</v>
      </c>
      <c r="G1658" t="str">
        <f t="shared" si="125"/>
        <v>NOELI SALETE</v>
      </c>
      <c r="H1658" t="str">
        <f t="shared" si="126"/>
        <v>AGRO INDUSTRIAL LAZZERI LTDA</v>
      </c>
      <c r="I1658">
        <f t="shared" si="127"/>
        <v>0</v>
      </c>
      <c r="J1658">
        <f t="shared" si="128"/>
        <v>0</v>
      </c>
    </row>
    <row r="1659" spans="1:10" x14ac:dyDescent="0.25">
      <c r="A1659" t="s">
        <v>354</v>
      </c>
      <c r="B1659" t="s">
        <v>97</v>
      </c>
      <c r="C1659" t="s">
        <v>56</v>
      </c>
      <c r="D1659" s="3">
        <v>45743</v>
      </c>
      <c r="E1659" t="str">
        <f>VLOOKUP(B1659,'PROCV GERENTES BD'!A:B,2,0)</f>
        <v>POENATELA</v>
      </c>
      <c r="F1659" s="4" t="str">
        <f t="shared" si="129"/>
        <v>2025-03-2</v>
      </c>
      <c r="G1659" t="str">
        <f t="shared" si="125"/>
        <v>POENATELA</v>
      </c>
      <c r="H1659" t="str">
        <f t="shared" si="126"/>
        <v>UBERTEC SERVICE USINAGEM LTDA EPP</v>
      </c>
      <c r="I1659">
        <f t="shared" si="127"/>
        <v>0</v>
      </c>
      <c r="J1659">
        <f t="shared" si="128"/>
        <v>1</v>
      </c>
    </row>
    <row r="1660" spans="1:10" x14ac:dyDescent="0.25">
      <c r="A1660" t="s">
        <v>378</v>
      </c>
      <c r="B1660" t="s">
        <v>121</v>
      </c>
      <c r="C1660" t="s">
        <v>56</v>
      </c>
      <c r="D1660" s="3">
        <v>45743</v>
      </c>
      <c r="E1660" t="str">
        <f>VLOOKUP(B1660,'PROCV GERENTES BD'!A:B,2,0)</f>
        <v>POENATELA</v>
      </c>
      <c r="F1660" s="4" t="str">
        <f t="shared" si="129"/>
        <v>2025-03-2</v>
      </c>
      <c r="G1660" t="str">
        <f t="shared" si="125"/>
        <v>POENATELA</v>
      </c>
      <c r="H1660" t="str">
        <f t="shared" si="126"/>
        <v>COOPERATIVA TRANSP AUTON CARGAS PASSAG SERVICOS LO</v>
      </c>
      <c r="I1660">
        <f t="shared" si="127"/>
        <v>0</v>
      </c>
      <c r="J1660">
        <f t="shared" si="128"/>
        <v>1</v>
      </c>
    </row>
    <row r="1661" spans="1:10" x14ac:dyDescent="0.25">
      <c r="A1661" t="s">
        <v>397</v>
      </c>
      <c r="B1661" t="s">
        <v>143</v>
      </c>
      <c r="C1661" t="s">
        <v>72</v>
      </c>
      <c r="D1661" s="3">
        <v>45743</v>
      </c>
      <c r="E1661" t="str">
        <f>VLOOKUP(B1661,'PROCV GERENTES BD'!A:B,2,0)</f>
        <v>POENATELA</v>
      </c>
      <c r="F1661" s="4" t="str">
        <f t="shared" si="129"/>
        <v>2025-03-2</v>
      </c>
      <c r="G1661" t="str">
        <f t="shared" si="125"/>
        <v>POENATELA</v>
      </c>
      <c r="H1661" t="str">
        <f t="shared" si="126"/>
        <v>CONQUISTA INDUSTRIA DE MOVEIS S/A</v>
      </c>
      <c r="I1661">
        <f t="shared" si="127"/>
        <v>1</v>
      </c>
      <c r="J1661">
        <f t="shared" si="128"/>
        <v>0</v>
      </c>
    </row>
    <row r="1662" spans="1:10" x14ac:dyDescent="0.25">
      <c r="A1662" t="s">
        <v>352</v>
      </c>
      <c r="B1662" t="s">
        <v>95</v>
      </c>
      <c r="C1662" t="s">
        <v>77</v>
      </c>
      <c r="D1662" s="3">
        <v>45743</v>
      </c>
      <c r="E1662" t="str">
        <f>VLOOKUP(B1662,'PROCV GERENTES BD'!A:B,2,0)</f>
        <v>POENATELA</v>
      </c>
      <c r="F1662" s="4" t="str">
        <f t="shared" si="129"/>
        <v>2025-03-2</v>
      </c>
      <c r="G1662" t="str">
        <f t="shared" si="125"/>
        <v>POENATELA</v>
      </c>
      <c r="H1662" t="str">
        <f t="shared" si="126"/>
        <v>CERVEJARIA SOUZA LTDA</v>
      </c>
      <c r="I1662">
        <f t="shared" si="127"/>
        <v>0</v>
      </c>
      <c r="J1662">
        <f t="shared" si="128"/>
        <v>0</v>
      </c>
    </row>
    <row r="1663" spans="1:10" x14ac:dyDescent="0.25">
      <c r="A1663" t="s">
        <v>352</v>
      </c>
      <c r="B1663" t="s">
        <v>95</v>
      </c>
      <c r="C1663" t="s">
        <v>72</v>
      </c>
      <c r="D1663" s="3">
        <v>45743</v>
      </c>
      <c r="E1663" t="str">
        <f>VLOOKUP(B1663,'PROCV GERENTES BD'!A:B,2,0)</f>
        <v>POENATELA</v>
      </c>
      <c r="F1663" s="4" t="str">
        <f t="shared" si="129"/>
        <v>2025-03-2</v>
      </c>
      <c r="G1663" t="str">
        <f t="shared" si="125"/>
        <v>POENATELA</v>
      </c>
      <c r="H1663" t="str">
        <f t="shared" si="126"/>
        <v>CERVEJARIA SOUZA LTDA</v>
      </c>
      <c r="I1663">
        <f t="shared" si="127"/>
        <v>1</v>
      </c>
      <c r="J1663">
        <f t="shared" si="128"/>
        <v>0</v>
      </c>
    </row>
    <row r="1664" spans="1:10" x14ac:dyDescent="0.25">
      <c r="A1664" t="s">
        <v>354</v>
      </c>
      <c r="B1664" t="s">
        <v>97</v>
      </c>
      <c r="C1664" t="s">
        <v>56</v>
      </c>
      <c r="D1664" s="3">
        <v>45743</v>
      </c>
      <c r="E1664" t="str">
        <f>VLOOKUP(B1664,'PROCV GERENTES BD'!A:B,2,0)</f>
        <v>POENATELA</v>
      </c>
      <c r="F1664" s="4" t="str">
        <f t="shared" si="129"/>
        <v>2025-03-2</v>
      </c>
      <c r="G1664" t="str">
        <f t="shared" si="125"/>
        <v>POENATELA</v>
      </c>
      <c r="H1664" t="str">
        <f t="shared" si="126"/>
        <v>UBERTEC SERVICE USINAGEM LTDA EPP</v>
      </c>
      <c r="I1664">
        <f t="shared" si="127"/>
        <v>0</v>
      </c>
      <c r="J1664">
        <f t="shared" si="128"/>
        <v>1</v>
      </c>
    </row>
    <row r="1665" spans="1:10" x14ac:dyDescent="0.25">
      <c r="A1665" t="s">
        <v>378</v>
      </c>
      <c r="B1665" t="s">
        <v>121</v>
      </c>
      <c r="C1665" t="s">
        <v>72</v>
      </c>
      <c r="D1665" s="3">
        <v>45743</v>
      </c>
      <c r="E1665" t="str">
        <f>VLOOKUP(B1665,'PROCV GERENTES BD'!A:B,2,0)</f>
        <v>POENATELA</v>
      </c>
      <c r="F1665" s="4" t="str">
        <f t="shared" si="129"/>
        <v>2025-03-2</v>
      </c>
      <c r="G1665" t="str">
        <f t="shared" si="125"/>
        <v>POENATELA</v>
      </c>
      <c r="H1665" t="str">
        <f t="shared" si="126"/>
        <v>COOPERATIVA TRANSP AUTON CARGAS PASSAG SERVICOS LO</v>
      </c>
      <c r="I1665">
        <f t="shared" si="127"/>
        <v>1</v>
      </c>
      <c r="J1665">
        <f t="shared" si="128"/>
        <v>0</v>
      </c>
    </row>
    <row r="1666" spans="1:10" x14ac:dyDescent="0.25">
      <c r="A1666" t="s">
        <v>398</v>
      </c>
      <c r="B1666" t="s">
        <v>144</v>
      </c>
      <c r="C1666" t="s">
        <v>72</v>
      </c>
      <c r="D1666" s="3">
        <v>45743</v>
      </c>
      <c r="E1666" t="str">
        <f>VLOOKUP(B1666,'PROCV GERENTES BD'!A:B,2,0)</f>
        <v>PRISCILA METZ</v>
      </c>
      <c r="F1666" s="4" t="str">
        <f t="shared" si="129"/>
        <v>2025-03-2</v>
      </c>
      <c r="G1666" t="str">
        <f t="shared" ref="G1666:G1729" si="130">E1666</f>
        <v>PRISCILA METZ</v>
      </c>
      <c r="H1666" t="str">
        <f t="shared" ref="H1666:H1729" si="131">B1666</f>
        <v>VLF IMPERIAL LATICINIOS LTDA ME</v>
      </c>
      <c r="I1666">
        <f t="shared" ref="I1666:I1729" si="132">IF(C1666="EXCLUSAO  ANOT.INADIMPLENCIA",1,0)</f>
        <v>1</v>
      </c>
      <c r="J1666">
        <f t="shared" ref="J1666:J1729" si="133">IF(C1666="INCLUSAO  ANOT.INADIMPLENCIA",1,0)</f>
        <v>0</v>
      </c>
    </row>
    <row r="1667" spans="1:10" x14ac:dyDescent="0.25">
      <c r="A1667" t="s">
        <v>57</v>
      </c>
      <c r="B1667" t="s">
        <v>58</v>
      </c>
      <c r="C1667" t="s">
        <v>56</v>
      </c>
      <c r="D1667" s="3">
        <v>45743</v>
      </c>
      <c r="E1667" t="str">
        <f>VLOOKUP(B1667,'PROCV GERENTES BD'!A:B,2,0)</f>
        <v>RAFAEL PARISE</v>
      </c>
      <c r="F1667" s="4" t="str">
        <f t="shared" ref="F1667:F1730" si="134">YEAR(D1667)&amp;"-"&amp;TEXT(MONTH(D1667),"00")&amp;"-"&amp;IF(DAY(D1667)&lt;=15,"1",IF(DAY(D1667)&gt;15,"2",""))</f>
        <v>2025-03-2</v>
      </c>
      <c r="G1667" t="str">
        <f t="shared" si="130"/>
        <v>RAFAEL PARISE</v>
      </c>
      <c r="H1667" t="str">
        <f t="shared" si="131"/>
        <v>TDR TRANSPORTES LOGISTICA LTDA</v>
      </c>
      <c r="I1667">
        <f t="shared" si="132"/>
        <v>0</v>
      </c>
      <c r="J1667">
        <f t="shared" si="133"/>
        <v>1</v>
      </c>
    </row>
    <row r="1668" spans="1:10" x14ac:dyDescent="0.25">
      <c r="A1668" t="s">
        <v>479</v>
      </c>
      <c r="B1668" t="s">
        <v>235</v>
      </c>
      <c r="C1668" t="s">
        <v>56</v>
      </c>
      <c r="D1668" s="3">
        <v>45743</v>
      </c>
      <c r="E1668" t="str">
        <f>VLOOKUP(B1668,'PROCV GERENTES BD'!A:B,2,0)</f>
        <v>RAFAEL PARISE</v>
      </c>
      <c r="F1668" s="4" t="str">
        <f t="shared" si="134"/>
        <v>2025-03-2</v>
      </c>
      <c r="G1668" t="str">
        <f t="shared" si="130"/>
        <v>RAFAEL PARISE</v>
      </c>
      <c r="H1668" t="str">
        <f t="shared" si="131"/>
        <v>ORNELAS TRANSPORTE E LOGISTICA LTDA</v>
      </c>
      <c r="I1668">
        <f t="shared" si="132"/>
        <v>0</v>
      </c>
      <c r="J1668">
        <f t="shared" si="133"/>
        <v>1</v>
      </c>
    </row>
    <row r="1669" spans="1:10" x14ac:dyDescent="0.25">
      <c r="A1669" t="s">
        <v>452</v>
      </c>
      <c r="B1669" t="s">
        <v>202</v>
      </c>
      <c r="C1669" t="s">
        <v>56</v>
      </c>
      <c r="D1669" s="3">
        <v>45743</v>
      </c>
      <c r="E1669" t="str">
        <f>VLOOKUP(B1669,'PROCV GERENTES BD'!A:B,2,0)</f>
        <v>RAFAEL PARISE</v>
      </c>
      <c r="F1669" s="4" t="str">
        <f t="shared" si="134"/>
        <v>2025-03-2</v>
      </c>
      <c r="G1669" t="str">
        <f t="shared" si="130"/>
        <v>RAFAEL PARISE</v>
      </c>
      <c r="H1669" t="str">
        <f t="shared" si="131"/>
        <v>GEDIBOR RUBBER POLYURETHANE LTDA EPP</v>
      </c>
      <c r="I1669">
        <f t="shared" si="132"/>
        <v>0</v>
      </c>
      <c r="J1669">
        <f t="shared" si="133"/>
        <v>1</v>
      </c>
    </row>
    <row r="1670" spans="1:10" x14ac:dyDescent="0.25">
      <c r="A1670" t="s">
        <v>73</v>
      </c>
      <c r="B1670" t="s">
        <v>74</v>
      </c>
      <c r="C1670" t="s">
        <v>56</v>
      </c>
      <c r="D1670" s="3">
        <v>45743</v>
      </c>
      <c r="E1670" t="s">
        <v>25</v>
      </c>
      <c r="F1670" s="4" t="str">
        <f t="shared" si="134"/>
        <v>2025-03-2</v>
      </c>
      <c r="G1670" t="str">
        <f t="shared" si="130"/>
        <v xml:space="preserve">ROGERIO </v>
      </c>
      <c r="H1670" t="str">
        <f t="shared" si="131"/>
        <v>DIOTTONI INDUSTRIA E COMERCIO DE ALIMENTOS LTDA ME</v>
      </c>
      <c r="I1670">
        <f t="shared" si="132"/>
        <v>0</v>
      </c>
      <c r="J1670">
        <f t="shared" si="133"/>
        <v>1</v>
      </c>
    </row>
    <row r="1671" spans="1:10" x14ac:dyDescent="0.25">
      <c r="A1671" t="s">
        <v>476</v>
      </c>
      <c r="B1671" t="s">
        <v>232</v>
      </c>
      <c r="C1671" t="s">
        <v>56</v>
      </c>
      <c r="D1671" s="3">
        <v>45743</v>
      </c>
      <c r="E1671" t="s">
        <v>25</v>
      </c>
      <c r="F1671" s="4" t="str">
        <f t="shared" si="134"/>
        <v>2025-03-2</v>
      </c>
      <c r="G1671" t="str">
        <f t="shared" si="130"/>
        <v xml:space="preserve">ROGERIO </v>
      </c>
      <c r="H1671" t="str">
        <f t="shared" si="131"/>
        <v>TORQUE FERRAMENTAS LTDA ME</v>
      </c>
      <c r="I1671">
        <f t="shared" si="132"/>
        <v>0</v>
      </c>
      <c r="J1671">
        <f t="shared" si="133"/>
        <v>1</v>
      </c>
    </row>
    <row r="1672" spans="1:10" x14ac:dyDescent="0.25">
      <c r="A1672" t="s">
        <v>465</v>
      </c>
      <c r="B1672" t="s">
        <v>221</v>
      </c>
      <c r="C1672" t="s">
        <v>59</v>
      </c>
      <c r="D1672" s="3">
        <v>45743</v>
      </c>
      <c r="E1672" t="s">
        <v>25</v>
      </c>
      <c r="F1672" s="4" t="str">
        <f t="shared" si="134"/>
        <v>2025-03-2</v>
      </c>
      <c r="G1672" t="str">
        <f t="shared" si="130"/>
        <v xml:space="preserve">ROGERIO </v>
      </c>
      <c r="H1672" t="str">
        <f t="shared" si="131"/>
        <v>METAL STAMP INDUSTRIA E COMERCIO LTDA</v>
      </c>
      <c r="I1672">
        <f t="shared" si="132"/>
        <v>0</v>
      </c>
      <c r="J1672">
        <f t="shared" si="133"/>
        <v>0</v>
      </c>
    </row>
    <row r="1673" spans="1:10" x14ac:dyDescent="0.25">
      <c r="A1673" t="s">
        <v>73</v>
      </c>
      <c r="B1673" t="s">
        <v>74</v>
      </c>
      <c r="C1673" t="s">
        <v>56</v>
      </c>
      <c r="D1673" s="3">
        <v>45743</v>
      </c>
      <c r="E1673" t="s">
        <v>25</v>
      </c>
      <c r="F1673" s="4" t="str">
        <f t="shared" si="134"/>
        <v>2025-03-2</v>
      </c>
      <c r="G1673" t="str">
        <f t="shared" si="130"/>
        <v xml:space="preserve">ROGERIO </v>
      </c>
      <c r="H1673" t="str">
        <f t="shared" si="131"/>
        <v>DIOTTONI INDUSTRIA E COMERCIO DE ALIMENTOS LTDA ME</v>
      </c>
      <c r="I1673">
        <f t="shared" si="132"/>
        <v>0</v>
      </c>
      <c r="J1673">
        <f t="shared" si="133"/>
        <v>1</v>
      </c>
    </row>
    <row r="1674" spans="1:10" x14ac:dyDescent="0.25">
      <c r="A1674" t="s">
        <v>465</v>
      </c>
      <c r="B1674" t="s">
        <v>221</v>
      </c>
      <c r="C1674" t="s">
        <v>72</v>
      </c>
      <c r="D1674" s="3">
        <v>45743</v>
      </c>
      <c r="E1674" t="s">
        <v>25</v>
      </c>
      <c r="F1674" s="4" t="str">
        <f t="shared" si="134"/>
        <v>2025-03-2</v>
      </c>
      <c r="G1674" t="str">
        <f t="shared" si="130"/>
        <v xml:space="preserve">ROGERIO </v>
      </c>
      <c r="H1674" t="str">
        <f t="shared" si="131"/>
        <v>METAL STAMP INDUSTRIA E COMERCIO LTDA</v>
      </c>
      <c r="I1674">
        <f t="shared" si="132"/>
        <v>1</v>
      </c>
      <c r="J1674">
        <f t="shared" si="133"/>
        <v>0</v>
      </c>
    </row>
    <row r="1675" spans="1:10" x14ac:dyDescent="0.25">
      <c r="A1675" t="s">
        <v>333</v>
      </c>
      <c r="B1675" t="s">
        <v>129</v>
      </c>
      <c r="C1675" t="s">
        <v>56</v>
      </c>
      <c r="D1675" s="3">
        <v>45743</v>
      </c>
      <c r="E1675" t="s">
        <v>25</v>
      </c>
      <c r="F1675" s="4" t="str">
        <f t="shared" si="134"/>
        <v>2025-03-2</v>
      </c>
      <c r="G1675" t="str">
        <f t="shared" si="130"/>
        <v xml:space="preserve">ROGERIO </v>
      </c>
      <c r="H1675" t="str">
        <f t="shared" si="131"/>
        <v>BIBE PRODUTOS INFANTIS LTDA</v>
      </c>
      <c r="I1675">
        <f t="shared" si="132"/>
        <v>0</v>
      </c>
      <c r="J1675">
        <f t="shared" si="133"/>
        <v>1</v>
      </c>
    </row>
    <row r="1676" spans="1:10" x14ac:dyDescent="0.25">
      <c r="A1676" t="s">
        <v>332</v>
      </c>
      <c r="B1676" t="s">
        <v>145</v>
      </c>
      <c r="C1676" t="s">
        <v>56</v>
      </c>
      <c r="D1676" s="3">
        <v>45743</v>
      </c>
      <c r="E1676" t="str">
        <f>VLOOKUP(B1676,'PROCV GERENTES BD'!A:B,2,0)</f>
        <v>SEM GERENTE</v>
      </c>
      <c r="F1676" s="4" t="str">
        <f t="shared" si="134"/>
        <v>2025-03-2</v>
      </c>
      <c r="G1676" t="str">
        <f t="shared" si="130"/>
        <v>SEM GERENTE</v>
      </c>
      <c r="H1676" t="str">
        <f t="shared" si="131"/>
        <v>ALLIAGE S A INDUSTRIAS MEDICO ODONTOLOGICA</v>
      </c>
      <c r="I1676">
        <f t="shared" si="132"/>
        <v>0</v>
      </c>
      <c r="J1676">
        <f t="shared" si="133"/>
        <v>1</v>
      </c>
    </row>
    <row r="1677" spans="1:10" x14ac:dyDescent="0.25">
      <c r="A1677" t="s">
        <v>492</v>
      </c>
      <c r="B1677" t="s">
        <v>252</v>
      </c>
      <c r="C1677" t="s">
        <v>336</v>
      </c>
      <c r="D1677" s="3">
        <v>45743</v>
      </c>
      <c r="E1677" t="str">
        <f>VLOOKUP(B1677,'PROCV GERENTES BD'!A:B,2,0)</f>
        <v>ADMINISTRAÇÃO</v>
      </c>
      <c r="F1677" s="4" t="str">
        <f t="shared" si="134"/>
        <v>2025-03-2</v>
      </c>
      <c r="G1677" t="str">
        <f t="shared" si="130"/>
        <v>ADMINISTRAÇÃO</v>
      </c>
      <c r="H1677" t="str">
        <f t="shared" si="131"/>
        <v>REAL FILTROS E ACESSORIOS AUTOMOTIVOS LTDA</v>
      </c>
      <c r="I1677">
        <f t="shared" si="132"/>
        <v>0</v>
      </c>
      <c r="J1677">
        <f t="shared" si="133"/>
        <v>0</v>
      </c>
    </row>
    <row r="1678" spans="1:10" x14ac:dyDescent="0.25">
      <c r="A1678" t="s">
        <v>496</v>
      </c>
      <c r="B1678" t="s">
        <v>254</v>
      </c>
      <c r="C1678" t="s">
        <v>77</v>
      </c>
      <c r="D1678" s="3">
        <v>45743</v>
      </c>
      <c r="E1678" t="str">
        <f>VLOOKUP(B1678,'PROCV GERENTES BD'!A:B,2,0)</f>
        <v>CELIO PIMENTA</v>
      </c>
      <c r="F1678" s="4" t="str">
        <f t="shared" si="134"/>
        <v>2025-03-2</v>
      </c>
      <c r="G1678" t="str">
        <f t="shared" si="130"/>
        <v>CELIO PIMENTA</v>
      </c>
      <c r="H1678" t="str">
        <f t="shared" si="131"/>
        <v>AZ HIDRAULICA USINAGEM LTDA EPP</v>
      </c>
      <c r="I1678">
        <f t="shared" si="132"/>
        <v>0</v>
      </c>
      <c r="J1678">
        <f t="shared" si="133"/>
        <v>0</v>
      </c>
    </row>
    <row r="1679" spans="1:10" x14ac:dyDescent="0.25">
      <c r="A1679" t="s">
        <v>321</v>
      </c>
      <c r="B1679" t="s">
        <v>253</v>
      </c>
      <c r="C1679" t="s">
        <v>336</v>
      </c>
      <c r="D1679" s="3">
        <v>45743</v>
      </c>
      <c r="E1679" t="str">
        <f>VLOOKUP(B1679,'PROCV GERENTES BD'!A:B,2,0)</f>
        <v>THAYNA/COMERCIAL</v>
      </c>
      <c r="F1679" s="4" t="str">
        <f t="shared" si="134"/>
        <v>2025-03-2</v>
      </c>
      <c r="G1679" t="str">
        <f t="shared" si="130"/>
        <v>THAYNA/COMERCIAL</v>
      </c>
      <c r="H1679" t="str">
        <f t="shared" si="131"/>
        <v>MUTCD CENTRO DE DISTRIBUICAO DE IND FABRICANTE DE</v>
      </c>
      <c r="I1679">
        <f t="shared" si="132"/>
        <v>0</v>
      </c>
      <c r="J1679">
        <f t="shared" si="133"/>
        <v>0</v>
      </c>
    </row>
    <row r="1680" spans="1:10" x14ac:dyDescent="0.25">
      <c r="A1680" t="s">
        <v>60</v>
      </c>
      <c r="B1680" t="s">
        <v>61</v>
      </c>
      <c r="C1680" t="s">
        <v>72</v>
      </c>
      <c r="D1680" s="3">
        <v>45744</v>
      </c>
      <c r="E1680" t="str">
        <f>VLOOKUP(B1680,'PROCV GERENTES BD'!A:B,2,0)</f>
        <v>CELIO PIMENTA</v>
      </c>
      <c r="F1680" s="4" t="str">
        <f t="shared" si="134"/>
        <v>2025-03-2</v>
      </c>
      <c r="G1680" t="str">
        <f t="shared" si="130"/>
        <v>CELIO PIMENTA</v>
      </c>
      <c r="H1680" t="str">
        <f t="shared" si="131"/>
        <v>WJ CALDEIRARIA INDUSTRIA E COMERCIO LTDA ME</v>
      </c>
      <c r="I1680">
        <f t="shared" si="132"/>
        <v>1</v>
      </c>
      <c r="J1680">
        <f t="shared" si="133"/>
        <v>0</v>
      </c>
    </row>
    <row r="1681" spans="1:10" x14ac:dyDescent="0.25">
      <c r="A1681" t="s">
        <v>326</v>
      </c>
      <c r="B1681" t="s">
        <v>86</v>
      </c>
      <c r="C1681" t="s">
        <v>72</v>
      </c>
      <c r="D1681" s="3">
        <v>45744</v>
      </c>
      <c r="E1681" t="str">
        <f>VLOOKUP(B1681,'PROCV GERENTES BD'!A:B,2,0)</f>
        <v>CELIO PIMENTA</v>
      </c>
      <c r="F1681" s="4" t="str">
        <f t="shared" si="134"/>
        <v>2025-03-2</v>
      </c>
      <c r="G1681" t="str">
        <f t="shared" si="130"/>
        <v>CELIO PIMENTA</v>
      </c>
      <c r="H1681" t="str">
        <f t="shared" si="131"/>
        <v>IMPORTEXTIL COMERCIO DE TECIDOS LTDA</v>
      </c>
      <c r="I1681">
        <f t="shared" si="132"/>
        <v>1</v>
      </c>
      <c r="J1681">
        <f t="shared" si="133"/>
        <v>0</v>
      </c>
    </row>
    <row r="1682" spans="1:10" x14ac:dyDescent="0.25">
      <c r="A1682" t="s">
        <v>468</v>
      </c>
      <c r="B1682" t="s">
        <v>224</v>
      </c>
      <c r="C1682" t="s">
        <v>72</v>
      </c>
      <c r="D1682" s="3">
        <v>45744</v>
      </c>
      <c r="E1682" t="str">
        <f>VLOOKUP(B1682,'PROCV GERENTES BD'!A:B,2,0)</f>
        <v>CELIO PIMENTA</v>
      </c>
      <c r="F1682" s="4" t="str">
        <f t="shared" si="134"/>
        <v>2025-03-2</v>
      </c>
      <c r="G1682" t="str">
        <f t="shared" si="130"/>
        <v>CELIO PIMENTA</v>
      </c>
      <c r="H1682" t="str">
        <f t="shared" si="131"/>
        <v>MINAS CLEAN DISTRIBUIDORA DE PRODUTOS PARA LIMPEZA</v>
      </c>
      <c r="I1682">
        <f t="shared" si="132"/>
        <v>1</v>
      </c>
      <c r="J1682">
        <f t="shared" si="133"/>
        <v>0</v>
      </c>
    </row>
    <row r="1683" spans="1:10" x14ac:dyDescent="0.25">
      <c r="A1683" t="s">
        <v>475</v>
      </c>
      <c r="B1683" t="s">
        <v>231</v>
      </c>
      <c r="C1683" t="s">
        <v>56</v>
      </c>
      <c r="D1683" s="3">
        <v>45744</v>
      </c>
      <c r="E1683" t="str">
        <f>VLOOKUP(B1683,'PROCV GERENTES BD'!A:B,2,0)</f>
        <v>DIOGO AZEVEDO</v>
      </c>
      <c r="F1683" s="4" t="str">
        <f t="shared" si="134"/>
        <v>2025-03-2</v>
      </c>
      <c r="G1683" t="str">
        <f t="shared" si="130"/>
        <v>DIOGO AZEVEDO</v>
      </c>
      <c r="H1683" t="str">
        <f t="shared" si="131"/>
        <v>VGS COMERCIO DE EMBALAGENS DE MADEIRAS LTDA ME</v>
      </c>
      <c r="I1683">
        <f t="shared" si="132"/>
        <v>0</v>
      </c>
      <c r="J1683">
        <f t="shared" si="133"/>
        <v>1</v>
      </c>
    </row>
    <row r="1684" spans="1:10" x14ac:dyDescent="0.25">
      <c r="A1684" t="s">
        <v>419</v>
      </c>
      <c r="B1684" t="s">
        <v>168</v>
      </c>
      <c r="C1684" t="s">
        <v>56</v>
      </c>
      <c r="D1684" s="3">
        <v>45744</v>
      </c>
      <c r="E1684" t="str">
        <f>VLOOKUP(B1684,'PROCV GERENTES BD'!A:B,2,0)</f>
        <v>FITZ</v>
      </c>
      <c r="F1684" s="4" t="str">
        <f t="shared" si="134"/>
        <v>2025-03-2</v>
      </c>
      <c r="G1684" t="str">
        <f t="shared" si="130"/>
        <v>FITZ</v>
      </c>
      <c r="H1684" t="str">
        <f t="shared" si="131"/>
        <v>ESCUDO VIGILANCIA E SEGURANCA LTDA EM RECUPERACAO</v>
      </c>
      <c r="I1684">
        <f t="shared" si="132"/>
        <v>0</v>
      </c>
      <c r="J1684">
        <f t="shared" si="133"/>
        <v>1</v>
      </c>
    </row>
    <row r="1685" spans="1:10" x14ac:dyDescent="0.25">
      <c r="A1685" t="s">
        <v>68</v>
      </c>
      <c r="B1685" t="s">
        <v>69</v>
      </c>
      <c r="C1685" t="s">
        <v>56</v>
      </c>
      <c r="D1685" s="3">
        <v>45744</v>
      </c>
      <c r="E1685" t="str">
        <f>VLOOKUP(B1685,'PROCV GERENTES BD'!A:B,2,0)</f>
        <v>FITZ</v>
      </c>
      <c r="F1685" s="4" t="str">
        <f t="shared" si="134"/>
        <v>2025-03-2</v>
      </c>
      <c r="G1685" t="str">
        <f t="shared" si="130"/>
        <v>FITZ</v>
      </c>
      <c r="H1685" t="str">
        <f t="shared" si="131"/>
        <v>MAPP COM IMPORTACAO EXPORTACAO IND PRODUTOS ALIMEN</v>
      </c>
      <c r="I1685">
        <f t="shared" si="132"/>
        <v>0</v>
      </c>
      <c r="J1685">
        <f t="shared" si="133"/>
        <v>1</v>
      </c>
    </row>
    <row r="1686" spans="1:10" x14ac:dyDescent="0.25">
      <c r="A1686" t="s">
        <v>78</v>
      </c>
      <c r="B1686" t="s">
        <v>79</v>
      </c>
      <c r="C1686" t="s">
        <v>56</v>
      </c>
      <c r="D1686" s="3">
        <v>45744</v>
      </c>
      <c r="E1686" t="str">
        <f>VLOOKUP(B1686,'PROCV GERENTES BD'!A:B,2,0)</f>
        <v>NOELI SALETE</v>
      </c>
      <c r="F1686" s="4" t="str">
        <f t="shared" si="134"/>
        <v>2025-03-2</v>
      </c>
      <c r="G1686" t="str">
        <f t="shared" si="130"/>
        <v>NOELI SALETE</v>
      </c>
      <c r="H1686" t="str">
        <f t="shared" si="131"/>
        <v>SMARTCENTER SOLUCOES INTELIGENTES LTDA ME</v>
      </c>
      <c r="I1686">
        <f t="shared" si="132"/>
        <v>0</v>
      </c>
      <c r="J1686">
        <f t="shared" si="133"/>
        <v>1</v>
      </c>
    </row>
    <row r="1687" spans="1:10" x14ac:dyDescent="0.25">
      <c r="A1687" t="s">
        <v>73</v>
      </c>
      <c r="B1687" t="s">
        <v>74</v>
      </c>
      <c r="C1687" t="s">
        <v>56</v>
      </c>
      <c r="D1687" s="3">
        <v>45744</v>
      </c>
      <c r="E1687" t="s">
        <v>25</v>
      </c>
      <c r="F1687" s="4" t="str">
        <f t="shared" si="134"/>
        <v>2025-03-2</v>
      </c>
      <c r="G1687" t="str">
        <f t="shared" si="130"/>
        <v xml:space="preserve">ROGERIO </v>
      </c>
      <c r="H1687" t="str">
        <f t="shared" si="131"/>
        <v>DIOTTONI INDUSTRIA E COMERCIO DE ALIMENTOS LTDA ME</v>
      </c>
      <c r="I1687">
        <f t="shared" si="132"/>
        <v>0</v>
      </c>
      <c r="J1687">
        <f t="shared" si="133"/>
        <v>1</v>
      </c>
    </row>
    <row r="1688" spans="1:10" x14ac:dyDescent="0.25">
      <c r="A1688" t="s">
        <v>62</v>
      </c>
      <c r="B1688" t="s">
        <v>63</v>
      </c>
      <c r="C1688" t="s">
        <v>72</v>
      </c>
      <c r="D1688" s="3">
        <v>45744</v>
      </c>
      <c r="E1688" t="str">
        <f>VLOOKUP(B1688,'PROCV GERENTES BD'!A:B,2,0)</f>
        <v xml:space="preserve">ROGERIO </v>
      </c>
      <c r="F1688" s="4" t="str">
        <f t="shared" si="134"/>
        <v>2025-03-2</v>
      </c>
      <c r="G1688" t="str">
        <f t="shared" si="130"/>
        <v xml:space="preserve">ROGERIO </v>
      </c>
      <c r="H1688" t="str">
        <f t="shared" si="131"/>
        <v>RODOVIEIRA TRANSPORTE LTDA</v>
      </c>
      <c r="I1688">
        <f t="shared" si="132"/>
        <v>1</v>
      </c>
      <c r="J1688">
        <f t="shared" si="133"/>
        <v>0</v>
      </c>
    </row>
    <row r="1689" spans="1:10" x14ac:dyDescent="0.25">
      <c r="A1689" t="s">
        <v>321</v>
      </c>
      <c r="B1689" t="s">
        <v>253</v>
      </c>
      <c r="C1689" t="s">
        <v>72</v>
      </c>
      <c r="D1689" s="3">
        <v>45744</v>
      </c>
      <c r="E1689" t="str">
        <f>VLOOKUP(B1689,'PROCV GERENTES BD'!A:B,2,0)</f>
        <v>THAYNA/COMERCIAL</v>
      </c>
      <c r="F1689" s="4" t="str">
        <f t="shared" si="134"/>
        <v>2025-03-2</v>
      </c>
      <c r="G1689" t="str">
        <f t="shared" si="130"/>
        <v>THAYNA/COMERCIAL</v>
      </c>
      <c r="H1689" t="str">
        <f t="shared" si="131"/>
        <v>MUTCD CENTRO DE DISTRIBUICAO DE IND FABRICANTE DE</v>
      </c>
      <c r="I1689">
        <f t="shared" si="132"/>
        <v>1</v>
      </c>
      <c r="J1689">
        <f t="shared" si="133"/>
        <v>0</v>
      </c>
    </row>
    <row r="1690" spans="1:10" x14ac:dyDescent="0.25">
      <c r="A1690" t="s">
        <v>390</v>
      </c>
      <c r="B1690" t="s">
        <v>136</v>
      </c>
      <c r="C1690" t="s">
        <v>56</v>
      </c>
      <c r="D1690" s="3">
        <v>45745</v>
      </c>
      <c r="E1690" t="str">
        <f>VLOOKUP(B1690,'PROCV GERENTES BD'!A:B,2,0)</f>
        <v>ADMINISTRAÇÃO</v>
      </c>
      <c r="F1690" s="4" t="str">
        <f t="shared" si="134"/>
        <v>2025-03-2</v>
      </c>
      <c r="G1690" t="str">
        <f t="shared" si="130"/>
        <v>ADMINISTRAÇÃO</v>
      </c>
      <c r="H1690" t="str">
        <f t="shared" si="131"/>
        <v>XEQUE MATE BEBIDAS LTDA ME</v>
      </c>
      <c r="I1690">
        <f t="shared" si="132"/>
        <v>0</v>
      </c>
      <c r="J1690">
        <f t="shared" si="133"/>
        <v>1</v>
      </c>
    </row>
    <row r="1691" spans="1:10" x14ac:dyDescent="0.25">
      <c r="A1691" t="s">
        <v>380</v>
      </c>
      <c r="B1691" t="s">
        <v>123</v>
      </c>
      <c r="C1691" t="s">
        <v>72</v>
      </c>
      <c r="D1691" s="3">
        <v>45745</v>
      </c>
      <c r="E1691" t="str">
        <f>VLOOKUP(B1691,'PROCV GERENTES BD'!A:B,2,0)</f>
        <v>ANTONIO CARLOS</v>
      </c>
      <c r="F1691" s="4" t="str">
        <f t="shared" si="134"/>
        <v>2025-03-2</v>
      </c>
      <c r="G1691" t="str">
        <f t="shared" si="130"/>
        <v>ANTONIO CARLOS</v>
      </c>
      <c r="H1691" t="str">
        <f t="shared" si="131"/>
        <v>PREMOLDADOS MATOSINHOS LTDA EPP</v>
      </c>
      <c r="I1691">
        <f t="shared" si="132"/>
        <v>1</v>
      </c>
      <c r="J1691">
        <f t="shared" si="133"/>
        <v>0</v>
      </c>
    </row>
    <row r="1692" spans="1:10" x14ac:dyDescent="0.25">
      <c r="A1692" t="s">
        <v>60</v>
      </c>
      <c r="B1692" t="s">
        <v>61</v>
      </c>
      <c r="C1692" t="s">
        <v>56</v>
      </c>
      <c r="D1692" s="3">
        <v>45745</v>
      </c>
      <c r="E1692" t="str">
        <f>VLOOKUP(B1692,'PROCV GERENTES BD'!A:B,2,0)</f>
        <v>CELIO PIMENTA</v>
      </c>
      <c r="F1692" s="4" t="str">
        <f t="shared" si="134"/>
        <v>2025-03-2</v>
      </c>
      <c r="G1692" t="str">
        <f t="shared" si="130"/>
        <v>CELIO PIMENTA</v>
      </c>
      <c r="H1692" t="str">
        <f t="shared" si="131"/>
        <v>WJ CALDEIRARIA INDUSTRIA E COMERCIO LTDA ME</v>
      </c>
      <c r="I1692">
        <f t="shared" si="132"/>
        <v>0</v>
      </c>
      <c r="J1692">
        <f t="shared" si="133"/>
        <v>1</v>
      </c>
    </row>
    <row r="1693" spans="1:10" x14ac:dyDescent="0.25">
      <c r="A1693" t="s">
        <v>475</v>
      </c>
      <c r="B1693" t="s">
        <v>231</v>
      </c>
      <c r="C1693" t="s">
        <v>56</v>
      </c>
      <c r="D1693" s="3">
        <v>45745</v>
      </c>
      <c r="E1693" t="str">
        <f>VLOOKUP(B1693,'PROCV GERENTES BD'!A:B,2,0)</f>
        <v>DIOGO AZEVEDO</v>
      </c>
      <c r="F1693" s="4" t="str">
        <f t="shared" si="134"/>
        <v>2025-03-2</v>
      </c>
      <c r="G1693" t="str">
        <f t="shared" si="130"/>
        <v>DIOGO AZEVEDO</v>
      </c>
      <c r="H1693" t="str">
        <f t="shared" si="131"/>
        <v>VGS COMERCIO DE EMBALAGENS DE MADEIRAS LTDA ME</v>
      </c>
      <c r="I1693">
        <f t="shared" si="132"/>
        <v>0</v>
      </c>
      <c r="J1693">
        <f t="shared" si="133"/>
        <v>1</v>
      </c>
    </row>
    <row r="1694" spans="1:10" x14ac:dyDescent="0.25">
      <c r="A1694" t="s">
        <v>480</v>
      </c>
      <c r="B1694" t="s">
        <v>236</v>
      </c>
      <c r="C1694" t="s">
        <v>56</v>
      </c>
      <c r="D1694" s="3">
        <v>45745</v>
      </c>
      <c r="E1694" t="str">
        <f>VLOOKUP(B1694,'PROCV GERENTES BD'!A:B,2,0)</f>
        <v>FITZ</v>
      </c>
      <c r="F1694" s="4" t="str">
        <f t="shared" si="134"/>
        <v>2025-03-2</v>
      </c>
      <c r="G1694" t="str">
        <f t="shared" si="130"/>
        <v>FITZ</v>
      </c>
      <c r="H1694" t="str">
        <f t="shared" si="131"/>
        <v>ELO TELECOMUNICACOES E CONSTRUCOES S/A</v>
      </c>
      <c r="I1694">
        <f t="shared" si="132"/>
        <v>0</v>
      </c>
      <c r="J1694">
        <f t="shared" si="133"/>
        <v>1</v>
      </c>
    </row>
    <row r="1695" spans="1:10" x14ac:dyDescent="0.25">
      <c r="A1695" t="s">
        <v>410</v>
      </c>
      <c r="B1695" t="s">
        <v>159</v>
      </c>
      <c r="C1695" t="s">
        <v>72</v>
      </c>
      <c r="D1695" s="3">
        <v>45745</v>
      </c>
      <c r="E1695" t="str">
        <f>VLOOKUP(B1695,'PROCV GERENTES BD'!A:B,2,0)</f>
        <v>FITZ</v>
      </c>
      <c r="F1695" s="4" t="str">
        <f t="shared" si="134"/>
        <v>2025-03-2</v>
      </c>
      <c r="G1695" t="str">
        <f t="shared" si="130"/>
        <v>FITZ</v>
      </c>
      <c r="H1695" t="str">
        <f t="shared" si="131"/>
        <v>MOINHO DE TRIGO JM LTDA</v>
      </c>
      <c r="I1695">
        <f t="shared" si="132"/>
        <v>1</v>
      </c>
      <c r="J1695">
        <f t="shared" si="133"/>
        <v>0</v>
      </c>
    </row>
    <row r="1696" spans="1:10" x14ac:dyDescent="0.25">
      <c r="A1696" t="s">
        <v>423</v>
      </c>
      <c r="B1696" t="s">
        <v>172</v>
      </c>
      <c r="C1696" t="s">
        <v>56</v>
      </c>
      <c r="D1696" s="3">
        <v>45745</v>
      </c>
      <c r="E1696" t="str">
        <f>VLOOKUP(B1696,'PROCV GERENTES BD'!A:B,2,0)</f>
        <v>FITZ</v>
      </c>
      <c r="F1696" s="4" t="str">
        <f t="shared" si="134"/>
        <v>2025-03-2</v>
      </c>
      <c r="G1696" t="str">
        <f t="shared" si="130"/>
        <v>FITZ</v>
      </c>
      <c r="H1696" t="str">
        <f t="shared" si="131"/>
        <v>STA SERVICOS LTDA</v>
      </c>
      <c r="I1696">
        <f t="shared" si="132"/>
        <v>0</v>
      </c>
      <c r="J1696">
        <f t="shared" si="133"/>
        <v>1</v>
      </c>
    </row>
    <row r="1697" spans="1:10" x14ac:dyDescent="0.25">
      <c r="A1697" t="s">
        <v>367</v>
      </c>
      <c r="B1697" t="s">
        <v>112</v>
      </c>
      <c r="C1697" t="s">
        <v>56</v>
      </c>
      <c r="D1697" s="3">
        <v>45745</v>
      </c>
      <c r="E1697" t="str">
        <f>VLOOKUP(B1697,'PROCV GERENTES BD'!A:B,2,0)</f>
        <v>FITZ</v>
      </c>
      <c r="F1697" s="4" t="str">
        <f t="shared" si="134"/>
        <v>2025-03-2</v>
      </c>
      <c r="G1697" t="str">
        <f t="shared" si="130"/>
        <v>FITZ</v>
      </c>
      <c r="H1697" t="str">
        <f t="shared" si="131"/>
        <v>ALEXANDRE ROSA VICENTE E SERVICOS LTDA ME</v>
      </c>
      <c r="I1697">
        <f t="shared" si="132"/>
        <v>0</v>
      </c>
      <c r="J1697">
        <f t="shared" si="133"/>
        <v>1</v>
      </c>
    </row>
    <row r="1698" spans="1:10" x14ac:dyDescent="0.25">
      <c r="A1698" t="s">
        <v>420</v>
      </c>
      <c r="B1698" t="s">
        <v>169</v>
      </c>
      <c r="C1698" t="s">
        <v>56</v>
      </c>
      <c r="D1698" s="3">
        <v>45745</v>
      </c>
      <c r="E1698" t="str">
        <f>VLOOKUP(B1698,'PROCV GERENTES BD'!A:B,2,0)</f>
        <v>FITZ</v>
      </c>
      <c r="F1698" s="4" t="str">
        <f t="shared" si="134"/>
        <v>2025-03-2</v>
      </c>
      <c r="G1698" t="str">
        <f t="shared" si="130"/>
        <v>FITZ</v>
      </c>
      <c r="H1698" t="str">
        <f t="shared" si="131"/>
        <v>MORIA PRESTACAO DE SERVICOS LTDA ME</v>
      </c>
      <c r="I1698">
        <f t="shared" si="132"/>
        <v>0</v>
      </c>
      <c r="J1698">
        <f t="shared" si="133"/>
        <v>1</v>
      </c>
    </row>
    <row r="1699" spans="1:10" x14ac:dyDescent="0.25">
      <c r="A1699" t="s">
        <v>68</v>
      </c>
      <c r="B1699" t="s">
        <v>69</v>
      </c>
      <c r="C1699" t="s">
        <v>56</v>
      </c>
      <c r="D1699" s="3">
        <v>45745</v>
      </c>
      <c r="E1699" t="str">
        <f>VLOOKUP(B1699,'PROCV GERENTES BD'!A:B,2,0)</f>
        <v>FITZ</v>
      </c>
      <c r="F1699" s="4" t="str">
        <f t="shared" si="134"/>
        <v>2025-03-2</v>
      </c>
      <c r="G1699" t="str">
        <f t="shared" si="130"/>
        <v>FITZ</v>
      </c>
      <c r="H1699" t="str">
        <f t="shared" si="131"/>
        <v>MAPP COM IMPORTACAO EXPORTACAO IND PRODUTOS ALIMEN</v>
      </c>
      <c r="I1699">
        <f t="shared" si="132"/>
        <v>0</v>
      </c>
      <c r="J1699">
        <f t="shared" si="133"/>
        <v>1</v>
      </c>
    </row>
    <row r="1700" spans="1:10" x14ac:dyDescent="0.25">
      <c r="A1700" t="s">
        <v>66</v>
      </c>
      <c r="B1700" t="s">
        <v>67</v>
      </c>
      <c r="C1700" t="s">
        <v>59</v>
      </c>
      <c r="D1700" s="3">
        <v>45745</v>
      </c>
      <c r="E1700" t="str">
        <f>VLOOKUP(B1700,'PROCV GERENTES BD'!A:B,2,0)</f>
        <v xml:space="preserve">MARCUS VINICIUS </v>
      </c>
      <c r="F1700" s="4" t="str">
        <f t="shared" si="134"/>
        <v>2025-03-2</v>
      </c>
      <c r="G1700" t="str">
        <f t="shared" si="130"/>
        <v xml:space="preserve">MARCUS VINICIUS </v>
      </c>
      <c r="H1700" t="str">
        <f t="shared" si="131"/>
        <v>COM IND DE CEREAIS E TRANSPORTES MACIEL LTDA</v>
      </c>
      <c r="I1700">
        <f t="shared" si="132"/>
        <v>0</v>
      </c>
      <c r="J1700">
        <f t="shared" si="133"/>
        <v>0</v>
      </c>
    </row>
    <row r="1701" spans="1:10" x14ac:dyDescent="0.25">
      <c r="A1701" t="s">
        <v>427</v>
      </c>
      <c r="B1701" t="s">
        <v>206</v>
      </c>
      <c r="C1701" t="s">
        <v>56</v>
      </c>
      <c r="D1701" s="3">
        <v>45745</v>
      </c>
      <c r="E1701" t="str">
        <f>VLOOKUP(B1701,'PROCV GERENTES BD'!A:B,2,0)</f>
        <v>NOELI SALETE</v>
      </c>
      <c r="F1701" s="4" t="str">
        <f t="shared" si="134"/>
        <v>2025-03-2</v>
      </c>
      <c r="G1701" t="str">
        <f t="shared" si="130"/>
        <v>NOELI SALETE</v>
      </c>
      <c r="H1701" t="str">
        <f t="shared" si="131"/>
        <v>GLOBAL ACO SERV PRODUTOS SIDERURGICOS LTDA RECUPER</v>
      </c>
      <c r="I1701">
        <f t="shared" si="132"/>
        <v>0</v>
      </c>
      <c r="J1701">
        <f t="shared" si="133"/>
        <v>1</v>
      </c>
    </row>
    <row r="1702" spans="1:10" x14ac:dyDescent="0.25">
      <c r="A1702" t="s">
        <v>78</v>
      </c>
      <c r="B1702" t="s">
        <v>79</v>
      </c>
      <c r="C1702" t="s">
        <v>56</v>
      </c>
      <c r="D1702" s="3">
        <v>45745</v>
      </c>
      <c r="E1702" t="str">
        <f>VLOOKUP(B1702,'PROCV GERENTES BD'!A:B,2,0)</f>
        <v>NOELI SALETE</v>
      </c>
      <c r="F1702" s="4" t="str">
        <f t="shared" si="134"/>
        <v>2025-03-2</v>
      </c>
      <c r="G1702" t="str">
        <f t="shared" si="130"/>
        <v>NOELI SALETE</v>
      </c>
      <c r="H1702" t="str">
        <f t="shared" si="131"/>
        <v>SMARTCENTER SOLUCOES INTELIGENTES LTDA ME</v>
      </c>
      <c r="I1702">
        <f t="shared" si="132"/>
        <v>0</v>
      </c>
      <c r="J1702">
        <f t="shared" si="133"/>
        <v>1</v>
      </c>
    </row>
    <row r="1703" spans="1:10" x14ac:dyDescent="0.25">
      <c r="A1703" t="s">
        <v>408</v>
      </c>
      <c r="B1703" t="s">
        <v>157</v>
      </c>
      <c r="C1703" t="s">
        <v>56</v>
      </c>
      <c r="D1703" s="3">
        <v>45745</v>
      </c>
      <c r="E1703" t="str">
        <f>VLOOKUP(B1703,'PROCV GERENTES BD'!A:B,2,0)</f>
        <v>NOELI SALETE</v>
      </c>
      <c r="F1703" s="4" t="str">
        <f t="shared" si="134"/>
        <v>2025-03-2</v>
      </c>
      <c r="G1703" t="str">
        <f t="shared" si="130"/>
        <v>NOELI SALETE</v>
      </c>
      <c r="H1703" t="str">
        <f t="shared" si="131"/>
        <v>POOLMAK SISTEMAS ESTRUTURAIS LTDA</v>
      </c>
      <c r="I1703">
        <f t="shared" si="132"/>
        <v>0</v>
      </c>
      <c r="J1703">
        <f t="shared" si="133"/>
        <v>1</v>
      </c>
    </row>
    <row r="1704" spans="1:10" x14ac:dyDescent="0.25">
      <c r="A1704" t="s">
        <v>402</v>
      </c>
      <c r="B1704" t="s">
        <v>150</v>
      </c>
      <c r="C1704" t="s">
        <v>56</v>
      </c>
      <c r="D1704" s="3">
        <v>45745</v>
      </c>
      <c r="E1704" t="str">
        <f>VLOOKUP(B1704,'PROCV GERENTES BD'!A:B,2,0)</f>
        <v>NOELI SALETE</v>
      </c>
      <c r="F1704" s="4" t="str">
        <f t="shared" si="134"/>
        <v>2025-03-2</v>
      </c>
      <c r="G1704" t="str">
        <f t="shared" si="130"/>
        <v>NOELI SALETE</v>
      </c>
      <c r="H1704" t="str">
        <f t="shared" si="131"/>
        <v>ALBERTO H DA SILVA ME</v>
      </c>
      <c r="I1704">
        <f t="shared" si="132"/>
        <v>0</v>
      </c>
      <c r="J1704">
        <f t="shared" si="133"/>
        <v>1</v>
      </c>
    </row>
    <row r="1705" spans="1:10" x14ac:dyDescent="0.25">
      <c r="A1705" t="s">
        <v>446</v>
      </c>
      <c r="B1705" t="s">
        <v>196</v>
      </c>
      <c r="C1705" t="s">
        <v>56</v>
      </c>
      <c r="D1705" s="3">
        <v>45745</v>
      </c>
      <c r="E1705" t="str">
        <f>VLOOKUP(B1705,'PROCV GERENTES BD'!A:B,2,0)</f>
        <v>NOELI SALETE</v>
      </c>
      <c r="F1705" s="4" t="str">
        <f t="shared" si="134"/>
        <v>2025-03-2</v>
      </c>
      <c r="G1705" t="str">
        <f t="shared" si="130"/>
        <v>NOELI SALETE</v>
      </c>
      <c r="H1705" t="str">
        <f t="shared" si="131"/>
        <v>AGRO INDUSTRIAL LAZZERI LTDA</v>
      </c>
      <c r="I1705">
        <f t="shared" si="132"/>
        <v>0</v>
      </c>
      <c r="J1705">
        <f t="shared" si="133"/>
        <v>1</v>
      </c>
    </row>
    <row r="1706" spans="1:10" x14ac:dyDescent="0.25">
      <c r="A1706" t="s">
        <v>415</v>
      </c>
      <c r="B1706" t="s">
        <v>164</v>
      </c>
      <c r="C1706" t="s">
        <v>72</v>
      </c>
      <c r="D1706" s="3">
        <v>45745</v>
      </c>
      <c r="E1706" t="str">
        <f>VLOOKUP(B1706,'PROCV GERENTES BD'!A:B,2,0)</f>
        <v>NOELI SALETE</v>
      </c>
      <c r="F1706" s="4" t="str">
        <f t="shared" si="134"/>
        <v>2025-03-2</v>
      </c>
      <c r="G1706" t="str">
        <f t="shared" si="130"/>
        <v>NOELI SALETE</v>
      </c>
      <c r="H1706" t="str">
        <f t="shared" si="131"/>
        <v>SGAMAQ INOVACAO AGROINDUSTRIAL LTDA</v>
      </c>
      <c r="I1706">
        <f t="shared" si="132"/>
        <v>1</v>
      </c>
      <c r="J1706">
        <f t="shared" si="133"/>
        <v>0</v>
      </c>
    </row>
    <row r="1707" spans="1:10" x14ac:dyDescent="0.25">
      <c r="A1707" t="s">
        <v>378</v>
      </c>
      <c r="B1707" t="s">
        <v>121</v>
      </c>
      <c r="C1707" t="s">
        <v>72</v>
      </c>
      <c r="D1707" s="3">
        <v>45745</v>
      </c>
      <c r="E1707" t="str">
        <f>VLOOKUP(B1707,'PROCV GERENTES BD'!A:B,2,0)</f>
        <v>POENATELA</v>
      </c>
      <c r="F1707" s="4" t="str">
        <f t="shared" si="134"/>
        <v>2025-03-2</v>
      </c>
      <c r="G1707" t="str">
        <f t="shared" si="130"/>
        <v>POENATELA</v>
      </c>
      <c r="H1707" t="str">
        <f t="shared" si="131"/>
        <v>COOPERATIVA TRANSP AUTON CARGAS PASSAG SERVICOS LO</v>
      </c>
      <c r="I1707">
        <f t="shared" si="132"/>
        <v>1</v>
      </c>
      <c r="J1707">
        <f t="shared" si="133"/>
        <v>0</v>
      </c>
    </row>
    <row r="1708" spans="1:10" x14ac:dyDescent="0.25">
      <c r="A1708" t="s">
        <v>361</v>
      </c>
      <c r="B1708" t="s">
        <v>103</v>
      </c>
      <c r="C1708" t="s">
        <v>56</v>
      </c>
      <c r="D1708" s="3">
        <v>45745</v>
      </c>
      <c r="E1708" t="str">
        <f>VLOOKUP(B1708,'PROCV GERENTES BD'!A:B,2,0)</f>
        <v>PRISCILA METZ</v>
      </c>
      <c r="F1708" s="4" t="str">
        <f t="shared" si="134"/>
        <v>2025-03-2</v>
      </c>
      <c r="G1708" t="str">
        <f t="shared" si="130"/>
        <v>PRISCILA METZ</v>
      </c>
      <c r="H1708" t="str">
        <f t="shared" si="131"/>
        <v>ESSENZA INDUSTRIA QUIMICA LTDA</v>
      </c>
      <c r="I1708">
        <f t="shared" si="132"/>
        <v>0</v>
      </c>
      <c r="J1708">
        <f t="shared" si="133"/>
        <v>1</v>
      </c>
    </row>
    <row r="1709" spans="1:10" x14ac:dyDescent="0.25">
      <c r="A1709" t="s">
        <v>442</v>
      </c>
      <c r="B1709" t="s">
        <v>192</v>
      </c>
      <c r="C1709" t="s">
        <v>72</v>
      </c>
      <c r="D1709" s="3">
        <v>45745</v>
      </c>
      <c r="E1709" t="str">
        <f>VLOOKUP(B1709,'PROCV GERENTES BD'!A:B,2,0)</f>
        <v>RAFAEL PARISE</v>
      </c>
      <c r="F1709" s="4" t="str">
        <f t="shared" si="134"/>
        <v>2025-03-2</v>
      </c>
      <c r="G1709" t="str">
        <f t="shared" si="130"/>
        <v>RAFAEL PARISE</v>
      </c>
      <c r="H1709" t="str">
        <f t="shared" si="131"/>
        <v>MARCAS COMERCIO LTDA ME</v>
      </c>
      <c r="I1709">
        <f t="shared" si="132"/>
        <v>1</v>
      </c>
      <c r="J1709">
        <f t="shared" si="133"/>
        <v>0</v>
      </c>
    </row>
    <row r="1710" spans="1:10" x14ac:dyDescent="0.25">
      <c r="A1710" t="s">
        <v>465</v>
      </c>
      <c r="B1710" t="s">
        <v>221</v>
      </c>
      <c r="C1710" t="s">
        <v>72</v>
      </c>
      <c r="D1710" s="3">
        <v>45745</v>
      </c>
      <c r="E1710" t="s">
        <v>25</v>
      </c>
      <c r="F1710" s="4" t="str">
        <f t="shared" si="134"/>
        <v>2025-03-2</v>
      </c>
      <c r="G1710" t="str">
        <f t="shared" si="130"/>
        <v xml:space="preserve">ROGERIO </v>
      </c>
      <c r="H1710" t="str">
        <f t="shared" si="131"/>
        <v>METAL STAMP INDUSTRIA E COMERCIO LTDA</v>
      </c>
      <c r="I1710">
        <f t="shared" si="132"/>
        <v>1</v>
      </c>
      <c r="J1710">
        <f t="shared" si="133"/>
        <v>0</v>
      </c>
    </row>
    <row r="1711" spans="1:10" x14ac:dyDescent="0.25">
      <c r="A1711" t="s">
        <v>333</v>
      </c>
      <c r="B1711" t="s">
        <v>129</v>
      </c>
      <c r="C1711" t="s">
        <v>56</v>
      </c>
      <c r="D1711" s="3">
        <v>45745</v>
      </c>
      <c r="E1711" t="s">
        <v>25</v>
      </c>
      <c r="F1711" s="4" t="str">
        <f t="shared" si="134"/>
        <v>2025-03-2</v>
      </c>
      <c r="G1711" t="str">
        <f t="shared" si="130"/>
        <v xml:space="preserve">ROGERIO </v>
      </c>
      <c r="H1711" t="str">
        <f t="shared" si="131"/>
        <v>BIBE PRODUTOS INFANTIS LTDA</v>
      </c>
      <c r="I1711">
        <f t="shared" si="132"/>
        <v>0</v>
      </c>
      <c r="J1711">
        <f t="shared" si="133"/>
        <v>1</v>
      </c>
    </row>
    <row r="1712" spans="1:10" x14ac:dyDescent="0.25">
      <c r="A1712" t="s">
        <v>469</v>
      </c>
      <c r="B1712" t="s">
        <v>225</v>
      </c>
      <c r="C1712" t="s">
        <v>72</v>
      </c>
      <c r="D1712" s="3">
        <v>45745</v>
      </c>
      <c r="E1712" t="str">
        <f>VLOOKUP(B1712,'PROCV GERENTES BD'!A:B,2,0)</f>
        <v>SEM GERENTE</v>
      </c>
      <c r="F1712" s="4" t="str">
        <f t="shared" si="134"/>
        <v>2025-03-2</v>
      </c>
      <c r="G1712" t="str">
        <f t="shared" si="130"/>
        <v>SEM GERENTE</v>
      </c>
      <c r="H1712" t="str">
        <f t="shared" si="131"/>
        <v>KUARA COMERCIAL E EXPORTADORA DE FRUTAS LTDA</v>
      </c>
      <c r="I1712">
        <f t="shared" si="132"/>
        <v>1</v>
      </c>
      <c r="J1712">
        <f t="shared" si="133"/>
        <v>0</v>
      </c>
    </row>
    <row r="1713" spans="1:10" x14ac:dyDescent="0.25">
      <c r="A1713" t="s">
        <v>332</v>
      </c>
      <c r="B1713" t="s">
        <v>145</v>
      </c>
      <c r="C1713" t="s">
        <v>56</v>
      </c>
      <c r="D1713" s="3">
        <v>45745</v>
      </c>
      <c r="E1713" t="str">
        <f>VLOOKUP(B1713,'PROCV GERENTES BD'!A:B,2,0)</f>
        <v>SEM GERENTE</v>
      </c>
      <c r="F1713" s="4" t="str">
        <f t="shared" si="134"/>
        <v>2025-03-2</v>
      </c>
      <c r="G1713" t="str">
        <f t="shared" si="130"/>
        <v>SEM GERENTE</v>
      </c>
      <c r="H1713" t="str">
        <f t="shared" si="131"/>
        <v>ALLIAGE S A INDUSTRIAS MEDICO ODONTOLOGICA</v>
      </c>
      <c r="I1713">
        <f t="shared" si="132"/>
        <v>0</v>
      </c>
      <c r="J1713">
        <f t="shared" si="133"/>
        <v>1</v>
      </c>
    </row>
    <row r="1714" spans="1:10" x14ac:dyDescent="0.25">
      <c r="A1714" t="s">
        <v>497</v>
      </c>
      <c r="B1714" t="s">
        <v>256</v>
      </c>
      <c r="C1714" t="s">
        <v>77</v>
      </c>
      <c r="D1714" s="3">
        <v>45745</v>
      </c>
      <c r="E1714" t="str">
        <f>VLOOKUP(B1714,'PROCV GERENTES BD'!A:B,2,0)</f>
        <v>PROSPECTAR</v>
      </c>
      <c r="F1714" s="4" t="str">
        <f t="shared" si="134"/>
        <v>2025-03-2</v>
      </c>
      <c r="G1714" t="str">
        <f t="shared" si="130"/>
        <v>PROSPECTAR</v>
      </c>
      <c r="H1714" t="str">
        <f t="shared" si="131"/>
        <v>SAFRA AGRICOLA E PECUARIA LTDA EPP</v>
      </c>
      <c r="I1714">
        <f t="shared" si="132"/>
        <v>0</v>
      </c>
      <c r="J1714">
        <f t="shared" si="133"/>
        <v>0</v>
      </c>
    </row>
    <row r="1715" spans="1:10" x14ac:dyDescent="0.25">
      <c r="A1715" t="s">
        <v>62</v>
      </c>
      <c r="B1715" t="s">
        <v>63</v>
      </c>
      <c r="C1715" t="s">
        <v>56</v>
      </c>
      <c r="D1715" s="3">
        <v>45745</v>
      </c>
      <c r="E1715" t="str">
        <f>VLOOKUP(B1715,'PROCV GERENTES BD'!A:B,2,0)</f>
        <v xml:space="preserve">ROGERIO </v>
      </c>
      <c r="F1715" s="4" t="str">
        <f t="shared" si="134"/>
        <v>2025-03-2</v>
      </c>
      <c r="G1715" t="str">
        <f t="shared" si="130"/>
        <v xml:space="preserve">ROGERIO </v>
      </c>
      <c r="H1715" t="str">
        <f t="shared" si="131"/>
        <v>RODOVIEIRA TRANSPORTE LTDA</v>
      </c>
      <c r="I1715">
        <f t="shared" si="132"/>
        <v>0</v>
      </c>
      <c r="J1715">
        <f t="shared" si="133"/>
        <v>1</v>
      </c>
    </row>
    <row r="1716" spans="1:10" x14ac:dyDescent="0.25">
      <c r="A1716" t="s">
        <v>498</v>
      </c>
      <c r="B1716" t="s">
        <v>255</v>
      </c>
      <c r="C1716" t="s">
        <v>56</v>
      </c>
      <c r="D1716" s="3">
        <v>45745</v>
      </c>
      <c r="E1716" t="str">
        <f>VLOOKUP(B1716,'PROCV GERENTES BD'!A:B,2,0)</f>
        <v>PROSPECTAR</v>
      </c>
      <c r="F1716" s="4" t="str">
        <f t="shared" si="134"/>
        <v>2025-03-2</v>
      </c>
      <c r="G1716" t="str">
        <f t="shared" si="130"/>
        <v>PROSPECTAR</v>
      </c>
      <c r="H1716" t="str">
        <f t="shared" si="131"/>
        <v>PRODUTOS PORTEIRAO COM DIST E REP LTDA EPP</v>
      </c>
      <c r="I1716">
        <f t="shared" si="132"/>
        <v>0</v>
      </c>
      <c r="J1716">
        <f t="shared" si="133"/>
        <v>1</v>
      </c>
    </row>
    <row r="1717" spans="1:10" x14ac:dyDescent="0.25">
      <c r="A1717" t="s">
        <v>363</v>
      </c>
      <c r="B1717" t="s">
        <v>106</v>
      </c>
      <c r="C1717" t="s">
        <v>56</v>
      </c>
      <c r="D1717" s="3">
        <v>45748</v>
      </c>
      <c r="E1717" t="str">
        <f>VLOOKUP(B1717,'PROCV GERENTES BD'!A:B,2,0)</f>
        <v>ADMINISTRAÇÃO</v>
      </c>
      <c r="F1717" s="4" t="str">
        <f t="shared" si="134"/>
        <v>2025-04-1</v>
      </c>
      <c r="G1717" t="str">
        <f t="shared" si="130"/>
        <v>ADMINISTRAÇÃO</v>
      </c>
      <c r="H1717" t="str">
        <f t="shared" si="131"/>
        <v>DECISION DESENVOLVIMENTO DE SISTEMAS LTDA</v>
      </c>
      <c r="I1717">
        <f t="shared" si="132"/>
        <v>0</v>
      </c>
      <c r="J1717">
        <f t="shared" si="133"/>
        <v>1</v>
      </c>
    </row>
    <row r="1718" spans="1:10" x14ac:dyDescent="0.25">
      <c r="A1718" t="s">
        <v>318</v>
      </c>
      <c r="B1718" t="s">
        <v>87</v>
      </c>
      <c r="C1718" t="s">
        <v>56</v>
      </c>
      <c r="D1718" s="3">
        <v>45748</v>
      </c>
      <c r="E1718" t="str">
        <f>VLOOKUP(B1718,'PROCV GERENTES BD'!A:B,2,0)</f>
        <v>CELIO PIMENTA</v>
      </c>
      <c r="F1718" s="4" t="str">
        <f t="shared" si="134"/>
        <v>2025-04-1</v>
      </c>
      <c r="G1718" t="str">
        <f t="shared" si="130"/>
        <v>CELIO PIMENTA</v>
      </c>
      <c r="H1718" t="str">
        <f t="shared" si="131"/>
        <v>MBIOLOG DIAGNOSTICOS LTDA</v>
      </c>
      <c r="I1718">
        <f t="shared" si="132"/>
        <v>0</v>
      </c>
      <c r="J1718">
        <f t="shared" si="133"/>
        <v>1</v>
      </c>
    </row>
    <row r="1719" spans="1:10" x14ac:dyDescent="0.25">
      <c r="A1719" t="s">
        <v>60</v>
      </c>
      <c r="B1719" t="s">
        <v>61</v>
      </c>
      <c r="C1719" t="s">
        <v>56</v>
      </c>
      <c r="D1719" s="3">
        <v>45748</v>
      </c>
      <c r="E1719" t="str">
        <f>VLOOKUP(B1719,'PROCV GERENTES BD'!A:B,2,0)</f>
        <v>CELIO PIMENTA</v>
      </c>
      <c r="F1719" s="4" t="str">
        <f t="shared" si="134"/>
        <v>2025-04-1</v>
      </c>
      <c r="G1719" t="str">
        <f t="shared" si="130"/>
        <v>CELIO PIMENTA</v>
      </c>
      <c r="H1719" t="str">
        <f t="shared" si="131"/>
        <v>WJ CALDEIRARIA INDUSTRIA E COMERCIO LTDA ME</v>
      </c>
      <c r="I1719">
        <f t="shared" si="132"/>
        <v>0</v>
      </c>
      <c r="J1719">
        <f t="shared" si="133"/>
        <v>1</v>
      </c>
    </row>
    <row r="1720" spans="1:10" x14ac:dyDescent="0.25">
      <c r="A1720" t="s">
        <v>326</v>
      </c>
      <c r="B1720" t="s">
        <v>86</v>
      </c>
      <c r="C1720" t="s">
        <v>56</v>
      </c>
      <c r="D1720" s="3">
        <v>45748</v>
      </c>
      <c r="E1720" t="str">
        <f>VLOOKUP(B1720,'PROCV GERENTES BD'!A:B,2,0)</f>
        <v>CELIO PIMENTA</v>
      </c>
      <c r="F1720" s="4" t="str">
        <f t="shared" si="134"/>
        <v>2025-04-1</v>
      </c>
      <c r="G1720" t="str">
        <f t="shared" si="130"/>
        <v>CELIO PIMENTA</v>
      </c>
      <c r="H1720" t="str">
        <f t="shared" si="131"/>
        <v>IMPORTEXTIL COMERCIO DE TECIDOS LTDA</v>
      </c>
      <c r="I1720">
        <f t="shared" si="132"/>
        <v>0</v>
      </c>
      <c r="J1720">
        <f t="shared" si="133"/>
        <v>1</v>
      </c>
    </row>
    <row r="1721" spans="1:10" x14ac:dyDescent="0.25">
      <c r="A1721" t="s">
        <v>366</v>
      </c>
      <c r="B1721" t="s">
        <v>111</v>
      </c>
      <c r="C1721" t="s">
        <v>56</v>
      </c>
      <c r="D1721" s="3">
        <v>45748</v>
      </c>
      <c r="E1721" t="str">
        <f>VLOOKUP(B1721,'PROCV GERENTES BD'!A:B,2,0)</f>
        <v>DIOGO AZEVEDO</v>
      </c>
      <c r="F1721" s="4" t="str">
        <f t="shared" si="134"/>
        <v>2025-04-1</v>
      </c>
      <c r="G1721" t="str">
        <f t="shared" si="130"/>
        <v>DIOGO AZEVEDO</v>
      </c>
      <c r="H1721" t="str">
        <f t="shared" si="131"/>
        <v>INDUSTRIA E CERVEJARIA ARTESANAL DE MINAS GERAIS L</v>
      </c>
      <c r="I1721">
        <f t="shared" si="132"/>
        <v>0</v>
      </c>
      <c r="J1721">
        <f t="shared" si="133"/>
        <v>1</v>
      </c>
    </row>
    <row r="1722" spans="1:10" x14ac:dyDescent="0.25">
      <c r="A1722" t="s">
        <v>331</v>
      </c>
      <c r="B1722" t="s">
        <v>126</v>
      </c>
      <c r="C1722" t="s">
        <v>56</v>
      </c>
      <c r="D1722" s="3">
        <v>45748</v>
      </c>
      <c r="E1722" t="str">
        <f>VLOOKUP(B1722,'PROCV GERENTES BD'!A:B,2,0)</f>
        <v>FITZ</v>
      </c>
      <c r="F1722" s="4" t="str">
        <f t="shared" si="134"/>
        <v>2025-04-1</v>
      </c>
      <c r="G1722" t="str">
        <f t="shared" si="130"/>
        <v>FITZ</v>
      </c>
      <c r="H1722" t="str">
        <f t="shared" si="131"/>
        <v>TRANSHENRY TRANSPORTES LTDA</v>
      </c>
      <c r="I1722">
        <f t="shared" si="132"/>
        <v>0</v>
      </c>
      <c r="J1722">
        <f t="shared" si="133"/>
        <v>1</v>
      </c>
    </row>
    <row r="1723" spans="1:10" x14ac:dyDescent="0.25">
      <c r="A1723" t="s">
        <v>330</v>
      </c>
      <c r="B1723" t="s">
        <v>116</v>
      </c>
      <c r="C1723" t="s">
        <v>56</v>
      </c>
      <c r="D1723" s="3">
        <v>45748</v>
      </c>
      <c r="E1723" t="str">
        <f>VLOOKUP(B1723,'PROCV GERENTES BD'!A:B,2,0)</f>
        <v>FITZ</v>
      </c>
      <c r="F1723" s="4" t="str">
        <f t="shared" si="134"/>
        <v>2025-04-1</v>
      </c>
      <c r="G1723" t="str">
        <f t="shared" si="130"/>
        <v>FITZ</v>
      </c>
      <c r="H1723" t="str">
        <f t="shared" si="131"/>
        <v>SIAP COMERCIO DE PRODUTOS AGROPECUARIOS LTDA</v>
      </c>
      <c r="I1723">
        <f t="shared" si="132"/>
        <v>0</v>
      </c>
      <c r="J1723">
        <f t="shared" si="133"/>
        <v>1</v>
      </c>
    </row>
    <row r="1724" spans="1:10" x14ac:dyDescent="0.25">
      <c r="A1724" t="s">
        <v>68</v>
      </c>
      <c r="B1724" t="s">
        <v>69</v>
      </c>
      <c r="C1724" t="s">
        <v>56</v>
      </c>
      <c r="D1724" s="3">
        <v>45748</v>
      </c>
      <c r="E1724" t="str">
        <f>VLOOKUP(B1724,'PROCV GERENTES BD'!A:B,2,0)</f>
        <v>FITZ</v>
      </c>
      <c r="F1724" s="4" t="str">
        <f t="shared" si="134"/>
        <v>2025-04-1</v>
      </c>
      <c r="G1724" t="str">
        <f t="shared" si="130"/>
        <v>FITZ</v>
      </c>
      <c r="H1724" t="str">
        <f t="shared" si="131"/>
        <v>MAPP COM IMPORTACAO EXPORTACAO IND PRODUTOS ALIMEN</v>
      </c>
      <c r="I1724">
        <f t="shared" si="132"/>
        <v>0</v>
      </c>
      <c r="J1724">
        <f t="shared" si="133"/>
        <v>1</v>
      </c>
    </row>
    <row r="1725" spans="1:10" x14ac:dyDescent="0.25">
      <c r="A1725" t="s">
        <v>325</v>
      </c>
      <c r="B1725" t="s">
        <v>210</v>
      </c>
      <c r="C1725" t="s">
        <v>56</v>
      </c>
      <c r="D1725" s="3">
        <v>45748</v>
      </c>
      <c r="E1725" t="str">
        <f>VLOOKUP(B1725,'PROCV GERENTES BD'!A:B,2,0)</f>
        <v>JOSE ROBERTO</v>
      </c>
      <c r="F1725" s="4" t="str">
        <f t="shared" si="134"/>
        <v>2025-04-1</v>
      </c>
      <c r="G1725" t="str">
        <f t="shared" si="130"/>
        <v>JOSE ROBERTO</v>
      </c>
      <c r="H1725" t="str">
        <f t="shared" si="131"/>
        <v>FUNDACAO DE ENSINO E PESQUISA DO SUL DE MINAS FEPE</v>
      </c>
      <c r="I1725">
        <f t="shared" si="132"/>
        <v>0</v>
      </c>
      <c r="J1725">
        <f t="shared" si="133"/>
        <v>1</v>
      </c>
    </row>
    <row r="1726" spans="1:10" x14ac:dyDescent="0.25">
      <c r="A1726" t="s">
        <v>436</v>
      </c>
      <c r="B1726" t="s">
        <v>186</v>
      </c>
      <c r="C1726" t="s">
        <v>72</v>
      </c>
      <c r="D1726" s="3">
        <v>45748</v>
      </c>
      <c r="E1726" t="str">
        <f>VLOOKUP(B1726,'PROCV GERENTES BD'!A:B,2,0)</f>
        <v xml:space="preserve">MARCUS VINICIUS </v>
      </c>
      <c r="F1726" s="4" t="str">
        <f t="shared" si="134"/>
        <v>2025-04-1</v>
      </c>
      <c r="G1726" t="str">
        <f t="shared" si="130"/>
        <v xml:space="preserve">MARCUS VINICIUS </v>
      </c>
      <c r="H1726" t="str">
        <f t="shared" si="131"/>
        <v>LABOR ELETRIC INDUSTRIA E COMERCIO UNIPESSOAL LTDA</v>
      </c>
      <c r="I1726">
        <f t="shared" si="132"/>
        <v>1</v>
      </c>
      <c r="J1726">
        <f t="shared" si="133"/>
        <v>0</v>
      </c>
    </row>
    <row r="1727" spans="1:10" x14ac:dyDescent="0.25">
      <c r="A1727" t="s">
        <v>427</v>
      </c>
      <c r="B1727" t="s">
        <v>206</v>
      </c>
      <c r="C1727" t="s">
        <v>72</v>
      </c>
      <c r="D1727" s="3">
        <v>45748</v>
      </c>
      <c r="E1727" t="str">
        <f>VLOOKUP(B1727,'PROCV GERENTES BD'!A:B,2,0)</f>
        <v>NOELI SALETE</v>
      </c>
      <c r="F1727" s="4" t="str">
        <f t="shared" si="134"/>
        <v>2025-04-1</v>
      </c>
      <c r="G1727" t="str">
        <f t="shared" si="130"/>
        <v>NOELI SALETE</v>
      </c>
      <c r="H1727" t="str">
        <f t="shared" si="131"/>
        <v>GLOBAL ACO SERV PRODUTOS SIDERURGICOS LTDA RECUPER</v>
      </c>
      <c r="I1727">
        <f t="shared" si="132"/>
        <v>1</v>
      </c>
      <c r="J1727">
        <f t="shared" si="133"/>
        <v>0</v>
      </c>
    </row>
    <row r="1728" spans="1:10" x14ac:dyDescent="0.25">
      <c r="A1728" t="s">
        <v>78</v>
      </c>
      <c r="B1728" t="s">
        <v>79</v>
      </c>
      <c r="C1728" t="s">
        <v>56</v>
      </c>
      <c r="D1728" s="3">
        <v>45748</v>
      </c>
      <c r="E1728" t="str">
        <f>VLOOKUP(B1728,'PROCV GERENTES BD'!A:B,2,0)</f>
        <v>NOELI SALETE</v>
      </c>
      <c r="F1728" s="4" t="str">
        <f t="shared" si="134"/>
        <v>2025-04-1</v>
      </c>
      <c r="G1728" t="str">
        <f t="shared" si="130"/>
        <v>NOELI SALETE</v>
      </c>
      <c r="H1728" t="str">
        <f t="shared" si="131"/>
        <v>SMARTCENTER SOLUCOES INTELIGENTES LTDA ME</v>
      </c>
      <c r="I1728">
        <f t="shared" si="132"/>
        <v>0</v>
      </c>
      <c r="J1728">
        <f t="shared" si="133"/>
        <v>1</v>
      </c>
    </row>
    <row r="1729" spans="1:10" x14ac:dyDescent="0.25">
      <c r="A1729" t="s">
        <v>408</v>
      </c>
      <c r="B1729" t="s">
        <v>157</v>
      </c>
      <c r="C1729" t="s">
        <v>56</v>
      </c>
      <c r="D1729" s="3">
        <v>45748</v>
      </c>
      <c r="E1729" t="str">
        <f>VLOOKUP(B1729,'PROCV GERENTES BD'!A:B,2,0)</f>
        <v>NOELI SALETE</v>
      </c>
      <c r="F1729" s="4" t="str">
        <f t="shared" si="134"/>
        <v>2025-04-1</v>
      </c>
      <c r="G1729" t="str">
        <f t="shared" si="130"/>
        <v>NOELI SALETE</v>
      </c>
      <c r="H1729" t="str">
        <f t="shared" si="131"/>
        <v>POOLMAK SISTEMAS ESTRUTURAIS LTDA</v>
      </c>
      <c r="I1729">
        <f t="shared" si="132"/>
        <v>0</v>
      </c>
      <c r="J1729">
        <f t="shared" si="133"/>
        <v>1</v>
      </c>
    </row>
    <row r="1730" spans="1:10" x14ac:dyDescent="0.25">
      <c r="A1730" t="s">
        <v>494</v>
      </c>
      <c r="B1730" t="s">
        <v>250</v>
      </c>
      <c r="C1730" t="s">
        <v>56</v>
      </c>
      <c r="D1730" s="3">
        <v>45748</v>
      </c>
      <c r="E1730" t="str">
        <f>VLOOKUP(B1730,'PROCV GERENTES BD'!A:B,2,0)</f>
        <v>NOELI SALETE</v>
      </c>
      <c r="F1730" s="4" t="str">
        <f t="shared" si="134"/>
        <v>2025-04-1</v>
      </c>
      <c r="G1730" t="str">
        <f t="shared" ref="G1730:G1793" si="135">E1730</f>
        <v>NOELI SALETE</v>
      </c>
      <c r="H1730" t="str">
        <f t="shared" ref="H1730:H1793" si="136">B1730</f>
        <v>SMARTCENTERGROUP COMERCIO DE EQUIPAMENTOS DE INFOR</v>
      </c>
      <c r="I1730">
        <f t="shared" ref="I1730:I1793" si="137">IF(C1730="EXCLUSAO  ANOT.INADIMPLENCIA",1,0)</f>
        <v>0</v>
      </c>
      <c r="J1730">
        <f t="shared" ref="J1730:J1793" si="138">IF(C1730="INCLUSAO  ANOT.INADIMPLENCIA",1,0)</f>
        <v>1</v>
      </c>
    </row>
    <row r="1731" spans="1:10" x14ac:dyDescent="0.25">
      <c r="A1731" t="s">
        <v>428</v>
      </c>
      <c r="B1731" t="s">
        <v>177</v>
      </c>
      <c r="C1731" t="s">
        <v>56</v>
      </c>
      <c r="D1731" s="3">
        <v>45748</v>
      </c>
      <c r="E1731" t="str">
        <f>VLOOKUP(B1731,'PROCV GERENTES BD'!A:B,2,0)</f>
        <v>POENATELA</v>
      </c>
      <c r="F1731" s="4" t="str">
        <f t="shared" ref="F1731:F1794" si="139">YEAR(D1731)&amp;"-"&amp;TEXT(MONTH(D1731),"00")&amp;"-"&amp;IF(DAY(D1731)&lt;=15,"1",IF(DAY(D1731)&gt;15,"2",""))</f>
        <v>2025-04-1</v>
      </c>
      <c r="G1731" t="str">
        <f t="shared" si="135"/>
        <v>POENATELA</v>
      </c>
      <c r="H1731" t="str">
        <f t="shared" si="136"/>
        <v>SAVIXX COMERCIO INTERNACIONAL S/A</v>
      </c>
      <c r="I1731">
        <f t="shared" si="137"/>
        <v>0</v>
      </c>
      <c r="J1731">
        <f t="shared" si="138"/>
        <v>1</v>
      </c>
    </row>
    <row r="1732" spans="1:10" x14ac:dyDescent="0.25">
      <c r="A1732" t="s">
        <v>395</v>
      </c>
      <c r="B1732" t="s">
        <v>141</v>
      </c>
      <c r="C1732" t="s">
        <v>72</v>
      </c>
      <c r="D1732" s="3">
        <v>45748</v>
      </c>
      <c r="E1732" t="str">
        <f>VLOOKUP(B1732,'PROCV GERENTES BD'!A:B,2,0)</f>
        <v>RAFAEL PARISE</v>
      </c>
      <c r="F1732" s="4" t="str">
        <f t="shared" si="139"/>
        <v>2025-04-1</v>
      </c>
      <c r="G1732" t="str">
        <f t="shared" si="135"/>
        <v>RAFAEL PARISE</v>
      </c>
      <c r="H1732" t="str">
        <f t="shared" si="136"/>
        <v>MAIS DISTRIBUIDORA LTDA</v>
      </c>
      <c r="I1732">
        <f t="shared" si="137"/>
        <v>1</v>
      </c>
      <c r="J1732">
        <f t="shared" si="138"/>
        <v>0</v>
      </c>
    </row>
    <row r="1733" spans="1:10" x14ac:dyDescent="0.25">
      <c r="A1733" t="s">
        <v>461</v>
      </c>
      <c r="B1733" t="s">
        <v>217</v>
      </c>
      <c r="C1733" t="s">
        <v>72</v>
      </c>
      <c r="D1733" s="3">
        <v>45748</v>
      </c>
      <c r="E1733" t="str">
        <f>VLOOKUP(B1733,'PROCV GERENTES BD'!A:B,2,0)</f>
        <v>RAFAEL PARISE</v>
      </c>
      <c r="F1733" s="4" t="str">
        <f t="shared" si="139"/>
        <v>2025-04-1</v>
      </c>
      <c r="G1733" t="str">
        <f t="shared" si="135"/>
        <v>RAFAEL PARISE</v>
      </c>
      <c r="H1733" t="str">
        <f t="shared" si="136"/>
        <v>BEIJA FLOR COMERCIO DE TINTAS LTDA</v>
      </c>
      <c r="I1733">
        <f t="shared" si="137"/>
        <v>1</v>
      </c>
      <c r="J1733">
        <f t="shared" si="138"/>
        <v>0</v>
      </c>
    </row>
    <row r="1734" spans="1:10" x14ac:dyDescent="0.25">
      <c r="A1734" t="s">
        <v>73</v>
      </c>
      <c r="B1734" t="s">
        <v>74</v>
      </c>
      <c r="C1734" t="s">
        <v>56</v>
      </c>
      <c r="D1734" s="3">
        <v>45748</v>
      </c>
      <c r="E1734" t="s">
        <v>25</v>
      </c>
      <c r="F1734" s="4" t="str">
        <f t="shared" si="139"/>
        <v>2025-04-1</v>
      </c>
      <c r="G1734" t="str">
        <f t="shared" si="135"/>
        <v xml:space="preserve">ROGERIO </v>
      </c>
      <c r="H1734" t="str">
        <f t="shared" si="136"/>
        <v>DIOTTONI INDUSTRIA E COMERCIO DE ALIMENTOS LTDA ME</v>
      </c>
      <c r="I1734">
        <f t="shared" si="137"/>
        <v>0</v>
      </c>
      <c r="J1734">
        <f t="shared" si="138"/>
        <v>1</v>
      </c>
    </row>
    <row r="1735" spans="1:10" x14ac:dyDescent="0.25">
      <c r="A1735" t="s">
        <v>434</v>
      </c>
      <c r="B1735" t="s">
        <v>184</v>
      </c>
      <c r="C1735" t="s">
        <v>56</v>
      </c>
      <c r="D1735" s="3">
        <v>45748</v>
      </c>
      <c r="E1735" t="str">
        <f>VLOOKUP(B1735,'PROCV GERENTES BD'!A:B,2,0)</f>
        <v>WHELKYA IRIS</v>
      </c>
      <c r="F1735" s="4" t="str">
        <f t="shared" si="139"/>
        <v>2025-04-1</v>
      </c>
      <c r="G1735" t="str">
        <f t="shared" si="135"/>
        <v>WHELKYA IRIS</v>
      </c>
      <c r="H1735" t="str">
        <f t="shared" si="136"/>
        <v>JFIX INDUSTRIA QUIMICA LTDA ME</v>
      </c>
      <c r="I1735">
        <f t="shared" si="137"/>
        <v>0</v>
      </c>
      <c r="J1735">
        <f t="shared" si="138"/>
        <v>1</v>
      </c>
    </row>
    <row r="1736" spans="1:10" x14ac:dyDescent="0.25">
      <c r="A1736" t="s">
        <v>492</v>
      </c>
      <c r="B1736" t="s">
        <v>252</v>
      </c>
      <c r="C1736" t="s">
        <v>56</v>
      </c>
      <c r="D1736" s="3">
        <v>45748</v>
      </c>
      <c r="E1736" t="str">
        <f>VLOOKUP(B1736,'PROCV GERENTES BD'!A:B,2,0)</f>
        <v>ADMINISTRAÇÃO</v>
      </c>
      <c r="F1736" s="4" t="str">
        <f t="shared" si="139"/>
        <v>2025-04-1</v>
      </c>
      <c r="G1736" t="str">
        <f t="shared" si="135"/>
        <v>ADMINISTRAÇÃO</v>
      </c>
      <c r="H1736" t="str">
        <f t="shared" si="136"/>
        <v>REAL FILTROS E ACESSORIOS AUTOMOTIVOS LTDA</v>
      </c>
      <c r="I1736">
        <f t="shared" si="137"/>
        <v>0</v>
      </c>
      <c r="J1736">
        <f t="shared" si="138"/>
        <v>1</v>
      </c>
    </row>
    <row r="1737" spans="1:10" x14ac:dyDescent="0.25">
      <c r="A1737" t="s">
        <v>499</v>
      </c>
      <c r="B1737" t="s">
        <v>257</v>
      </c>
      <c r="C1737" t="s">
        <v>72</v>
      </c>
      <c r="D1737" s="3">
        <v>45748</v>
      </c>
      <c r="E1737" t="str">
        <f>VLOOKUP(B1737,'PROCV GERENTES BD'!A:B,2,0)</f>
        <v xml:space="preserve">ROGERIO </v>
      </c>
      <c r="F1737" s="4" t="str">
        <f t="shared" si="139"/>
        <v>2025-04-1</v>
      </c>
      <c r="G1737" t="str">
        <f t="shared" si="135"/>
        <v xml:space="preserve">ROGERIO </v>
      </c>
      <c r="H1737" t="str">
        <f t="shared" si="136"/>
        <v>CARGA EQUIPAMENTOS RODOVIARIOS LTDA ME</v>
      </c>
      <c r="I1737">
        <f t="shared" si="137"/>
        <v>1</v>
      </c>
      <c r="J1737">
        <f t="shared" si="138"/>
        <v>0</v>
      </c>
    </row>
    <row r="1738" spans="1:10" x14ac:dyDescent="0.25">
      <c r="A1738" t="s">
        <v>380</v>
      </c>
      <c r="B1738" t="s">
        <v>123</v>
      </c>
      <c r="C1738" t="s">
        <v>56</v>
      </c>
      <c r="D1738" s="3">
        <v>45749</v>
      </c>
      <c r="E1738" t="str">
        <f>VLOOKUP(B1738,'PROCV GERENTES BD'!A:B,2,0)</f>
        <v>ANTONIO CARLOS</v>
      </c>
      <c r="F1738" s="4" t="str">
        <f t="shared" si="139"/>
        <v>2025-04-1</v>
      </c>
      <c r="G1738" t="str">
        <f t="shared" si="135"/>
        <v>ANTONIO CARLOS</v>
      </c>
      <c r="H1738" t="str">
        <f t="shared" si="136"/>
        <v>PREMOLDADOS MATOSINHOS LTDA EPP</v>
      </c>
      <c r="I1738">
        <f t="shared" si="137"/>
        <v>0</v>
      </c>
      <c r="J1738">
        <f t="shared" si="138"/>
        <v>1</v>
      </c>
    </row>
    <row r="1739" spans="1:10" x14ac:dyDescent="0.25">
      <c r="A1739" t="s">
        <v>318</v>
      </c>
      <c r="B1739" t="s">
        <v>87</v>
      </c>
      <c r="C1739" t="s">
        <v>72</v>
      </c>
      <c r="D1739" s="3">
        <v>45749</v>
      </c>
      <c r="E1739" t="str">
        <f>VLOOKUP(B1739,'PROCV GERENTES BD'!A:B,2,0)</f>
        <v>CELIO PIMENTA</v>
      </c>
      <c r="F1739" s="4" t="str">
        <f t="shared" si="139"/>
        <v>2025-04-1</v>
      </c>
      <c r="G1739" t="str">
        <f t="shared" si="135"/>
        <v>CELIO PIMENTA</v>
      </c>
      <c r="H1739" t="str">
        <f t="shared" si="136"/>
        <v>MBIOLOG DIAGNOSTICOS LTDA</v>
      </c>
      <c r="I1739">
        <f t="shared" si="137"/>
        <v>1</v>
      </c>
      <c r="J1739">
        <f t="shared" si="138"/>
        <v>0</v>
      </c>
    </row>
    <row r="1740" spans="1:10" x14ac:dyDescent="0.25">
      <c r="A1740" t="s">
        <v>450</v>
      </c>
      <c r="B1740" t="s">
        <v>200</v>
      </c>
      <c r="C1740" t="s">
        <v>335</v>
      </c>
      <c r="D1740" s="3">
        <v>45749</v>
      </c>
      <c r="E1740" t="str">
        <f>VLOOKUP(B1740,'PROCV GERENTES BD'!A:B,2,0)</f>
        <v>CELIO PIMENTA</v>
      </c>
      <c r="F1740" s="4" t="str">
        <f t="shared" si="139"/>
        <v>2025-04-1</v>
      </c>
      <c r="G1740" t="str">
        <f t="shared" si="135"/>
        <v>CELIO PIMENTA</v>
      </c>
      <c r="H1740" t="str">
        <f t="shared" si="136"/>
        <v>CIA TEXTIL LTDA ME</v>
      </c>
      <c r="I1740">
        <f t="shared" si="137"/>
        <v>0</v>
      </c>
      <c r="J1740">
        <f t="shared" si="138"/>
        <v>0</v>
      </c>
    </row>
    <row r="1741" spans="1:10" x14ac:dyDescent="0.25">
      <c r="A1741" t="s">
        <v>366</v>
      </c>
      <c r="B1741" t="s">
        <v>111</v>
      </c>
      <c r="C1741" t="s">
        <v>56</v>
      </c>
      <c r="D1741" s="3">
        <v>45749</v>
      </c>
      <c r="E1741" t="str">
        <f>VLOOKUP(B1741,'PROCV GERENTES BD'!A:B,2,0)</f>
        <v>DIOGO AZEVEDO</v>
      </c>
      <c r="F1741" s="4" t="str">
        <f t="shared" si="139"/>
        <v>2025-04-1</v>
      </c>
      <c r="G1741" t="str">
        <f t="shared" si="135"/>
        <v>DIOGO AZEVEDO</v>
      </c>
      <c r="H1741" t="str">
        <f t="shared" si="136"/>
        <v>INDUSTRIA E CERVEJARIA ARTESANAL DE MINAS GERAIS L</v>
      </c>
      <c r="I1741">
        <f t="shared" si="137"/>
        <v>0</v>
      </c>
      <c r="J1741">
        <f t="shared" si="138"/>
        <v>1</v>
      </c>
    </row>
    <row r="1742" spans="1:10" x14ac:dyDescent="0.25">
      <c r="A1742" t="s">
        <v>480</v>
      </c>
      <c r="B1742" t="s">
        <v>236</v>
      </c>
      <c r="C1742" t="s">
        <v>72</v>
      </c>
      <c r="D1742" s="3">
        <v>45749</v>
      </c>
      <c r="E1742" t="str">
        <f>VLOOKUP(B1742,'PROCV GERENTES BD'!A:B,2,0)</f>
        <v>FITZ</v>
      </c>
      <c r="F1742" s="4" t="str">
        <f t="shared" si="139"/>
        <v>2025-04-1</v>
      </c>
      <c r="G1742" t="str">
        <f t="shared" si="135"/>
        <v>FITZ</v>
      </c>
      <c r="H1742" t="str">
        <f t="shared" si="136"/>
        <v>ELO TELECOMUNICACOES E CONSTRUCOES S/A</v>
      </c>
      <c r="I1742">
        <f t="shared" si="137"/>
        <v>1</v>
      </c>
      <c r="J1742">
        <f t="shared" si="138"/>
        <v>0</v>
      </c>
    </row>
    <row r="1743" spans="1:10" x14ac:dyDescent="0.25">
      <c r="A1743" t="s">
        <v>410</v>
      </c>
      <c r="B1743" t="s">
        <v>159</v>
      </c>
      <c r="C1743" t="s">
        <v>56</v>
      </c>
      <c r="D1743" s="3">
        <v>45749</v>
      </c>
      <c r="E1743" t="str">
        <f>VLOOKUP(B1743,'PROCV GERENTES BD'!A:B,2,0)</f>
        <v>FITZ</v>
      </c>
      <c r="F1743" s="4" t="str">
        <f t="shared" si="139"/>
        <v>2025-04-1</v>
      </c>
      <c r="G1743" t="str">
        <f t="shared" si="135"/>
        <v>FITZ</v>
      </c>
      <c r="H1743" t="str">
        <f t="shared" si="136"/>
        <v>MOINHO DE TRIGO JM LTDA</v>
      </c>
      <c r="I1743">
        <f t="shared" si="137"/>
        <v>0</v>
      </c>
      <c r="J1743">
        <f t="shared" si="138"/>
        <v>1</v>
      </c>
    </row>
    <row r="1744" spans="1:10" x14ac:dyDescent="0.25">
      <c r="A1744" t="s">
        <v>68</v>
      </c>
      <c r="B1744" t="s">
        <v>69</v>
      </c>
      <c r="C1744" t="s">
        <v>56</v>
      </c>
      <c r="D1744" s="3">
        <v>45749</v>
      </c>
      <c r="E1744" t="str">
        <f>VLOOKUP(B1744,'PROCV GERENTES BD'!A:B,2,0)</f>
        <v>FITZ</v>
      </c>
      <c r="F1744" s="4" t="str">
        <f t="shared" si="139"/>
        <v>2025-04-1</v>
      </c>
      <c r="G1744" t="str">
        <f t="shared" si="135"/>
        <v>FITZ</v>
      </c>
      <c r="H1744" t="str">
        <f t="shared" si="136"/>
        <v>MAPP COM IMPORTACAO EXPORTACAO IND PRODUTOS ALIMEN</v>
      </c>
      <c r="I1744">
        <f t="shared" si="137"/>
        <v>0</v>
      </c>
      <c r="J1744">
        <f t="shared" si="138"/>
        <v>1</v>
      </c>
    </row>
    <row r="1745" spans="1:10" x14ac:dyDescent="0.25">
      <c r="A1745" t="s">
        <v>436</v>
      </c>
      <c r="B1745" t="s">
        <v>186</v>
      </c>
      <c r="C1745" t="s">
        <v>56</v>
      </c>
      <c r="D1745" s="3">
        <v>45749</v>
      </c>
      <c r="E1745" t="str">
        <f>VLOOKUP(B1745,'PROCV GERENTES BD'!A:B,2,0)</f>
        <v xml:space="preserve">MARCUS VINICIUS </v>
      </c>
      <c r="F1745" s="4" t="str">
        <f t="shared" si="139"/>
        <v>2025-04-1</v>
      </c>
      <c r="G1745" t="str">
        <f t="shared" si="135"/>
        <v xml:space="preserve">MARCUS VINICIUS </v>
      </c>
      <c r="H1745" t="str">
        <f t="shared" si="136"/>
        <v>LABOR ELETRIC INDUSTRIA E COMERCIO UNIPESSOAL LTDA</v>
      </c>
      <c r="I1745">
        <f t="shared" si="137"/>
        <v>0</v>
      </c>
      <c r="J1745">
        <f t="shared" si="138"/>
        <v>1</v>
      </c>
    </row>
    <row r="1746" spans="1:10" x14ac:dyDescent="0.25">
      <c r="A1746" t="s">
        <v>383</v>
      </c>
      <c r="B1746" t="s">
        <v>127</v>
      </c>
      <c r="C1746" t="s">
        <v>59</v>
      </c>
      <c r="D1746" s="3">
        <v>45749</v>
      </c>
      <c r="E1746" t="str">
        <f>VLOOKUP(B1746,'PROCV GERENTES BD'!A:B,2,0)</f>
        <v>NATALIA NUBIA</v>
      </c>
      <c r="F1746" s="4" t="str">
        <f t="shared" si="139"/>
        <v>2025-04-1</v>
      </c>
      <c r="G1746" t="str">
        <f t="shared" si="135"/>
        <v>NATALIA NUBIA</v>
      </c>
      <c r="H1746" t="str">
        <f t="shared" si="136"/>
        <v>FARINELLI NUTRIMENTOS LTDA</v>
      </c>
      <c r="I1746">
        <f t="shared" si="137"/>
        <v>0</v>
      </c>
      <c r="J1746">
        <f t="shared" si="138"/>
        <v>0</v>
      </c>
    </row>
    <row r="1747" spans="1:10" x14ac:dyDescent="0.25">
      <c r="A1747" t="s">
        <v>78</v>
      </c>
      <c r="B1747" t="s">
        <v>79</v>
      </c>
      <c r="C1747" t="s">
        <v>56</v>
      </c>
      <c r="D1747" s="3">
        <v>45749</v>
      </c>
      <c r="E1747" t="str">
        <f>VLOOKUP(B1747,'PROCV GERENTES BD'!A:B,2,0)</f>
        <v>NOELI SALETE</v>
      </c>
      <c r="F1747" s="4" t="str">
        <f t="shared" si="139"/>
        <v>2025-04-1</v>
      </c>
      <c r="G1747" t="str">
        <f t="shared" si="135"/>
        <v>NOELI SALETE</v>
      </c>
      <c r="H1747" t="str">
        <f t="shared" si="136"/>
        <v>SMARTCENTER SOLUCOES INTELIGENTES LTDA ME</v>
      </c>
      <c r="I1747">
        <f t="shared" si="137"/>
        <v>0</v>
      </c>
      <c r="J1747">
        <f t="shared" si="138"/>
        <v>1</v>
      </c>
    </row>
    <row r="1748" spans="1:10" x14ac:dyDescent="0.25">
      <c r="A1748" t="s">
        <v>408</v>
      </c>
      <c r="B1748" t="s">
        <v>157</v>
      </c>
      <c r="C1748" t="s">
        <v>56</v>
      </c>
      <c r="D1748" s="3">
        <v>45749</v>
      </c>
      <c r="E1748" t="str">
        <f>VLOOKUP(B1748,'PROCV GERENTES BD'!A:B,2,0)</f>
        <v>NOELI SALETE</v>
      </c>
      <c r="F1748" s="4" t="str">
        <f t="shared" si="139"/>
        <v>2025-04-1</v>
      </c>
      <c r="G1748" t="str">
        <f t="shared" si="135"/>
        <v>NOELI SALETE</v>
      </c>
      <c r="H1748" t="str">
        <f t="shared" si="136"/>
        <v>POOLMAK SISTEMAS ESTRUTURAIS LTDA</v>
      </c>
      <c r="I1748">
        <f t="shared" si="137"/>
        <v>0</v>
      </c>
      <c r="J1748">
        <f t="shared" si="138"/>
        <v>1</v>
      </c>
    </row>
    <row r="1749" spans="1:10" x14ac:dyDescent="0.25">
      <c r="A1749" t="s">
        <v>494</v>
      </c>
      <c r="B1749" t="s">
        <v>250</v>
      </c>
      <c r="C1749" t="s">
        <v>56</v>
      </c>
      <c r="D1749" s="3">
        <v>45749</v>
      </c>
      <c r="E1749" t="str">
        <f>VLOOKUP(B1749,'PROCV GERENTES BD'!A:B,2,0)</f>
        <v>NOELI SALETE</v>
      </c>
      <c r="F1749" s="4" t="str">
        <f t="shared" si="139"/>
        <v>2025-04-1</v>
      </c>
      <c r="G1749" t="str">
        <f t="shared" si="135"/>
        <v>NOELI SALETE</v>
      </c>
      <c r="H1749" t="str">
        <f t="shared" si="136"/>
        <v>SMARTCENTERGROUP COMERCIO DE EQUIPAMENTOS DE INFOR</v>
      </c>
      <c r="I1749">
        <f t="shared" si="137"/>
        <v>0</v>
      </c>
      <c r="J1749">
        <f t="shared" si="138"/>
        <v>1</v>
      </c>
    </row>
    <row r="1750" spans="1:10" x14ac:dyDescent="0.25">
      <c r="A1750" t="s">
        <v>446</v>
      </c>
      <c r="B1750" t="s">
        <v>196</v>
      </c>
      <c r="C1750" t="s">
        <v>72</v>
      </c>
      <c r="D1750" s="3">
        <v>45749</v>
      </c>
      <c r="E1750" t="str">
        <f>VLOOKUP(B1750,'PROCV GERENTES BD'!A:B,2,0)</f>
        <v>NOELI SALETE</v>
      </c>
      <c r="F1750" s="4" t="str">
        <f t="shared" si="139"/>
        <v>2025-04-1</v>
      </c>
      <c r="G1750" t="str">
        <f t="shared" si="135"/>
        <v>NOELI SALETE</v>
      </c>
      <c r="H1750" t="str">
        <f t="shared" si="136"/>
        <v>AGRO INDUSTRIAL LAZZERI LTDA</v>
      </c>
      <c r="I1750">
        <f t="shared" si="137"/>
        <v>1</v>
      </c>
      <c r="J1750">
        <f t="shared" si="138"/>
        <v>0</v>
      </c>
    </row>
    <row r="1751" spans="1:10" x14ac:dyDescent="0.25">
      <c r="A1751" t="s">
        <v>361</v>
      </c>
      <c r="B1751" t="s">
        <v>103</v>
      </c>
      <c r="C1751" t="s">
        <v>59</v>
      </c>
      <c r="D1751" s="3">
        <v>45749</v>
      </c>
      <c r="E1751" t="str">
        <f>VLOOKUP(B1751,'PROCV GERENTES BD'!A:B,2,0)</f>
        <v>PRISCILA METZ</v>
      </c>
      <c r="F1751" s="4" t="str">
        <f t="shared" si="139"/>
        <v>2025-04-1</v>
      </c>
      <c r="G1751" t="str">
        <f t="shared" si="135"/>
        <v>PRISCILA METZ</v>
      </c>
      <c r="H1751" t="str">
        <f t="shared" si="136"/>
        <v>ESSENZA INDUSTRIA QUIMICA LTDA</v>
      </c>
      <c r="I1751">
        <f t="shared" si="137"/>
        <v>0</v>
      </c>
      <c r="J1751">
        <f t="shared" si="138"/>
        <v>0</v>
      </c>
    </row>
    <row r="1752" spans="1:10" x14ac:dyDescent="0.25">
      <c r="A1752" t="s">
        <v>395</v>
      </c>
      <c r="B1752" t="s">
        <v>141</v>
      </c>
      <c r="C1752" t="s">
        <v>56</v>
      </c>
      <c r="D1752" s="3">
        <v>45749</v>
      </c>
      <c r="E1752" t="str">
        <f>VLOOKUP(B1752,'PROCV GERENTES BD'!A:B,2,0)</f>
        <v>RAFAEL PARISE</v>
      </c>
      <c r="F1752" s="4" t="str">
        <f t="shared" si="139"/>
        <v>2025-04-1</v>
      </c>
      <c r="G1752" t="str">
        <f t="shared" si="135"/>
        <v>RAFAEL PARISE</v>
      </c>
      <c r="H1752" t="str">
        <f t="shared" si="136"/>
        <v>MAIS DISTRIBUIDORA LTDA</v>
      </c>
      <c r="I1752">
        <f t="shared" si="137"/>
        <v>0</v>
      </c>
      <c r="J1752">
        <f t="shared" si="138"/>
        <v>1</v>
      </c>
    </row>
    <row r="1753" spans="1:10" x14ac:dyDescent="0.25">
      <c r="A1753" t="s">
        <v>462</v>
      </c>
      <c r="B1753" t="s">
        <v>218</v>
      </c>
      <c r="C1753" t="s">
        <v>56</v>
      </c>
      <c r="D1753" s="3">
        <v>45749</v>
      </c>
      <c r="E1753" t="str">
        <f>VLOOKUP(B1753,'PROCV GERENTES BD'!A:B,2,0)</f>
        <v>RAFAEL PARISE</v>
      </c>
      <c r="F1753" s="4" t="str">
        <f t="shared" si="139"/>
        <v>2025-04-1</v>
      </c>
      <c r="G1753" t="str">
        <f t="shared" si="135"/>
        <v>RAFAEL PARISE</v>
      </c>
      <c r="H1753" t="str">
        <f t="shared" si="136"/>
        <v>TREGA FILHOS EMPACOTAMENTO E DISTRIBUICAO LTDA ME</v>
      </c>
      <c r="I1753">
        <f t="shared" si="137"/>
        <v>0</v>
      </c>
      <c r="J1753">
        <f t="shared" si="138"/>
        <v>1</v>
      </c>
    </row>
    <row r="1754" spans="1:10" x14ac:dyDescent="0.25">
      <c r="A1754" t="s">
        <v>455</v>
      </c>
      <c r="B1754" t="s">
        <v>207</v>
      </c>
      <c r="C1754" t="s">
        <v>56</v>
      </c>
      <c r="D1754" s="3">
        <v>45749</v>
      </c>
      <c r="E1754" t="s">
        <v>25</v>
      </c>
      <c r="F1754" s="4" t="str">
        <f t="shared" si="139"/>
        <v>2025-04-1</v>
      </c>
      <c r="G1754" t="str">
        <f t="shared" si="135"/>
        <v xml:space="preserve">ROGERIO </v>
      </c>
      <c r="H1754" t="str">
        <f t="shared" si="136"/>
        <v>ORTHOSIDE INDUSTRIA E COMERCIO LTDA EPP</v>
      </c>
      <c r="I1754">
        <f t="shared" si="137"/>
        <v>0</v>
      </c>
      <c r="J1754">
        <f t="shared" si="138"/>
        <v>1</v>
      </c>
    </row>
    <row r="1755" spans="1:10" x14ac:dyDescent="0.25">
      <c r="A1755" t="s">
        <v>62</v>
      </c>
      <c r="B1755" t="s">
        <v>63</v>
      </c>
      <c r="C1755" t="s">
        <v>56</v>
      </c>
      <c r="D1755" s="3">
        <v>45749</v>
      </c>
      <c r="E1755" t="str">
        <f>VLOOKUP(B1755,'PROCV GERENTES BD'!A:B,2,0)</f>
        <v xml:space="preserve">ROGERIO </v>
      </c>
      <c r="F1755" s="4" t="str">
        <f t="shared" si="139"/>
        <v>2025-04-1</v>
      </c>
      <c r="G1755" t="str">
        <f t="shared" si="135"/>
        <v xml:space="preserve">ROGERIO </v>
      </c>
      <c r="H1755" t="str">
        <f t="shared" si="136"/>
        <v>RODOVIEIRA TRANSPORTE LTDA</v>
      </c>
      <c r="I1755">
        <f t="shared" si="137"/>
        <v>0</v>
      </c>
      <c r="J1755">
        <f t="shared" si="138"/>
        <v>1</v>
      </c>
    </row>
    <row r="1756" spans="1:10" x14ac:dyDescent="0.25">
      <c r="A1756" t="s">
        <v>498</v>
      </c>
      <c r="B1756" t="s">
        <v>255</v>
      </c>
      <c r="C1756" t="s">
        <v>56</v>
      </c>
      <c r="D1756" s="3">
        <v>45749</v>
      </c>
      <c r="E1756" t="str">
        <f>VLOOKUP(B1756,'PROCV GERENTES BD'!A:B,2,0)</f>
        <v>PROSPECTAR</v>
      </c>
      <c r="F1756" s="4" t="str">
        <f t="shared" si="139"/>
        <v>2025-04-1</v>
      </c>
      <c r="G1756" t="str">
        <f t="shared" si="135"/>
        <v>PROSPECTAR</v>
      </c>
      <c r="H1756" t="str">
        <f t="shared" si="136"/>
        <v>PRODUTOS PORTEIRAO COM DIST E REP LTDA EPP</v>
      </c>
      <c r="I1756">
        <f t="shared" si="137"/>
        <v>0</v>
      </c>
      <c r="J1756">
        <f t="shared" si="138"/>
        <v>1</v>
      </c>
    </row>
    <row r="1757" spans="1:10" x14ac:dyDescent="0.25">
      <c r="A1757" t="s">
        <v>421</v>
      </c>
      <c r="B1757" t="s">
        <v>170</v>
      </c>
      <c r="C1757" t="s">
        <v>72</v>
      </c>
      <c r="D1757" s="3">
        <v>45750</v>
      </c>
      <c r="E1757" t="str">
        <f>VLOOKUP(B1757,'PROCV GERENTES BD'!A:B,2,0)</f>
        <v>CELIO PIMENTA</v>
      </c>
      <c r="F1757" s="4" t="str">
        <f t="shared" si="139"/>
        <v>2025-04-1</v>
      </c>
      <c r="G1757" t="str">
        <f t="shared" si="135"/>
        <v>CELIO PIMENTA</v>
      </c>
      <c r="H1757" t="str">
        <f t="shared" si="136"/>
        <v>TOUROS IMPLEMENTOS LTDA ME</v>
      </c>
      <c r="I1757">
        <f t="shared" si="137"/>
        <v>1</v>
      </c>
      <c r="J1757">
        <f t="shared" si="138"/>
        <v>0</v>
      </c>
    </row>
    <row r="1758" spans="1:10" x14ac:dyDescent="0.25">
      <c r="A1758" t="s">
        <v>436</v>
      </c>
      <c r="B1758" t="s">
        <v>186</v>
      </c>
      <c r="C1758" t="s">
        <v>56</v>
      </c>
      <c r="D1758" s="3">
        <v>45750</v>
      </c>
      <c r="E1758" t="str">
        <f>VLOOKUP(B1758,'PROCV GERENTES BD'!A:B,2,0)</f>
        <v xml:space="preserve">MARCUS VINICIUS </v>
      </c>
      <c r="F1758" s="4" t="str">
        <f t="shared" si="139"/>
        <v>2025-04-1</v>
      </c>
      <c r="G1758" t="str">
        <f t="shared" si="135"/>
        <v xml:space="preserve">MARCUS VINICIUS </v>
      </c>
      <c r="H1758" t="str">
        <f t="shared" si="136"/>
        <v>LABOR ELETRIC INDUSTRIA E COMERCIO UNIPESSOAL LTDA</v>
      </c>
      <c r="I1758">
        <f t="shared" si="137"/>
        <v>0</v>
      </c>
      <c r="J1758">
        <f t="shared" si="138"/>
        <v>1</v>
      </c>
    </row>
    <row r="1759" spans="1:10" x14ac:dyDescent="0.25">
      <c r="A1759" t="s">
        <v>483</v>
      </c>
      <c r="B1759" t="s">
        <v>239</v>
      </c>
      <c r="C1759" t="s">
        <v>72</v>
      </c>
      <c r="D1759" s="3">
        <v>45750</v>
      </c>
      <c r="E1759" t="str">
        <f>VLOOKUP(B1759,'PROCV GERENTES BD'!A:B,2,0)</f>
        <v>POENATELA</v>
      </c>
      <c r="F1759" s="4" t="str">
        <f t="shared" si="139"/>
        <v>2025-04-1</v>
      </c>
      <c r="G1759" t="str">
        <f t="shared" si="135"/>
        <v>POENATELA</v>
      </c>
      <c r="H1759" t="str">
        <f t="shared" si="136"/>
        <v>JUATUBA MOVEIS E EMBALAGENS LTDA</v>
      </c>
      <c r="I1759">
        <f t="shared" si="137"/>
        <v>1</v>
      </c>
      <c r="J1759">
        <f t="shared" si="138"/>
        <v>0</v>
      </c>
    </row>
    <row r="1760" spans="1:10" x14ac:dyDescent="0.25">
      <c r="A1760" t="s">
        <v>57</v>
      </c>
      <c r="B1760" t="s">
        <v>58</v>
      </c>
      <c r="C1760" t="s">
        <v>72</v>
      </c>
      <c r="D1760" s="3">
        <v>45750</v>
      </c>
      <c r="E1760" t="str">
        <f>VLOOKUP(B1760,'PROCV GERENTES BD'!A:B,2,0)</f>
        <v>RAFAEL PARISE</v>
      </c>
      <c r="F1760" s="4" t="str">
        <f t="shared" si="139"/>
        <v>2025-04-1</v>
      </c>
      <c r="G1760" t="str">
        <f t="shared" si="135"/>
        <v>RAFAEL PARISE</v>
      </c>
      <c r="H1760" t="str">
        <f t="shared" si="136"/>
        <v>TDR TRANSPORTES LOGISTICA LTDA</v>
      </c>
      <c r="I1760">
        <f t="shared" si="137"/>
        <v>1</v>
      </c>
      <c r="J1760">
        <f t="shared" si="138"/>
        <v>0</v>
      </c>
    </row>
    <row r="1761" spans="1:10" x14ac:dyDescent="0.25">
      <c r="A1761" t="s">
        <v>73</v>
      </c>
      <c r="B1761" t="s">
        <v>74</v>
      </c>
      <c r="C1761" t="s">
        <v>72</v>
      </c>
      <c r="D1761" s="3">
        <v>45750</v>
      </c>
      <c r="E1761" t="s">
        <v>25</v>
      </c>
      <c r="F1761" s="4" t="str">
        <f t="shared" si="139"/>
        <v>2025-04-1</v>
      </c>
      <c r="G1761" t="str">
        <f t="shared" si="135"/>
        <v xml:space="preserve">ROGERIO </v>
      </c>
      <c r="H1761" t="str">
        <f t="shared" si="136"/>
        <v>DIOTTONI INDUSTRIA E COMERCIO DE ALIMENTOS LTDA ME</v>
      </c>
      <c r="I1761">
        <f t="shared" si="137"/>
        <v>1</v>
      </c>
      <c r="J1761">
        <f t="shared" si="138"/>
        <v>0</v>
      </c>
    </row>
    <row r="1762" spans="1:10" x14ac:dyDescent="0.25">
      <c r="A1762" t="s">
        <v>62</v>
      </c>
      <c r="B1762" t="s">
        <v>63</v>
      </c>
      <c r="C1762" t="s">
        <v>72</v>
      </c>
      <c r="D1762" s="3">
        <v>45750</v>
      </c>
      <c r="E1762" t="str">
        <f>VLOOKUP(B1762,'PROCV GERENTES BD'!A:B,2,0)</f>
        <v xml:space="preserve">ROGERIO </v>
      </c>
      <c r="F1762" s="4" t="str">
        <f t="shared" si="139"/>
        <v>2025-04-1</v>
      </c>
      <c r="G1762" t="str">
        <f t="shared" si="135"/>
        <v xml:space="preserve">ROGERIO </v>
      </c>
      <c r="H1762" t="str">
        <f t="shared" si="136"/>
        <v>RODOVIEIRA TRANSPORTE LTDA</v>
      </c>
      <c r="I1762">
        <f t="shared" si="137"/>
        <v>1</v>
      </c>
      <c r="J1762">
        <f t="shared" si="138"/>
        <v>0</v>
      </c>
    </row>
    <row r="1763" spans="1:10" x14ac:dyDescent="0.25">
      <c r="A1763" t="s">
        <v>60</v>
      </c>
      <c r="B1763" t="s">
        <v>61</v>
      </c>
      <c r="C1763" t="s">
        <v>56</v>
      </c>
      <c r="D1763" s="3">
        <v>45751</v>
      </c>
      <c r="E1763" t="str">
        <f>VLOOKUP(B1763,'PROCV GERENTES BD'!A:B,2,0)</f>
        <v>CELIO PIMENTA</v>
      </c>
      <c r="F1763" s="4" t="str">
        <f t="shared" si="139"/>
        <v>2025-04-1</v>
      </c>
      <c r="G1763" t="str">
        <f t="shared" si="135"/>
        <v>CELIO PIMENTA</v>
      </c>
      <c r="H1763" t="str">
        <f t="shared" si="136"/>
        <v>WJ CALDEIRARIA INDUSTRIA E COMERCIO LTDA ME</v>
      </c>
      <c r="I1763">
        <f t="shared" si="137"/>
        <v>0</v>
      </c>
      <c r="J1763">
        <f t="shared" si="138"/>
        <v>1</v>
      </c>
    </row>
    <row r="1764" spans="1:10" x14ac:dyDescent="0.25">
      <c r="A1764" t="s">
        <v>475</v>
      </c>
      <c r="B1764" t="s">
        <v>231</v>
      </c>
      <c r="C1764" t="s">
        <v>56</v>
      </c>
      <c r="D1764" s="3">
        <v>45751</v>
      </c>
      <c r="E1764" t="str">
        <f>VLOOKUP(B1764,'PROCV GERENTES BD'!A:B,2,0)</f>
        <v>DIOGO AZEVEDO</v>
      </c>
      <c r="F1764" s="4" t="str">
        <f t="shared" si="139"/>
        <v>2025-04-1</v>
      </c>
      <c r="G1764" t="str">
        <f t="shared" si="135"/>
        <v>DIOGO AZEVEDO</v>
      </c>
      <c r="H1764" t="str">
        <f t="shared" si="136"/>
        <v>VGS COMERCIO DE EMBALAGENS DE MADEIRAS LTDA ME</v>
      </c>
      <c r="I1764">
        <f t="shared" si="137"/>
        <v>0</v>
      </c>
      <c r="J1764">
        <f t="shared" si="138"/>
        <v>1</v>
      </c>
    </row>
    <row r="1765" spans="1:10" x14ac:dyDescent="0.25">
      <c r="A1765" t="s">
        <v>410</v>
      </c>
      <c r="B1765" t="s">
        <v>159</v>
      </c>
      <c r="C1765" t="s">
        <v>56</v>
      </c>
      <c r="D1765" s="3">
        <v>45751</v>
      </c>
      <c r="E1765" t="str">
        <f>VLOOKUP(B1765,'PROCV GERENTES BD'!A:B,2,0)</f>
        <v>FITZ</v>
      </c>
      <c r="F1765" s="4" t="str">
        <f t="shared" si="139"/>
        <v>2025-04-1</v>
      </c>
      <c r="G1765" t="str">
        <f t="shared" si="135"/>
        <v>FITZ</v>
      </c>
      <c r="H1765" t="str">
        <f t="shared" si="136"/>
        <v>MOINHO DE TRIGO JM LTDA</v>
      </c>
      <c r="I1765">
        <f t="shared" si="137"/>
        <v>0</v>
      </c>
      <c r="J1765">
        <f t="shared" si="138"/>
        <v>1</v>
      </c>
    </row>
    <row r="1766" spans="1:10" x14ac:dyDescent="0.25">
      <c r="A1766" t="s">
        <v>331</v>
      </c>
      <c r="B1766" t="s">
        <v>126</v>
      </c>
      <c r="C1766" t="s">
        <v>72</v>
      </c>
      <c r="D1766" s="3">
        <v>45751</v>
      </c>
      <c r="E1766" t="str">
        <f>VLOOKUP(B1766,'PROCV GERENTES BD'!A:B,2,0)</f>
        <v>FITZ</v>
      </c>
      <c r="F1766" s="4" t="str">
        <f t="shared" si="139"/>
        <v>2025-04-1</v>
      </c>
      <c r="G1766" t="str">
        <f t="shared" si="135"/>
        <v>FITZ</v>
      </c>
      <c r="H1766" t="str">
        <f t="shared" si="136"/>
        <v>TRANSHENRY TRANSPORTES LTDA</v>
      </c>
      <c r="I1766">
        <f t="shared" si="137"/>
        <v>1</v>
      </c>
      <c r="J1766">
        <f t="shared" si="138"/>
        <v>0</v>
      </c>
    </row>
    <row r="1767" spans="1:10" x14ac:dyDescent="0.25">
      <c r="A1767" t="s">
        <v>68</v>
      </c>
      <c r="B1767" t="s">
        <v>69</v>
      </c>
      <c r="C1767" t="s">
        <v>72</v>
      </c>
      <c r="D1767" s="3">
        <v>45751</v>
      </c>
      <c r="E1767" t="str">
        <f>VLOOKUP(B1767,'PROCV GERENTES BD'!A:B,2,0)</f>
        <v>FITZ</v>
      </c>
      <c r="F1767" s="4" t="str">
        <f t="shared" si="139"/>
        <v>2025-04-1</v>
      </c>
      <c r="G1767" t="str">
        <f t="shared" si="135"/>
        <v>FITZ</v>
      </c>
      <c r="H1767" t="str">
        <f t="shared" si="136"/>
        <v>MAPP COM IMPORTACAO EXPORTACAO IND PRODUTOS ALIMEN</v>
      </c>
      <c r="I1767">
        <f t="shared" si="137"/>
        <v>1</v>
      </c>
      <c r="J1767">
        <f t="shared" si="138"/>
        <v>0</v>
      </c>
    </row>
    <row r="1768" spans="1:10" x14ac:dyDescent="0.25">
      <c r="A1768" t="s">
        <v>66</v>
      </c>
      <c r="B1768" t="s">
        <v>67</v>
      </c>
      <c r="C1768" t="s">
        <v>72</v>
      </c>
      <c r="D1768" s="3">
        <v>45751</v>
      </c>
      <c r="E1768" t="str">
        <f>VLOOKUP(B1768,'PROCV GERENTES BD'!A:B,2,0)</f>
        <v xml:space="preserve">MARCUS VINICIUS </v>
      </c>
      <c r="F1768" s="4" t="str">
        <f t="shared" si="139"/>
        <v>2025-04-1</v>
      </c>
      <c r="G1768" t="str">
        <f t="shared" si="135"/>
        <v xml:space="preserve">MARCUS VINICIUS </v>
      </c>
      <c r="H1768" t="str">
        <f t="shared" si="136"/>
        <v>COM IND DE CEREAIS E TRANSPORTES MACIEL LTDA</v>
      </c>
      <c r="I1768">
        <f t="shared" si="137"/>
        <v>1</v>
      </c>
      <c r="J1768">
        <f t="shared" si="138"/>
        <v>0</v>
      </c>
    </row>
    <row r="1769" spans="1:10" x14ac:dyDescent="0.25">
      <c r="A1769" t="s">
        <v>317</v>
      </c>
      <c r="B1769" t="s">
        <v>211</v>
      </c>
      <c r="C1769" t="s">
        <v>72</v>
      </c>
      <c r="D1769" s="3">
        <v>45751</v>
      </c>
      <c r="E1769" t="str">
        <f>VLOOKUP(B1769,'PROCV GERENTES BD'!A:B,2,0)</f>
        <v xml:space="preserve">MARCUS VINICIUS </v>
      </c>
      <c r="F1769" s="4" t="str">
        <f t="shared" si="139"/>
        <v>2025-04-1</v>
      </c>
      <c r="G1769" t="str">
        <f t="shared" si="135"/>
        <v xml:space="preserve">MARCUS VINICIUS </v>
      </c>
      <c r="H1769" t="str">
        <f t="shared" si="136"/>
        <v>INDUSTRIA E COMERCIO DE CHURRASQUEIRAS BOM JESUS L</v>
      </c>
      <c r="I1769">
        <f t="shared" si="137"/>
        <v>1</v>
      </c>
      <c r="J1769">
        <f t="shared" si="138"/>
        <v>0</v>
      </c>
    </row>
    <row r="1770" spans="1:10" x14ac:dyDescent="0.25">
      <c r="A1770" t="s">
        <v>383</v>
      </c>
      <c r="B1770" t="s">
        <v>127</v>
      </c>
      <c r="C1770" t="s">
        <v>72</v>
      </c>
      <c r="D1770" s="3">
        <v>45751</v>
      </c>
      <c r="E1770" t="str">
        <f>VLOOKUP(B1770,'PROCV GERENTES BD'!A:B,2,0)</f>
        <v>NATALIA NUBIA</v>
      </c>
      <c r="F1770" s="4" t="str">
        <f t="shared" si="139"/>
        <v>2025-04-1</v>
      </c>
      <c r="G1770" t="str">
        <f t="shared" si="135"/>
        <v>NATALIA NUBIA</v>
      </c>
      <c r="H1770" t="str">
        <f t="shared" si="136"/>
        <v>FARINELLI NUTRIMENTOS LTDA</v>
      </c>
      <c r="I1770">
        <f t="shared" si="137"/>
        <v>1</v>
      </c>
      <c r="J1770">
        <f t="shared" si="138"/>
        <v>0</v>
      </c>
    </row>
    <row r="1771" spans="1:10" x14ac:dyDescent="0.25">
      <c r="A1771" t="s">
        <v>427</v>
      </c>
      <c r="B1771" t="s">
        <v>206</v>
      </c>
      <c r="C1771" t="s">
        <v>72</v>
      </c>
      <c r="D1771" s="3">
        <v>45751</v>
      </c>
      <c r="E1771" t="str">
        <f>VLOOKUP(B1771,'PROCV GERENTES BD'!A:B,2,0)</f>
        <v>NOELI SALETE</v>
      </c>
      <c r="F1771" s="4" t="str">
        <f t="shared" si="139"/>
        <v>2025-04-1</v>
      </c>
      <c r="G1771" t="str">
        <f t="shared" si="135"/>
        <v>NOELI SALETE</v>
      </c>
      <c r="H1771" t="str">
        <f t="shared" si="136"/>
        <v>GLOBAL ACO SERV PRODUTOS SIDERURGICOS LTDA RECUPER</v>
      </c>
      <c r="I1771">
        <f t="shared" si="137"/>
        <v>1</v>
      </c>
      <c r="J1771">
        <f t="shared" si="138"/>
        <v>0</v>
      </c>
    </row>
    <row r="1772" spans="1:10" x14ac:dyDescent="0.25">
      <c r="A1772" t="s">
        <v>428</v>
      </c>
      <c r="B1772" t="s">
        <v>177</v>
      </c>
      <c r="C1772" t="s">
        <v>72</v>
      </c>
      <c r="D1772" s="3">
        <v>45751</v>
      </c>
      <c r="E1772" t="str">
        <f>VLOOKUP(B1772,'PROCV GERENTES BD'!A:B,2,0)</f>
        <v>POENATELA</v>
      </c>
      <c r="F1772" s="4" t="str">
        <f t="shared" si="139"/>
        <v>2025-04-1</v>
      </c>
      <c r="G1772" t="str">
        <f t="shared" si="135"/>
        <v>POENATELA</v>
      </c>
      <c r="H1772" t="str">
        <f t="shared" si="136"/>
        <v>SAVIXX COMERCIO INTERNACIONAL S/A</v>
      </c>
      <c r="I1772">
        <f t="shared" si="137"/>
        <v>1</v>
      </c>
      <c r="J1772">
        <f t="shared" si="138"/>
        <v>0</v>
      </c>
    </row>
    <row r="1773" spans="1:10" x14ac:dyDescent="0.25">
      <c r="A1773" t="s">
        <v>73</v>
      </c>
      <c r="B1773" t="s">
        <v>74</v>
      </c>
      <c r="C1773" t="s">
        <v>59</v>
      </c>
      <c r="D1773" s="3">
        <v>45751</v>
      </c>
      <c r="E1773" t="s">
        <v>25</v>
      </c>
      <c r="F1773" s="4" t="str">
        <f t="shared" si="139"/>
        <v>2025-04-1</v>
      </c>
      <c r="G1773" t="str">
        <f t="shared" si="135"/>
        <v xml:space="preserve">ROGERIO </v>
      </c>
      <c r="H1773" t="str">
        <f t="shared" si="136"/>
        <v>DIOTTONI INDUSTRIA E COMERCIO DE ALIMENTOS LTDA ME</v>
      </c>
      <c r="I1773">
        <f t="shared" si="137"/>
        <v>0</v>
      </c>
      <c r="J1773">
        <f t="shared" si="138"/>
        <v>0</v>
      </c>
    </row>
    <row r="1774" spans="1:10" x14ac:dyDescent="0.25">
      <c r="A1774" t="s">
        <v>332</v>
      </c>
      <c r="B1774" t="s">
        <v>145</v>
      </c>
      <c r="C1774" t="s">
        <v>72</v>
      </c>
      <c r="D1774" s="3">
        <v>45751</v>
      </c>
      <c r="E1774" t="str">
        <f>VLOOKUP(B1774,'PROCV GERENTES BD'!A:B,2,0)</f>
        <v>SEM GERENTE</v>
      </c>
      <c r="F1774" s="4" t="str">
        <f t="shared" si="139"/>
        <v>2025-04-1</v>
      </c>
      <c r="G1774" t="str">
        <f t="shared" si="135"/>
        <v>SEM GERENTE</v>
      </c>
      <c r="H1774" t="str">
        <f t="shared" si="136"/>
        <v>ALLIAGE S A INDUSTRIAS MEDICO ODONTOLOGICA</v>
      </c>
      <c r="I1774">
        <f t="shared" si="137"/>
        <v>1</v>
      </c>
      <c r="J1774">
        <f t="shared" si="138"/>
        <v>0</v>
      </c>
    </row>
    <row r="1775" spans="1:10" x14ac:dyDescent="0.25">
      <c r="A1775" t="s">
        <v>492</v>
      </c>
      <c r="B1775" t="s">
        <v>252</v>
      </c>
      <c r="C1775" t="s">
        <v>56</v>
      </c>
      <c r="D1775" s="3">
        <v>45751</v>
      </c>
      <c r="E1775" t="str">
        <f>VLOOKUP(B1775,'PROCV GERENTES BD'!A:B,2,0)</f>
        <v>ADMINISTRAÇÃO</v>
      </c>
      <c r="F1775" s="4" t="str">
        <f t="shared" si="139"/>
        <v>2025-04-1</v>
      </c>
      <c r="G1775" t="str">
        <f t="shared" si="135"/>
        <v>ADMINISTRAÇÃO</v>
      </c>
      <c r="H1775" t="str">
        <f t="shared" si="136"/>
        <v>REAL FILTROS E ACESSORIOS AUTOMOTIVOS LTDA</v>
      </c>
      <c r="I1775">
        <f t="shared" si="137"/>
        <v>0</v>
      </c>
      <c r="J1775">
        <f t="shared" si="138"/>
        <v>1</v>
      </c>
    </row>
    <row r="1776" spans="1:10" x14ac:dyDescent="0.25">
      <c r="A1776" t="s">
        <v>500</v>
      </c>
      <c r="B1776" t="s">
        <v>258</v>
      </c>
      <c r="C1776" t="s">
        <v>56</v>
      </c>
      <c r="D1776" s="3">
        <v>45751</v>
      </c>
      <c r="E1776" t="str">
        <f>VLOOKUP(B1776,'PROCV GERENTES BD'!A:B,2,0)</f>
        <v>PROSPECTAR</v>
      </c>
      <c r="F1776" s="4" t="str">
        <f t="shared" si="139"/>
        <v>2025-04-1</v>
      </c>
      <c r="G1776" t="str">
        <f t="shared" si="135"/>
        <v>PROSPECTAR</v>
      </c>
      <c r="H1776" t="str">
        <f t="shared" si="136"/>
        <v>JANE FIGUEIRA CONFECCOES LTDA ME</v>
      </c>
      <c r="I1776">
        <f t="shared" si="137"/>
        <v>0</v>
      </c>
      <c r="J1776">
        <f t="shared" si="138"/>
        <v>1</v>
      </c>
    </row>
    <row r="1777" spans="1:10" x14ac:dyDescent="0.25">
      <c r="A1777" t="s">
        <v>363</v>
      </c>
      <c r="B1777" t="s">
        <v>106</v>
      </c>
      <c r="C1777" t="s">
        <v>72</v>
      </c>
      <c r="D1777" s="3">
        <v>45752</v>
      </c>
      <c r="E1777" t="str">
        <f>VLOOKUP(B1777,'PROCV GERENTES BD'!A:B,2,0)</f>
        <v>ADMINISTRAÇÃO</v>
      </c>
      <c r="F1777" s="4" t="str">
        <f t="shared" si="139"/>
        <v>2025-04-1</v>
      </c>
      <c r="G1777" t="str">
        <f t="shared" si="135"/>
        <v>ADMINISTRAÇÃO</v>
      </c>
      <c r="H1777" t="str">
        <f t="shared" si="136"/>
        <v>DECISION DESENVOLVIMENTO DE SISTEMAS LTDA</v>
      </c>
      <c r="I1777">
        <f t="shared" si="137"/>
        <v>1</v>
      </c>
      <c r="J1777">
        <f t="shared" si="138"/>
        <v>0</v>
      </c>
    </row>
    <row r="1778" spans="1:10" x14ac:dyDescent="0.25">
      <c r="A1778" t="s">
        <v>318</v>
      </c>
      <c r="B1778" t="s">
        <v>87</v>
      </c>
      <c r="C1778" t="s">
        <v>56</v>
      </c>
      <c r="D1778" s="3">
        <v>45752</v>
      </c>
      <c r="E1778" t="str">
        <f>VLOOKUP(B1778,'PROCV GERENTES BD'!A:B,2,0)</f>
        <v>CELIO PIMENTA</v>
      </c>
      <c r="F1778" s="4" t="str">
        <f t="shared" si="139"/>
        <v>2025-04-1</v>
      </c>
      <c r="G1778" t="str">
        <f t="shared" si="135"/>
        <v>CELIO PIMENTA</v>
      </c>
      <c r="H1778" t="str">
        <f t="shared" si="136"/>
        <v>MBIOLOG DIAGNOSTICOS LTDA</v>
      </c>
      <c r="I1778">
        <f t="shared" si="137"/>
        <v>0</v>
      </c>
      <c r="J1778">
        <f t="shared" si="138"/>
        <v>1</v>
      </c>
    </row>
    <row r="1779" spans="1:10" x14ac:dyDescent="0.25">
      <c r="A1779" t="s">
        <v>60</v>
      </c>
      <c r="B1779" t="s">
        <v>61</v>
      </c>
      <c r="C1779" t="s">
        <v>56</v>
      </c>
      <c r="D1779" s="3">
        <v>45752</v>
      </c>
      <c r="E1779" t="str">
        <f>VLOOKUP(B1779,'PROCV GERENTES BD'!A:B,2,0)</f>
        <v>CELIO PIMENTA</v>
      </c>
      <c r="F1779" s="4" t="str">
        <f t="shared" si="139"/>
        <v>2025-04-1</v>
      </c>
      <c r="G1779" t="str">
        <f t="shared" si="135"/>
        <v>CELIO PIMENTA</v>
      </c>
      <c r="H1779" t="str">
        <f t="shared" si="136"/>
        <v>WJ CALDEIRARIA INDUSTRIA E COMERCIO LTDA ME</v>
      </c>
      <c r="I1779">
        <f t="shared" si="137"/>
        <v>0</v>
      </c>
      <c r="J1779">
        <f t="shared" si="138"/>
        <v>1</v>
      </c>
    </row>
    <row r="1780" spans="1:10" x14ac:dyDescent="0.25">
      <c r="A1780" t="s">
        <v>475</v>
      </c>
      <c r="B1780" t="s">
        <v>231</v>
      </c>
      <c r="C1780" t="s">
        <v>56</v>
      </c>
      <c r="D1780" s="3">
        <v>45752</v>
      </c>
      <c r="E1780" t="str">
        <f>VLOOKUP(B1780,'PROCV GERENTES BD'!A:B,2,0)</f>
        <v>DIOGO AZEVEDO</v>
      </c>
      <c r="F1780" s="4" t="str">
        <f t="shared" si="139"/>
        <v>2025-04-1</v>
      </c>
      <c r="G1780" t="str">
        <f t="shared" si="135"/>
        <v>DIOGO AZEVEDO</v>
      </c>
      <c r="H1780" t="str">
        <f t="shared" si="136"/>
        <v>VGS COMERCIO DE EMBALAGENS DE MADEIRAS LTDA ME</v>
      </c>
      <c r="I1780">
        <f t="shared" si="137"/>
        <v>0</v>
      </c>
      <c r="J1780">
        <f t="shared" si="138"/>
        <v>1</v>
      </c>
    </row>
    <row r="1781" spans="1:10" x14ac:dyDescent="0.25">
      <c r="A1781" t="s">
        <v>493</v>
      </c>
      <c r="B1781" t="s">
        <v>249</v>
      </c>
      <c r="C1781" t="s">
        <v>59</v>
      </c>
      <c r="D1781" s="3">
        <v>45752</v>
      </c>
      <c r="E1781" t="str">
        <f>VLOOKUP(B1781,'PROCV GERENTES BD'!A:B,2,0)</f>
        <v>FITZ</v>
      </c>
      <c r="F1781" s="4" t="str">
        <f t="shared" si="139"/>
        <v>2025-04-1</v>
      </c>
      <c r="G1781" t="str">
        <f t="shared" si="135"/>
        <v>FITZ</v>
      </c>
      <c r="H1781" t="str">
        <f t="shared" si="136"/>
        <v>GOIARTE SOLUCOES CONSTRUTIVAS EM CONCRETO LTDA</v>
      </c>
      <c r="I1781">
        <f t="shared" si="137"/>
        <v>0</v>
      </c>
      <c r="J1781">
        <f t="shared" si="138"/>
        <v>0</v>
      </c>
    </row>
    <row r="1782" spans="1:10" x14ac:dyDescent="0.25">
      <c r="A1782" t="s">
        <v>410</v>
      </c>
      <c r="B1782" t="s">
        <v>159</v>
      </c>
      <c r="C1782" t="s">
        <v>59</v>
      </c>
      <c r="D1782" s="3">
        <v>45752</v>
      </c>
      <c r="E1782" t="str">
        <f>VLOOKUP(B1782,'PROCV GERENTES BD'!A:B,2,0)</f>
        <v>FITZ</v>
      </c>
      <c r="F1782" s="4" t="str">
        <f t="shared" si="139"/>
        <v>2025-04-1</v>
      </c>
      <c r="G1782" t="str">
        <f t="shared" si="135"/>
        <v>FITZ</v>
      </c>
      <c r="H1782" t="str">
        <f t="shared" si="136"/>
        <v>MOINHO DE TRIGO JM LTDA</v>
      </c>
      <c r="I1782">
        <f t="shared" si="137"/>
        <v>0</v>
      </c>
      <c r="J1782">
        <f t="shared" si="138"/>
        <v>0</v>
      </c>
    </row>
    <row r="1783" spans="1:10" x14ac:dyDescent="0.25">
      <c r="A1783" t="s">
        <v>331</v>
      </c>
      <c r="B1783" t="s">
        <v>126</v>
      </c>
      <c r="C1783" t="s">
        <v>59</v>
      </c>
      <c r="D1783" s="3">
        <v>45752</v>
      </c>
      <c r="E1783" t="str">
        <f>VLOOKUP(B1783,'PROCV GERENTES BD'!A:B,2,0)</f>
        <v>FITZ</v>
      </c>
      <c r="F1783" s="4" t="str">
        <f t="shared" si="139"/>
        <v>2025-04-1</v>
      </c>
      <c r="G1783" t="str">
        <f t="shared" si="135"/>
        <v>FITZ</v>
      </c>
      <c r="H1783" t="str">
        <f t="shared" si="136"/>
        <v>TRANSHENRY TRANSPORTES LTDA</v>
      </c>
      <c r="I1783">
        <f t="shared" si="137"/>
        <v>0</v>
      </c>
      <c r="J1783">
        <f t="shared" si="138"/>
        <v>0</v>
      </c>
    </row>
    <row r="1784" spans="1:10" x14ac:dyDescent="0.25">
      <c r="A1784" t="s">
        <v>68</v>
      </c>
      <c r="B1784" t="s">
        <v>69</v>
      </c>
      <c r="C1784" t="s">
        <v>56</v>
      </c>
      <c r="D1784" s="3">
        <v>45752</v>
      </c>
      <c r="E1784" t="str">
        <f>VLOOKUP(B1784,'PROCV GERENTES BD'!A:B,2,0)</f>
        <v>FITZ</v>
      </c>
      <c r="F1784" s="4" t="str">
        <f t="shared" si="139"/>
        <v>2025-04-1</v>
      </c>
      <c r="G1784" t="str">
        <f t="shared" si="135"/>
        <v>FITZ</v>
      </c>
      <c r="H1784" t="str">
        <f t="shared" si="136"/>
        <v>MAPP COM IMPORTACAO EXPORTACAO IND PRODUTOS ALIMEN</v>
      </c>
      <c r="I1784">
        <f t="shared" si="137"/>
        <v>0</v>
      </c>
      <c r="J1784">
        <f t="shared" si="138"/>
        <v>1</v>
      </c>
    </row>
    <row r="1785" spans="1:10" x14ac:dyDescent="0.25">
      <c r="A1785" t="s">
        <v>427</v>
      </c>
      <c r="B1785" t="s">
        <v>206</v>
      </c>
      <c r="C1785" t="s">
        <v>72</v>
      </c>
      <c r="D1785" s="3">
        <v>45752</v>
      </c>
      <c r="E1785" t="str">
        <f>VLOOKUP(B1785,'PROCV GERENTES BD'!A:B,2,0)</f>
        <v>NOELI SALETE</v>
      </c>
      <c r="F1785" s="4" t="str">
        <f t="shared" si="139"/>
        <v>2025-04-1</v>
      </c>
      <c r="G1785" t="str">
        <f t="shared" si="135"/>
        <v>NOELI SALETE</v>
      </c>
      <c r="H1785" t="str">
        <f t="shared" si="136"/>
        <v>GLOBAL ACO SERV PRODUTOS SIDERURGICOS LTDA RECUPER</v>
      </c>
      <c r="I1785">
        <f t="shared" si="137"/>
        <v>1</v>
      </c>
      <c r="J1785">
        <f t="shared" si="138"/>
        <v>0</v>
      </c>
    </row>
    <row r="1786" spans="1:10" x14ac:dyDescent="0.25">
      <c r="A1786" t="s">
        <v>78</v>
      </c>
      <c r="B1786" t="s">
        <v>79</v>
      </c>
      <c r="C1786" t="s">
        <v>56</v>
      </c>
      <c r="D1786" s="3">
        <v>45752</v>
      </c>
      <c r="E1786" t="str">
        <f>VLOOKUP(B1786,'PROCV GERENTES BD'!A:B,2,0)</f>
        <v>NOELI SALETE</v>
      </c>
      <c r="F1786" s="4" t="str">
        <f t="shared" si="139"/>
        <v>2025-04-1</v>
      </c>
      <c r="G1786" t="str">
        <f t="shared" si="135"/>
        <v>NOELI SALETE</v>
      </c>
      <c r="H1786" t="str">
        <f t="shared" si="136"/>
        <v>SMARTCENTER SOLUCOES INTELIGENTES LTDA ME</v>
      </c>
      <c r="I1786">
        <f t="shared" si="137"/>
        <v>0</v>
      </c>
      <c r="J1786">
        <f t="shared" si="138"/>
        <v>1</v>
      </c>
    </row>
    <row r="1787" spans="1:10" x14ac:dyDescent="0.25">
      <c r="A1787" t="s">
        <v>494</v>
      </c>
      <c r="B1787" t="s">
        <v>250</v>
      </c>
      <c r="C1787" t="s">
        <v>56</v>
      </c>
      <c r="D1787" s="3">
        <v>45752</v>
      </c>
      <c r="E1787" t="str">
        <f>VLOOKUP(B1787,'PROCV GERENTES BD'!A:B,2,0)</f>
        <v>NOELI SALETE</v>
      </c>
      <c r="F1787" s="4" t="str">
        <f t="shared" si="139"/>
        <v>2025-04-1</v>
      </c>
      <c r="G1787" t="str">
        <f t="shared" si="135"/>
        <v>NOELI SALETE</v>
      </c>
      <c r="H1787" t="str">
        <f t="shared" si="136"/>
        <v>SMARTCENTERGROUP COMERCIO DE EQUIPAMENTOS DE INFOR</v>
      </c>
      <c r="I1787">
        <f t="shared" si="137"/>
        <v>0</v>
      </c>
      <c r="J1787">
        <f t="shared" si="138"/>
        <v>1</v>
      </c>
    </row>
    <row r="1788" spans="1:10" x14ac:dyDescent="0.25">
      <c r="A1788" t="s">
        <v>428</v>
      </c>
      <c r="B1788" t="s">
        <v>177</v>
      </c>
      <c r="C1788" t="s">
        <v>56</v>
      </c>
      <c r="D1788" s="3">
        <v>45752</v>
      </c>
      <c r="E1788" t="str">
        <f>VLOOKUP(B1788,'PROCV GERENTES BD'!A:B,2,0)</f>
        <v>POENATELA</v>
      </c>
      <c r="F1788" s="4" t="str">
        <f t="shared" si="139"/>
        <v>2025-04-1</v>
      </c>
      <c r="G1788" t="str">
        <f t="shared" si="135"/>
        <v>POENATELA</v>
      </c>
      <c r="H1788" t="str">
        <f t="shared" si="136"/>
        <v>SAVIXX COMERCIO INTERNACIONAL S/A</v>
      </c>
      <c r="I1788">
        <f t="shared" si="137"/>
        <v>0</v>
      </c>
      <c r="J1788">
        <f t="shared" si="138"/>
        <v>1</v>
      </c>
    </row>
    <row r="1789" spans="1:10" x14ac:dyDescent="0.25">
      <c r="A1789" t="s">
        <v>361</v>
      </c>
      <c r="B1789" t="s">
        <v>103</v>
      </c>
      <c r="C1789" t="s">
        <v>72</v>
      </c>
      <c r="D1789" s="3">
        <v>45752</v>
      </c>
      <c r="E1789" t="str">
        <f>VLOOKUP(B1789,'PROCV GERENTES BD'!A:B,2,0)</f>
        <v>PRISCILA METZ</v>
      </c>
      <c r="F1789" s="4" t="str">
        <f t="shared" si="139"/>
        <v>2025-04-1</v>
      </c>
      <c r="G1789" t="str">
        <f t="shared" si="135"/>
        <v>PRISCILA METZ</v>
      </c>
      <c r="H1789" t="str">
        <f t="shared" si="136"/>
        <v>ESSENZA INDUSTRIA QUIMICA LTDA</v>
      </c>
      <c r="I1789">
        <f t="shared" si="137"/>
        <v>1</v>
      </c>
      <c r="J1789">
        <f t="shared" si="138"/>
        <v>0</v>
      </c>
    </row>
    <row r="1790" spans="1:10" x14ac:dyDescent="0.25">
      <c r="A1790" t="s">
        <v>490</v>
      </c>
      <c r="B1790" t="s">
        <v>246</v>
      </c>
      <c r="C1790" t="s">
        <v>72</v>
      </c>
      <c r="D1790" s="3">
        <v>45752</v>
      </c>
      <c r="E1790" t="str">
        <f>VLOOKUP(B1790,'PROCV GERENTES BD'!A:B,2,0)</f>
        <v>RAFAEL PARISE</v>
      </c>
      <c r="F1790" s="4" t="str">
        <f t="shared" si="139"/>
        <v>2025-04-1</v>
      </c>
      <c r="G1790" t="str">
        <f t="shared" si="135"/>
        <v>RAFAEL PARISE</v>
      </c>
      <c r="H1790" t="str">
        <f t="shared" si="136"/>
        <v>RENOVAR AGRICOLA LTDA</v>
      </c>
      <c r="I1790">
        <f t="shared" si="137"/>
        <v>1</v>
      </c>
      <c r="J1790">
        <f t="shared" si="138"/>
        <v>0</v>
      </c>
    </row>
    <row r="1791" spans="1:10" x14ac:dyDescent="0.25">
      <c r="A1791" t="s">
        <v>73</v>
      </c>
      <c r="B1791" t="s">
        <v>74</v>
      </c>
      <c r="C1791" t="s">
        <v>56</v>
      </c>
      <c r="D1791" s="3">
        <v>45752</v>
      </c>
      <c r="E1791" t="s">
        <v>25</v>
      </c>
      <c r="F1791" s="4" t="str">
        <f t="shared" si="139"/>
        <v>2025-04-1</v>
      </c>
      <c r="G1791" t="str">
        <f t="shared" si="135"/>
        <v xml:space="preserve">ROGERIO </v>
      </c>
      <c r="H1791" t="str">
        <f t="shared" si="136"/>
        <v>DIOTTONI INDUSTRIA E COMERCIO DE ALIMENTOS LTDA ME</v>
      </c>
      <c r="I1791">
        <f t="shared" si="137"/>
        <v>0</v>
      </c>
      <c r="J1791">
        <f t="shared" si="138"/>
        <v>1</v>
      </c>
    </row>
    <row r="1792" spans="1:10" x14ac:dyDescent="0.25">
      <c r="A1792" t="s">
        <v>333</v>
      </c>
      <c r="B1792" t="s">
        <v>129</v>
      </c>
      <c r="C1792" t="s">
        <v>56</v>
      </c>
      <c r="D1792" s="3">
        <v>45752</v>
      </c>
      <c r="E1792" t="s">
        <v>25</v>
      </c>
      <c r="F1792" s="4" t="str">
        <f t="shared" si="139"/>
        <v>2025-04-1</v>
      </c>
      <c r="G1792" t="str">
        <f t="shared" si="135"/>
        <v xml:space="preserve">ROGERIO </v>
      </c>
      <c r="H1792" t="str">
        <f t="shared" si="136"/>
        <v>BIBE PRODUTOS INFANTIS LTDA</v>
      </c>
      <c r="I1792">
        <f t="shared" si="137"/>
        <v>0</v>
      </c>
      <c r="J1792">
        <f t="shared" si="138"/>
        <v>1</v>
      </c>
    </row>
    <row r="1793" spans="1:10" x14ac:dyDescent="0.25">
      <c r="A1793" t="s">
        <v>332</v>
      </c>
      <c r="B1793" t="s">
        <v>145</v>
      </c>
      <c r="C1793" t="s">
        <v>72</v>
      </c>
      <c r="D1793" s="3">
        <v>45752</v>
      </c>
      <c r="E1793" t="str">
        <f>VLOOKUP(B1793,'PROCV GERENTES BD'!A:B,2,0)</f>
        <v>SEM GERENTE</v>
      </c>
      <c r="F1793" s="4" t="str">
        <f t="shared" si="139"/>
        <v>2025-04-1</v>
      </c>
      <c r="G1793" t="str">
        <f t="shared" si="135"/>
        <v>SEM GERENTE</v>
      </c>
      <c r="H1793" t="str">
        <f t="shared" si="136"/>
        <v>ALLIAGE S A INDUSTRIAS MEDICO ODONTOLOGICA</v>
      </c>
      <c r="I1793">
        <f t="shared" si="137"/>
        <v>1</v>
      </c>
      <c r="J1793">
        <f t="shared" si="138"/>
        <v>0</v>
      </c>
    </row>
    <row r="1794" spans="1:10" x14ac:dyDescent="0.25">
      <c r="A1794" t="s">
        <v>62</v>
      </c>
      <c r="B1794" t="s">
        <v>63</v>
      </c>
      <c r="C1794" t="s">
        <v>72</v>
      </c>
      <c r="D1794" s="3">
        <v>45752</v>
      </c>
      <c r="E1794" t="str">
        <f>VLOOKUP(B1794,'PROCV GERENTES BD'!A:B,2,0)</f>
        <v xml:space="preserve">ROGERIO </v>
      </c>
      <c r="F1794" s="4" t="str">
        <f t="shared" si="139"/>
        <v>2025-04-1</v>
      </c>
      <c r="G1794" t="str">
        <f t="shared" ref="G1794:G1857" si="140">E1794</f>
        <v xml:space="preserve">ROGERIO </v>
      </c>
      <c r="H1794" t="str">
        <f t="shared" ref="H1794:H1857" si="141">B1794</f>
        <v>RODOVIEIRA TRANSPORTE LTDA</v>
      </c>
      <c r="I1794">
        <f t="shared" ref="I1794:I1857" si="142">IF(C1794="EXCLUSAO  ANOT.INADIMPLENCIA",1,0)</f>
        <v>1</v>
      </c>
      <c r="J1794">
        <f t="shared" ref="J1794:J1857" si="143">IF(C1794="INCLUSAO  ANOT.INADIMPLENCIA",1,0)</f>
        <v>0</v>
      </c>
    </row>
    <row r="1795" spans="1:10" x14ac:dyDescent="0.25">
      <c r="A1795" t="s">
        <v>501</v>
      </c>
      <c r="B1795" t="s">
        <v>259</v>
      </c>
      <c r="C1795" t="s">
        <v>77</v>
      </c>
      <c r="D1795" s="3">
        <v>45752</v>
      </c>
      <c r="E1795" t="str">
        <f>VLOOKUP(B1795,'PROCV GERENTES BD'!A:B,2,0)</f>
        <v>ADMINISTRAÇÃO</v>
      </c>
      <c r="F1795" s="4" t="str">
        <f t="shared" ref="F1795:F1858" si="144">YEAR(D1795)&amp;"-"&amp;TEXT(MONTH(D1795),"00")&amp;"-"&amp;IF(DAY(D1795)&lt;=15,"1",IF(DAY(D1795)&gt;15,"2",""))</f>
        <v>2025-04-1</v>
      </c>
      <c r="G1795" t="str">
        <f t="shared" si="140"/>
        <v>ADMINISTRAÇÃO</v>
      </c>
      <c r="H1795" t="str">
        <f t="shared" si="141"/>
        <v>IBFX COMERCIO IMPORTACAO E EXPORTACAO LTDA EPP</v>
      </c>
      <c r="I1795">
        <f t="shared" si="142"/>
        <v>0</v>
      </c>
      <c r="J1795">
        <f t="shared" si="143"/>
        <v>0</v>
      </c>
    </row>
    <row r="1796" spans="1:10" x14ac:dyDescent="0.25">
      <c r="A1796" t="s">
        <v>339</v>
      </c>
      <c r="B1796" t="s">
        <v>151</v>
      </c>
      <c r="C1796" t="s">
        <v>56</v>
      </c>
      <c r="D1796" s="3">
        <v>45754</v>
      </c>
      <c r="E1796" t="str">
        <f>VLOOKUP(B1796,'PROCV GERENTES BD'!A:B,2,0)</f>
        <v>ADMINISTRAÇÃO</v>
      </c>
      <c r="F1796" s="4" t="str">
        <f t="shared" si="144"/>
        <v>2025-04-1</v>
      </c>
      <c r="G1796" t="str">
        <f t="shared" si="140"/>
        <v>ADMINISTRAÇÃO</v>
      </c>
      <c r="H1796" t="str">
        <f t="shared" si="141"/>
        <v>BOM PASTOR PAPEIS LTDA EM RECUPERACAO JUDICIAL</v>
      </c>
      <c r="I1796">
        <f t="shared" si="142"/>
        <v>0</v>
      </c>
      <c r="J1796">
        <f t="shared" si="143"/>
        <v>1</v>
      </c>
    </row>
    <row r="1797" spans="1:10" x14ac:dyDescent="0.25">
      <c r="A1797" t="s">
        <v>318</v>
      </c>
      <c r="B1797" t="s">
        <v>87</v>
      </c>
      <c r="C1797" t="s">
        <v>59</v>
      </c>
      <c r="D1797" s="3">
        <v>45754</v>
      </c>
      <c r="E1797" t="str">
        <f>VLOOKUP(B1797,'PROCV GERENTES BD'!A:B,2,0)</f>
        <v>CELIO PIMENTA</v>
      </c>
      <c r="F1797" s="4" t="str">
        <f t="shared" si="144"/>
        <v>2025-04-1</v>
      </c>
      <c r="G1797" t="str">
        <f t="shared" si="140"/>
        <v>CELIO PIMENTA</v>
      </c>
      <c r="H1797" t="str">
        <f t="shared" si="141"/>
        <v>MBIOLOG DIAGNOSTICOS LTDA</v>
      </c>
      <c r="I1797">
        <f t="shared" si="142"/>
        <v>0</v>
      </c>
      <c r="J1797">
        <f t="shared" si="143"/>
        <v>0</v>
      </c>
    </row>
    <row r="1798" spans="1:10" x14ac:dyDescent="0.25">
      <c r="A1798" t="s">
        <v>480</v>
      </c>
      <c r="B1798" t="s">
        <v>236</v>
      </c>
      <c r="C1798" t="s">
        <v>56</v>
      </c>
      <c r="D1798" s="3">
        <v>45754</v>
      </c>
      <c r="E1798" t="str">
        <f>VLOOKUP(B1798,'PROCV GERENTES BD'!A:B,2,0)</f>
        <v>FITZ</v>
      </c>
      <c r="F1798" s="4" t="str">
        <f t="shared" si="144"/>
        <v>2025-04-1</v>
      </c>
      <c r="G1798" t="str">
        <f t="shared" si="140"/>
        <v>FITZ</v>
      </c>
      <c r="H1798" t="str">
        <f t="shared" si="141"/>
        <v>ELO TELECOMUNICACOES E CONSTRUCOES S/A</v>
      </c>
      <c r="I1798">
        <f t="shared" si="142"/>
        <v>0</v>
      </c>
      <c r="J1798">
        <f t="shared" si="143"/>
        <v>1</v>
      </c>
    </row>
    <row r="1799" spans="1:10" x14ac:dyDescent="0.25">
      <c r="A1799" t="s">
        <v>410</v>
      </c>
      <c r="B1799" t="s">
        <v>159</v>
      </c>
      <c r="C1799" t="s">
        <v>56</v>
      </c>
      <c r="D1799" s="3">
        <v>45754</v>
      </c>
      <c r="E1799" t="str">
        <f>VLOOKUP(B1799,'PROCV GERENTES BD'!A:B,2,0)</f>
        <v>FITZ</v>
      </c>
      <c r="F1799" s="4" t="str">
        <f t="shared" si="144"/>
        <v>2025-04-1</v>
      </c>
      <c r="G1799" t="str">
        <f t="shared" si="140"/>
        <v>FITZ</v>
      </c>
      <c r="H1799" t="str">
        <f t="shared" si="141"/>
        <v>MOINHO DE TRIGO JM LTDA</v>
      </c>
      <c r="I1799">
        <f t="shared" si="142"/>
        <v>0</v>
      </c>
      <c r="J1799">
        <f t="shared" si="143"/>
        <v>1</v>
      </c>
    </row>
    <row r="1800" spans="1:10" x14ac:dyDescent="0.25">
      <c r="A1800" t="s">
        <v>331</v>
      </c>
      <c r="B1800" t="s">
        <v>126</v>
      </c>
      <c r="C1800" t="s">
        <v>56</v>
      </c>
      <c r="D1800" s="3">
        <v>45754</v>
      </c>
      <c r="E1800" t="str">
        <f>VLOOKUP(B1800,'PROCV GERENTES BD'!A:B,2,0)</f>
        <v>FITZ</v>
      </c>
      <c r="F1800" s="4" t="str">
        <f t="shared" si="144"/>
        <v>2025-04-1</v>
      </c>
      <c r="G1800" t="str">
        <f t="shared" si="140"/>
        <v>FITZ</v>
      </c>
      <c r="H1800" t="str">
        <f t="shared" si="141"/>
        <v>TRANSHENRY TRANSPORTES LTDA</v>
      </c>
      <c r="I1800">
        <f t="shared" si="142"/>
        <v>0</v>
      </c>
      <c r="J1800">
        <f t="shared" si="143"/>
        <v>1</v>
      </c>
    </row>
    <row r="1801" spans="1:10" x14ac:dyDescent="0.25">
      <c r="A1801" t="s">
        <v>420</v>
      </c>
      <c r="B1801" t="s">
        <v>169</v>
      </c>
      <c r="C1801" t="s">
        <v>56</v>
      </c>
      <c r="D1801" s="3">
        <v>45754</v>
      </c>
      <c r="E1801" t="str">
        <f>VLOOKUP(B1801,'PROCV GERENTES BD'!A:B,2,0)</f>
        <v>FITZ</v>
      </c>
      <c r="F1801" s="4" t="str">
        <f t="shared" si="144"/>
        <v>2025-04-1</v>
      </c>
      <c r="G1801" t="str">
        <f t="shared" si="140"/>
        <v>FITZ</v>
      </c>
      <c r="H1801" t="str">
        <f t="shared" si="141"/>
        <v>MORIA PRESTACAO DE SERVICOS LTDA ME</v>
      </c>
      <c r="I1801">
        <f t="shared" si="142"/>
        <v>0</v>
      </c>
      <c r="J1801">
        <f t="shared" si="143"/>
        <v>1</v>
      </c>
    </row>
    <row r="1802" spans="1:10" x14ac:dyDescent="0.25">
      <c r="A1802" t="s">
        <v>68</v>
      </c>
      <c r="B1802" t="s">
        <v>69</v>
      </c>
      <c r="C1802" t="s">
        <v>56</v>
      </c>
      <c r="D1802" s="3">
        <v>45754</v>
      </c>
      <c r="E1802" t="str">
        <f>VLOOKUP(B1802,'PROCV GERENTES BD'!A:B,2,0)</f>
        <v>FITZ</v>
      </c>
      <c r="F1802" s="4" t="str">
        <f t="shared" si="144"/>
        <v>2025-04-1</v>
      </c>
      <c r="G1802" t="str">
        <f t="shared" si="140"/>
        <v>FITZ</v>
      </c>
      <c r="H1802" t="str">
        <f t="shared" si="141"/>
        <v>MAPP COM IMPORTACAO EXPORTACAO IND PRODUTOS ALIMEN</v>
      </c>
      <c r="I1802">
        <f t="shared" si="142"/>
        <v>0</v>
      </c>
      <c r="J1802">
        <f t="shared" si="143"/>
        <v>1</v>
      </c>
    </row>
    <row r="1803" spans="1:10" x14ac:dyDescent="0.25">
      <c r="A1803" t="s">
        <v>448</v>
      </c>
      <c r="B1803" t="s">
        <v>198</v>
      </c>
      <c r="C1803" t="s">
        <v>56</v>
      </c>
      <c r="D1803" s="3">
        <v>45754</v>
      </c>
      <c r="E1803" t="str">
        <f>VLOOKUP(B1803,'PROCV GERENTES BD'!A:B,2,0)</f>
        <v>FITZ</v>
      </c>
      <c r="F1803" s="4" t="str">
        <f t="shared" si="144"/>
        <v>2025-04-1</v>
      </c>
      <c r="G1803" t="str">
        <f t="shared" si="140"/>
        <v>FITZ</v>
      </c>
      <c r="H1803" t="str">
        <f t="shared" si="141"/>
        <v>SAFRA OURO AGRONEGOCIOS LTDA EPP</v>
      </c>
      <c r="I1803">
        <f t="shared" si="142"/>
        <v>0</v>
      </c>
      <c r="J1803">
        <f t="shared" si="143"/>
        <v>1</v>
      </c>
    </row>
    <row r="1804" spans="1:10" x14ac:dyDescent="0.25">
      <c r="A1804" t="s">
        <v>325</v>
      </c>
      <c r="B1804" t="s">
        <v>210</v>
      </c>
      <c r="C1804" t="s">
        <v>56</v>
      </c>
      <c r="D1804" s="3">
        <v>45754</v>
      </c>
      <c r="E1804" t="str">
        <f>VLOOKUP(B1804,'PROCV GERENTES BD'!A:B,2,0)</f>
        <v>JOSE ROBERTO</v>
      </c>
      <c r="F1804" s="4" t="str">
        <f t="shared" si="144"/>
        <v>2025-04-1</v>
      </c>
      <c r="G1804" t="str">
        <f t="shared" si="140"/>
        <v>JOSE ROBERTO</v>
      </c>
      <c r="H1804" t="str">
        <f t="shared" si="141"/>
        <v>FUNDACAO DE ENSINO E PESQUISA DO SUL DE MINAS FEPE</v>
      </c>
      <c r="I1804">
        <f t="shared" si="142"/>
        <v>0</v>
      </c>
      <c r="J1804">
        <f t="shared" si="143"/>
        <v>1</v>
      </c>
    </row>
    <row r="1805" spans="1:10" x14ac:dyDescent="0.25">
      <c r="A1805" t="s">
        <v>383</v>
      </c>
      <c r="B1805" t="s">
        <v>127</v>
      </c>
      <c r="C1805" t="s">
        <v>56</v>
      </c>
      <c r="D1805" s="3">
        <v>45754</v>
      </c>
      <c r="E1805" t="str">
        <f>VLOOKUP(B1805,'PROCV GERENTES BD'!A:B,2,0)</f>
        <v>NATALIA NUBIA</v>
      </c>
      <c r="F1805" s="4" t="str">
        <f t="shared" si="144"/>
        <v>2025-04-1</v>
      </c>
      <c r="G1805" t="str">
        <f t="shared" si="140"/>
        <v>NATALIA NUBIA</v>
      </c>
      <c r="H1805" t="str">
        <f t="shared" si="141"/>
        <v>FARINELLI NUTRIMENTOS LTDA</v>
      </c>
      <c r="I1805">
        <f t="shared" si="142"/>
        <v>0</v>
      </c>
      <c r="J1805">
        <f t="shared" si="143"/>
        <v>1</v>
      </c>
    </row>
    <row r="1806" spans="1:10" x14ac:dyDescent="0.25">
      <c r="A1806" t="s">
        <v>78</v>
      </c>
      <c r="B1806" t="s">
        <v>79</v>
      </c>
      <c r="C1806" t="s">
        <v>56</v>
      </c>
      <c r="D1806" s="3">
        <v>45754</v>
      </c>
      <c r="E1806" t="str">
        <f>VLOOKUP(B1806,'PROCV GERENTES BD'!A:B,2,0)</f>
        <v>NOELI SALETE</v>
      </c>
      <c r="F1806" s="4" t="str">
        <f t="shared" si="144"/>
        <v>2025-04-1</v>
      </c>
      <c r="G1806" t="str">
        <f t="shared" si="140"/>
        <v>NOELI SALETE</v>
      </c>
      <c r="H1806" t="str">
        <f t="shared" si="141"/>
        <v>SMARTCENTER SOLUCOES INTELIGENTES LTDA ME</v>
      </c>
      <c r="I1806">
        <f t="shared" si="142"/>
        <v>0</v>
      </c>
      <c r="J1806">
        <f t="shared" si="143"/>
        <v>1</v>
      </c>
    </row>
    <row r="1807" spans="1:10" x14ac:dyDescent="0.25">
      <c r="A1807" t="s">
        <v>408</v>
      </c>
      <c r="B1807" t="s">
        <v>157</v>
      </c>
      <c r="C1807" t="s">
        <v>56</v>
      </c>
      <c r="D1807" s="3">
        <v>45754</v>
      </c>
      <c r="E1807" t="str">
        <f>VLOOKUP(B1807,'PROCV GERENTES BD'!A:B,2,0)</f>
        <v>NOELI SALETE</v>
      </c>
      <c r="F1807" s="4" t="str">
        <f t="shared" si="144"/>
        <v>2025-04-1</v>
      </c>
      <c r="G1807" t="str">
        <f t="shared" si="140"/>
        <v>NOELI SALETE</v>
      </c>
      <c r="H1807" t="str">
        <f t="shared" si="141"/>
        <v>POOLMAK SISTEMAS ESTRUTURAIS LTDA</v>
      </c>
      <c r="I1807">
        <f t="shared" si="142"/>
        <v>0</v>
      </c>
      <c r="J1807">
        <f t="shared" si="143"/>
        <v>1</v>
      </c>
    </row>
    <row r="1808" spans="1:10" x14ac:dyDescent="0.25">
      <c r="A1808" t="s">
        <v>494</v>
      </c>
      <c r="B1808" t="s">
        <v>250</v>
      </c>
      <c r="C1808" t="s">
        <v>56</v>
      </c>
      <c r="D1808" s="3">
        <v>45754</v>
      </c>
      <c r="E1808" t="str">
        <f>VLOOKUP(B1808,'PROCV GERENTES BD'!A:B,2,0)</f>
        <v>NOELI SALETE</v>
      </c>
      <c r="F1808" s="4" t="str">
        <f t="shared" si="144"/>
        <v>2025-04-1</v>
      </c>
      <c r="G1808" t="str">
        <f t="shared" si="140"/>
        <v>NOELI SALETE</v>
      </c>
      <c r="H1808" t="str">
        <f t="shared" si="141"/>
        <v>SMARTCENTERGROUP COMERCIO DE EQUIPAMENTOS DE INFOR</v>
      </c>
      <c r="I1808">
        <f t="shared" si="142"/>
        <v>0</v>
      </c>
      <c r="J1808">
        <f t="shared" si="143"/>
        <v>1</v>
      </c>
    </row>
    <row r="1809" spans="1:10" x14ac:dyDescent="0.25">
      <c r="A1809" t="s">
        <v>446</v>
      </c>
      <c r="B1809" t="s">
        <v>196</v>
      </c>
      <c r="C1809" t="s">
        <v>56</v>
      </c>
      <c r="D1809" s="3">
        <v>45754</v>
      </c>
      <c r="E1809" t="str">
        <f>VLOOKUP(B1809,'PROCV GERENTES BD'!A:B,2,0)</f>
        <v>NOELI SALETE</v>
      </c>
      <c r="F1809" s="4" t="str">
        <f t="shared" si="144"/>
        <v>2025-04-1</v>
      </c>
      <c r="G1809" t="str">
        <f t="shared" si="140"/>
        <v>NOELI SALETE</v>
      </c>
      <c r="H1809" t="str">
        <f t="shared" si="141"/>
        <v>AGRO INDUSTRIAL LAZZERI LTDA</v>
      </c>
      <c r="I1809">
        <f t="shared" si="142"/>
        <v>0</v>
      </c>
      <c r="J1809">
        <f t="shared" si="143"/>
        <v>1</v>
      </c>
    </row>
    <row r="1810" spans="1:10" x14ac:dyDescent="0.25">
      <c r="A1810" t="s">
        <v>483</v>
      </c>
      <c r="B1810" t="s">
        <v>239</v>
      </c>
      <c r="C1810" t="s">
        <v>72</v>
      </c>
      <c r="D1810" s="3">
        <v>45754</v>
      </c>
      <c r="E1810" t="str">
        <f>VLOOKUP(B1810,'PROCV GERENTES BD'!A:B,2,0)</f>
        <v>POENATELA</v>
      </c>
      <c r="F1810" s="4" t="str">
        <f t="shared" si="144"/>
        <v>2025-04-1</v>
      </c>
      <c r="G1810" t="str">
        <f t="shared" si="140"/>
        <v>POENATELA</v>
      </c>
      <c r="H1810" t="str">
        <f t="shared" si="141"/>
        <v>JUATUBA MOVEIS E EMBALAGENS LTDA</v>
      </c>
      <c r="I1810">
        <f t="shared" si="142"/>
        <v>1</v>
      </c>
      <c r="J1810">
        <f t="shared" si="143"/>
        <v>0</v>
      </c>
    </row>
    <row r="1811" spans="1:10" x14ac:dyDescent="0.25">
      <c r="A1811" t="s">
        <v>395</v>
      </c>
      <c r="B1811" t="s">
        <v>141</v>
      </c>
      <c r="C1811" t="s">
        <v>56</v>
      </c>
      <c r="D1811" s="3">
        <v>45754</v>
      </c>
      <c r="E1811" t="str">
        <f>VLOOKUP(B1811,'PROCV GERENTES BD'!A:B,2,0)</f>
        <v>RAFAEL PARISE</v>
      </c>
      <c r="F1811" s="4" t="str">
        <f t="shared" si="144"/>
        <v>2025-04-1</v>
      </c>
      <c r="G1811" t="str">
        <f t="shared" si="140"/>
        <v>RAFAEL PARISE</v>
      </c>
      <c r="H1811" t="str">
        <f t="shared" si="141"/>
        <v>MAIS DISTRIBUIDORA LTDA</v>
      </c>
      <c r="I1811">
        <f t="shared" si="142"/>
        <v>0</v>
      </c>
      <c r="J1811">
        <f t="shared" si="143"/>
        <v>1</v>
      </c>
    </row>
    <row r="1812" spans="1:10" x14ac:dyDescent="0.25">
      <c r="A1812" t="s">
        <v>333</v>
      </c>
      <c r="B1812" t="s">
        <v>129</v>
      </c>
      <c r="C1812" t="s">
        <v>56</v>
      </c>
      <c r="D1812" s="3">
        <v>45754</v>
      </c>
      <c r="E1812" t="s">
        <v>25</v>
      </c>
      <c r="F1812" s="4" t="str">
        <f t="shared" si="144"/>
        <v>2025-04-1</v>
      </c>
      <c r="G1812" t="str">
        <f t="shared" si="140"/>
        <v xml:space="preserve">ROGERIO </v>
      </c>
      <c r="H1812" t="str">
        <f t="shared" si="141"/>
        <v>BIBE PRODUTOS INFANTIS LTDA</v>
      </c>
      <c r="I1812">
        <f t="shared" si="142"/>
        <v>0</v>
      </c>
      <c r="J1812">
        <f t="shared" si="143"/>
        <v>1</v>
      </c>
    </row>
    <row r="1813" spans="1:10" x14ac:dyDescent="0.25">
      <c r="A1813" t="s">
        <v>492</v>
      </c>
      <c r="B1813" t="s">
        <v>252</v>
      </c>
      <c r="C1813" t="s">
        <v>56</v>
      </c>
      <c r="D1813" s="3">
        <v>45754</v>
      </c>
      <c r="E1813" t="str">
        <f>VLOOKUP(B1813,'PROCV GERENTES BD'!A:B,2,0)</f>
        <v>ADMINISTRAÇÃO</v>
      </c>
      <c r="F1813" s="4" t="str">
        <f t="shared" si="144"/>
        <v>2025-04-1</v>
      </c>
      <c r="G1813" t="str">
        <f t="shared" si="140"/>
        <v>ADMINISTRAÇÃO</v>
      </c>
      <c r="H1813" t="str">
        <f t="shared" si="141"/>
        <v>REAL FILTROS E ACESSORIOS AUTOMOTIVOS LTDA</v>
      </c>
      <c r="I1813">
        <f t="shared" si="142"/>
        <v>0</v>
      </c>
      <c r="J1813">
        <f t="shared" si="143"/>
        <v>1</v>
      </c>
    </row>
    <row r="1814" spans="1:10" x14ac:dyDescent="0.25">
      <c r="A1814" t="s">
        <v>502</v>
      </c>
      <c r="B1814" t="s">
        <v>260</v>
      </c>
      <c r="C1814" t="s">
        <v>56</v>
      </c>
      <c r="D1814" s="3">
        <v>45754</v>
      </c>
      <c r="E1814" t="str">
        <f>VLOOKUP(B1814,'PROCV GERENTES BD'!A:B,2,0)</f>
        <v>RAFAEL PARISE</v>
      </c>
      <c r="F1814" s="4" t="str">
        <f t="shared" si="144"/>
        <v>2025-04-1</v>
      </c>
      <c r="G1814" t="str">
        <f t="shared" si="140"/>
        <v>RAFAEL PARISE</v>
      </c>
      <c r="H1814" t="str">
        <f t="shared" si="141"/>
        <v>CLAUDINEA GOMES DA SILVA VIANA 04007455694</v>
      </c>
      <c r="I1814">
        <f t="shared" si="142"/>
        <v>0</v>
      </c>
      <c r="J1814">
        <f t="shared" si="143"/>
        <v>1</v>
      </c>
    </row>
    <row r="1815" spans="1:10" x14ac:dyDescent="0.25">
      <c r="A1815" t="s">
        <v>62</v>
      </c>
      <c r="B1815" t="s">
        <v>63</v>
      </c>
      <c r="C1815" t="s">
        <v>56</v>
      </c>
      <c r="D1815" s="3">
        <v>45754</v>
      </c>
      <c r="E1815" t="str">
        <f>VLOOKUP(B1815,'PROCV GERENTES BD'!A:B,2,0)</f>
        <v xml:space="preserve">ROGERIO </v>
      </c>
      <c r="F1815" s="4" t="str">
        <f t="shared" si="144"/>
        <v>2025-04-1</v>
      </c>
      <c r="G1815" t="str">
        <f t="shared" si="140"/>
        <v xml:space="preserve">ROGERIO </v>
      </c>
      <c r="H1815" t="str">
        <f t="shared" si="141"/>
        <v>RODOVIEIRA TRANSPORTE LTDA</v>
      </c>
      <c r="I1815">
        <f t="shared" si="142"/>
        <v>0</v>
      </c>
      <c r="J1815">
        <f t="shared" si="143"/>
        <v>1</v>
      </c>
    </row>
    <row r="1816" spans="1:10" x14ac:dyDescent="0.25">
      <c r="A1816" t="s">
        <v>339</v>
      </c>
      <c r="B1816" t="s">
        <v>151</v>
      </c>
      <c r="C1816" t="s">
        <v>56</v>
      </c>
      <c r="D1816" s="3">
        <v>45755</v>
      </c>
      <c r="E1816" t="str">
        <f>VLOOKUP(B1816,'PROCV GERENTES BD'!A:B,2,0)</f>
        <v>ADMINISTRAÇÃO</v>
      </c>
      <c r="F1816" s="4" t="str">
        <f t="shared" si="144"/>
        <v>2025-04-1</v>
      </c>
      <c r="G1816" t="str">
        <f t="shared" si="140"/>
        <v>ADMINISTRAÇÃO</v>
      </c>
      <c r="H1816" t="str">
        <f t="shared" si="141"/>
        <v>BOM PASTOR PAPEIS LTDA EM RECUPERACAO JUDICIAL</v>
      </c>
      <c r="I1816">
        <f t="shared" si="142"/>
        <v>0</v>
      </c>
      <c r="J1816">
        <f t="shared" si="143"/>
        <v>1</v>
      </c>
    </row>
    <row r="1817" spans="1:10" x14ac:dyDescent="0.25">
      <c r="A1817" t="s">
        <v>457</v>
      </c>
      <c r="B1817" t="s">
        <v>213</v>
      </c>
      <c r="C1817" t="s">
        <v>56</v>
      </c>
      <c r="D1817" s="3">
        <v>45755</v>
      </c>
      <c r="E1817" t="str">
        <f>VLOOKUP(B1817,'PROCV GERENTES BD'!A:B,2,0)</f>
        <v>ANTONIO CARLOS</v>
      </c>
      <c r="F1817" s="4" t="str">
        <f t="shared" si="144"/>
        <v>2025-04-1</v>
      </c>
      <c r="G1817" t="str">
        <f t="shared" si="140"/>
        <v>ANTONIO CARLOS</v>
      </c>
      <c r="H1817" t="str">
        <f t="shared" si="141"/>
        <v>P P DISTRIBUIDORA LTDA</v>
      </c>
      <c r="I1817">
        <f t="shared" si="142"/>
        <v>0</v>
      </c>
      <c r="J1817">
        <f t="shared" si="143"/>
        <v>1</v>
      </c>
    </row>
    <row r="1818" spans="1:10" x14ac:dyDescent="0.25">
      <c r="A1818" t="s">
        <v>380</v>
      </c>
      <c r="B1818" t="s">
        <v>123</v>
      </c>
      <c r="C1818" t="s">
        <v>72</v>
      </c>
      <c r="D1818" s="3">
        <v>45755</v>
      </c>
      <c r="E1818" t="str">
        <f>VLOOKUP(B1818,'PROCV GERENTES BD'!A:B,2,0)</f>
        <v>ANTONIO CARLOS</v>
      </c>
      <c r="F1818" s="4" t="str">
        <f t="shared" si="144"/>
        <v>2025-04-1</v>
      </c>
      <c r="G1818" t="str">
        <f t="shared" si="140"/>
        <v>ANTONIO CARLOS</v>
      </c>
      <c r="H1818" t="str">
        <f t="shared" si="141"/>
        <v>PREMOLDADOS MATOSINHOS LTDA EPP</v>
      </c>
      <c r="I1818">
        <f t="shared" si="142"/>
        <v>1</v>
      </c>
      <c r="J1818">
        <f t="shared" si="143"/>
        <v>0</v>
      </c>
    </row>
    <row r="1819" spans="1:10" x14ac:dyDescent="0.25">
      <c r="A1819" t="s">
        <v>474</v>
      </c>
      <c r="B1819" t="s">
        <v>230</v>
      </c>
      <c r="C1819" t="s">
        <v>72</v>
      </c>
      <c r="D1819" s="3">
        <v>45755</v>
      </c>
      <c r="E1819" t="str">
        <f>VLOOKUP(B1819,'PROCV GERENTES BD'!A:B,2,0)</f>
        <v>CELIO PIMENTA</v>
      </c>
      <c r="F1819" s="4" t="str">
        <f t="shared" si="144"/>
        <v>2025-04-1</v>
      </c>
      <c r="G1819" t="str">
        <f t="shared" si="140"/>
        <v>CELIO PIMENTA</v>
      </c>
      <c r="H1819" t="str">
        <f t="shared" si="141"/>
        <v>ACO X LTDA ME</v>
      </c>
      <c r="I1819">
        <f t="shared" si="142"/>
        <v>1</v>
      </c>
      <c r="J1819">
        <f t="shared" si="143"/>
        <v>0</v>
      </c>
    </row>
    <row r="1820" spans="1:10" x14ac:dyDescent="0.25">
      <c r="A1820" t="s">
        <v>391</v>
      </c>
      <c r="B1820" t="s">
        <v>137</v>
      </c>
      <c r="C1820" t="s">
        <v>72</v>
      </c>
      <c r="D1820" s="3">
        <v>45755</v>
      </c>
      <c r="E1820" t="str">
        <f>VLOOKUP(B1820,'PROCV GERENTES BD'!A:B,2,0)</f>
        <v>CELIO PIMENTA</v>
      </c>
      <c r="F1820" s="4" t="str">
        <f t="shared" si="144"/>
        <v>2025-04-1</v>
      </c>
      <c r="G1820" t="str">
        <f t="shared" si="140"/>
        <v>CELIO PIMENTA</v>
      </c>
      <c r="H1820" t="str">
        <f t="shared" si="141"/>
        <v>JR X IMPORT LTDA EPP</v>
      </c>
      <c r="I1820">
        <f t="shared" si="142"/>
        <v>1</v>
      </c>
      <c r="J1820">
        <f t="shared" si="143"/>
        <v>0</v>
      </c>
    </row>
    <row r="1821" spans="1:10" x14ac:dyDescent="0.25">
      <c r="A1821" t="s">
        <v>318</v>
      </c>
      <c r="B1821" t="s">
        <v>87</v>
      </c>
      <c r="C1821" t="s">
        <v>72</v>
      </c>
      <c r="D1821" s="3">
        <v>45755</v>
      </c>
      <c r="E1821" t="str">
        <f>VLOOKUP(B1821,'PROCV GERENTES BD'!A:B,2,0)</f>
        <v>CELIO PIMENTA</v>
      </c>
      <c r="F1821" s="4" t="str">
        <f t="shared" si="144"/>
        <v>2025-04-1</v>
      </c>
      <c r="G1821" t="str">
        <f t="shared" si="140"/>
        <v>CELIO PIMENTA</v>
      </c>
      <c r="H1821" t="str">
        <f t="shared" si="141"/>
        <v>MBIOLOG DIAGNOSTICOS LTDA</v>
      </c>
      <c r="I1821">
        <f t="shared" si="142"/>
        <v>1</v>
      </c>
      <c r="J1821">
        <f t="shared" si="143"/>
        <v>0</v>
      </c>
    </row>
    <row r="1822" spans="1:10" x14ac:dyDescent="0.25">
      <c r="A1822" t="s">
        <v>366</v>
      </c>
      <c r="B1822" t="s">
        <v>111</v>
      </c>
      <c r="C1822" t="s">
        <v>72</v>
      </c>
      <c r="D1822" s="3">
        <v>45755</v>
      </c>
      <c r="E1822" t="str">
        <f>VLOOKUP(B1822,'PROCV GERENTES BD'!A:B,2,0)</f>
        <v>DIOGO AZEVEDO</v>
      </c>
      <c r="F1822" s="4" t="str">
        <f t="shared" si="144"/>
        <v>2025-04-1</v>
      </c>
      <c r="G1822" t="str">
        <f t="shared" si="140"/>
        <v>DIOGO AZEVEDO</v>
      </c>
      <c r="H1822" t="str">
        <f t="shared" si="141"/>
        <v>INDUSTRIA E CERVEJARIA ARTESANAL DE MINAS GERAIS L</v>
      </c>
      <c r="I1822">
        <f t="shared" si="142"/>
        <v>1</v>
      </c>
      <c r="J1822">
        <f t="shared" si="143"/>
        <v>0</v>
      </c>
    </row>
    <row r="1823" spans="1:10" x14ac:dyDescent="0.25">
      <c r="A1823" t="s">
        <v>410</v>
      </c>
      <c r="B1823" t="s">
        <v>159</v>
      </c>
      <c r="C1823" t="s">
        <v>56</v>
      </c>
      <c r="D1823" s="3">
        <v>45755</v>
      </c>
      <c r="E1823" t="str">
        <f>VLOOKUP(B1823,'PROCV GERENTES BD'!A:B,2,0)</f>
        <v>FITZ</v>
      </c>
      <c r="F1823" s="4" t="str">
        <f t="shared" si="144"/>
        <v>2025-04-1</v>
      </c>
      <c r="G1823" t="str">
        <f t="shared" si="140"/>
        <v>FITZ</v>
      </c>
      <c r="H1823" t="str">
        <f t="shared" si="141"/>
        <v>MOINHO DE TRIGO JM LTDA</v>
      </c>
      <c r="I1823">
        <f t="shared" si="142"/>
        <v>0</v>
      </c>
      <c r="J1823">
        <f t="shared" si="143"/>
        <v>1</v>
      </c>
    </row>
    <row r="1824" spans="1:10" x14ac:dyDescent="0.25">
      <c r="A1824" t="s">
        <v>331</v>
      </c>
      <c r="B1824" t="s">
        <v>126</v>
      </c>
      <c r="C1824" t="s">
        <v>72</v>
      </c>
      <c r="D1824" s="3">
        <v>45755</v>
      </c>
      <c r="E1824" t="str">
        <f>VLOOKUP(B1824,'PROCV GERENTES BD'!A:B,2,0)</f>
        <v>FITZ</v>
      </c>
      <c r="F1824" s="4" t="str">
        <f t="shared" si="144"/>
        <v>2025-04-1</v>
      </c>
      <c r="G1824" t="str">
        <f t="shared" si="140"/>
        <v>FITZ</v>
      </c>
      <c r="H1824" t="str">
        <f t="shared" si="141"/>
        <v>TRANSHENRY TRANSPORTES LTDA</v>
      </c>
      <c r="I1824">
        <f t="shared" si="142"/>
        <v>1</v>
      </c>
      <c r="J1824">
        <f t="shared" si="143"/>
        <v>0</v>
      </c>
    </row>
    <row r="1825" spans="1:10" x14ac:dyDescent="0.25">
      <c r="A1825" t="s">
        <v>68</v>
      </c>
      <c r="B1825" t="s">
        <v>69</v>
      </c>
      <c r="C1825" t="s">
        <v>59</v>
      </c>
      <c r="D1825" s="3">
        <v>45755</v>
      </c>
      <c r="E1825" t="str">
        <f>VLOOKUP(B1825,'PROCV GERENTES BD'!A:B,2,0)</f>
        <v>FITZ</v>
      </c>
      <c r="F1825" s="4" t="str">
        <f t="shared" si="144"/>
        <v>2025-04-1</v>
      </c>
      <c r="G1825" t="str">
        <f t="shared" si="140"/>
        <v>FITZ</v>
      </c>
      <c r="H1825" t="str">
        <f t="shared" si="141"/>
        <v>MAPP COM IMPORTACAO EXPORTACAO IND PRODUTOS ALIMEN</v>
      </c>
      <c r="I1825">
        <f t="shared" si="142"/>
        <v>0</v>
      </c>
      <c r="J1825">
        <f t="shared" si="143"/>
        <v>0</v>
      </c>
    </row>
    <row r="1826" spans="1:10" x14ac:dyDescent="0.25">
      <c r="A1826" t="s">
        <v>448</v>
      </c>
      <c r="B1826" t="s">
        <v>198</v>
      </c>
      <c r="C1826" t="s">
        <v>72</v>
      </c>
      <c r="D1826" s="3">
        <v>45755</v>
      </c>
      <c r="E1826" t="str">
        <f>VLOOKUP(B1826,'PROCV GERENTES BD'!A:B,2,0)</f>
        <v>FITZ</v>
      </c>
      <c r="F1826" s="4" t="str">
        <f t="shared" si="144"/>
        <v>2025-04-1</v>
      </c>
      <c r="G1826" t="str">
        <f t="shared" si="140"/>
        <v>FITZ</v>
      </c>
      <c r="H1826" t="str">
        <f t="shared" si="141"/>
        <v>SAFRA OURO AGRONEGOCIOS LTDA EPP</v>
      </c>
      <c r="I1826">
        <f t="shared" si="142"/>
        <v>1</v>
      </c>
      <c r="J1826">
        <f t="shared" si="143"/>
        <v>0</v>
      </c>
    </row>
    <row r="1827" spans="1:10" x14ac:dyDescent="0.25">
      <c r="A1827" t="s">
        <v>494</v>
      </c>
      <c r="B1827" t="s">
        <v>250</v>
      </c>
      <c r="C1827" t="s">
        <v>56</v>
      </c>
      <c r="D1827" s="3">
        <v>45755</v>
      </c>
      <c r="E1827" t="str">
        <f>VLOOKUP(B1827,'PROCV GERENTES BD'!A:B,2,0)</f>
        <v>NOELI SALETE</v>
      </c>
      <c r="F1827" s="4" t="str">
        <f t="shared" si="144"/>
        <v>2025-04-1</v>
      </c>
      <c r="G1827" t="str">
        <f t="shared" si="140"/>
        <v>NOELI SALETE</v>
      </c>
      <c r="H1827" t="str">
        <f t="shared" si="141"/>
        <v>SMARTCENTERGROUP COMERCIO DE EQUIPAMENTOS DE INFOR</v>
      </c>
      <c r="I1827">
        <f t="shared" si="142"/>
        <v>0</v>
      </c>
      <c r="J1827">
        <f t="shared" si="143"/>
        <v>1</v>
      </c>
    </row>
    <row r="1828" spans="1:10" x14ac:dyDescent="0.25">
      <c r="A1828" t="s">
        <v>397</v>
      </c>
      <c r="B1828" t="s">
        <v>143</v>
      </c>
      <c r="C1828" t="s">
        <v>72</v>
      </c>
      <c r="D1828" s="3">
        <v>45755</v>
      </c>
      <c r="E1828" t="str">
        <f>VLOOKUP(B1828,'PROCV GERENTES BD'!A:B,2,0)</f>
        <v>POENATELA</v>
      </c>
      <c r="F1828" s="4" t="str">
        <f t="shared" si="144"/>
        <v>2025-04-1</v>
      </c>
      <c r="G1828" t="str">
        <f t="shared" si="140"/>
        <v>POENATELA</v>
      </c>
      <c r="H1828" t="str">
        <f t="shared" si="141"/>
        <v>CONQUISTA INDUSTRIA DE MOVEIS S/A</v>
      </c>
      <c r="I1828">
        <f t="shared" si="142"/>
        <v>1</v>
      </c>
      <c r="J1828">
        <f t="shared" si="143"/>
        <v>0</v>
      </c>
    </row>
    <row r="1829" spans="1:10" x14ac:dyDescent="0.25">
      <c r="A1829" t="s">
        <v>483</v>
      </c>
      <c r="B1829" t="s">
        <v>239</v>
      </c>
      <c r="C1829" t="s">
        <v>72</v>
      </c>
      <c r="D1829" s="3">
        <v>45755</v>
      </c>
      <c r="E1829" t="str">
        <f>VLOOKUP(B1829,'PROCV GERENTES BD'!A:B,2,0)</f>
        <v>POENATELA</v>
      </c>
      <c r="F1829" s="4" t="str">
        <f t="shared" si="144"/>
        <v>2025-04-1</v>
      </c>
      <c r="G1829" t="str">
        <f t="shared" si="140"/>
        <v>POENATELA</v>
      </c>
      <c r="H1829" t="str">
        <f t="shared" si="141"/>
        <v>JUATUBA MOVEIS E EMBALAGENS LTDA</v>
      </c>
      <c r="I1829">
        <f t="shared" si="142"/>
        <v>1</v>
      </c>
      <c r="J1829">
        <f t="shared" si="143"/>
        <v>0</v>
      </c>
    </row>
    <row r="1830" spans="1:10" x14ac:dyDescent="0.25">
      <c r="A1830" t="s">
        <v>428</v>
      </c>
      <c r="B1830" t="s">
        <v>177</v>
      </c>
      <c r="C1830" t="s">
        <v>56</v>
      </c>
      <c r="D1830" s="3">
        <v>45755</v>
      </c>
      <c r="E1830" t="str">
        <f>VLOOKUP(B1830,'PROCV GERENTES BD'!A:B,2,0)</f>
        <v>POENATELA</v>
      </c>
      <c r="F1830" s="4" t="str">
        <f t="shared" si="144"/>
        <v>2025-04-1</v>
      </c>
      <c r="G1830" t="str">
        <f t="shared" si="140"/>
        <v>POENATELA</v>
      </c>
      <c r="H1830" t="str">
        <f t="shared" si="141"/>
        <v>SAVIXX COMERCIO INTERNACIONAL S/A</v>
      </c>
      <c r="I1830">
        <f t="shared" si="142"/>
        <v>0</v>
      </c>
      <c r="J1830">
        <f t="shared" si="143"/>
        <v>1</v>
      </c>
    </row>
    <row r="1831" spans="1:10" x14ac:dyDescent="0.25">
      <c r="A1831" t="s">
        <v>452</v>
      </c>
      <c r="B1831" t="s">
        <v>202</v>
      </c>
      <c r="C1831" t="s">
        <v>56</v>
      </c>
      <c r="D1831" s="3">
        <v>45755</v>
      </c>
      <c r="E1831" t="str">
        <f>VLOOKUP(B1831,'PROCV GERENTES BD'!A:B,2,0)</f>
        <v>RAFAEL PARISE</v>
      </c>
      <c r="F1831" s="4" t="str">
        <f t="shared" si="144"/>
        <v>2025-04-1</v>
      </c>
      <c r="G1831" t="str">
        <f t="shared" si="140"/>
        <v>RAFAEL PARISE</v>
      </c>
      <c r="H1831" t="str">
        <f t="shared" si="141"/>
        <v>GEDIBOR RUBBER POLYURETHANE LTDA EPP</v>
      </c>
      <c r="I1831">
        <f t="shared" si="142"/>
        <v>0</v>
      </c>
      <c r="J1831">
        <f t="shared" si="143"/>
        <v>1</v>
      </c>
    </row>
    <row r="1832" spans="1:10" x14ac:dyDescent="0.25">
      <c r="A1832" t="s">
        <v>462</v>
      </c>
      <c r="B1832" t="s">
        <v>218</v>
      </c>
      <c r="C1832" t="s">
        <v>56</v>
      </c>
      <c r="D1832" s="3">
        <v>45755</v>
      </c>
      <c r="E1832" t="str">
        <f>VLOOKUP(B1832,'PROCV GERENTES BD'!A:B,2,0)</f>
        <v>RAFAEL PARISE</v>
      </c>
      <c r="F1832" s="4" t="str">
        <f t="shared" si="144"/>
        <v>2025-04-1</v>
      </c>
      <c r="G1832" t="str">
        <f t="shared" si="140"/>
        <v>RAFAEL PARISE</v>
      </c>
      <c r="H1832" t="str">
        <f t="shared" si="141"/>
        <v>TREGA FILHOS EMPACOTAMENTO E DISTRIBUICAO LTDA ME</v>
      </c>
      <c r="I1832">
        <f t="shared" si="142"/>
        <v>0</v>
      </c>
      <c r="J1832">
        <f t="shared" si="143"/>
        <v>1</v>
      </c>
    </row>
    <row r="1833" spans="1:10" x14ac:dyDescent="0.25">
      <c r="A1833" t="s">
        <v>73</v>
      </c>
      <c r="B1833" t="s">
        <v>74</v>
      </c>
      <c r="C1833" t="s">
        <v>56</v>
      </c>
      <c r="D1833" s="3">
        <v>45755</v>
      </c>
      <c r="E1833" t="s">
        <v>25</v>
      </c>
      <c r="F1833" s="4" t="str">
        <f t="shared" si="144"/>
        <v>2025-04-1</v>
      </c>
      <c r="G1833" t="str">
        <f t="shared" si="140"/>
        <v xml:space="preserve">ROGERIO </v>
      </c>
      <c r="H1833" t="str">
        <f t="shared" si="141"/>
        <v>DIOTTONI INDUSTRIA E COMERCIO DE ALIMENTOS LTDA ME</v>
      </c>
      <c r="I1833">
        <f t="shared" si="142"/>
        <v>0</v>
      </c>
      <c r="J1833">
        <f t="shared" si="143"/>
        <v>1</v>
      </c>
    </row>
    <row r="1834" spans="1:10" x14ac:dyDescent="0.25">
      <c r="A1834" t="s">
        <v>333</v>
      </c>
      <c r="B1834" t="s">
        <v>129</v>
      </c>
      <c r="C1834" t="s">
        <v>72</v>
      </c>
      <c r="D1834" s="3">
        <v>45755</v>
      </c>
      <c r="E1834" t="s">
        <v>25</v>
      </c>
      <c r="F1834" s="4" t="str">
        <f t="shared" si="144"/>
        <v>2025-04-1</v>
      </c>
      <c r="G1834" t="str">
        <f t="shared" si="140"/>
        <v xml:space="preserve">ROGERIO </v>
      </c>
      <c r="H1834" t="str">
        <f t="shared" si="141"/>
        <v>BIBE PRODUTOS INFANTIS LTDA</v>
      </c>
      <c r="I1834">
        <f t="shared" si="142"/>
        <v>1</v>
      </c>
      <c r="J1834">
        <f t="shared" si="143"/>
        <v>0</v>
      </c>
    </row>
    <row r="1835" spans="1:10" x14ac:dyDescent="0.25">
      <c r="A1835" t="s">
        <v>62</v>
      </c>
      <c r="B1835" t="s">
        <v>63</v>
      </c>
      <c r="C1835" t="s">
        <v>56</v>
      </c>
      <c r="D1835" s="3">
        <v>45755</v>
      </c>
      <c r="E1835" t="str">
        <f>VLOOKUP(B1835,'PROCV GERENTES BD'!A:B,2,0)</f>
        <v xml:space="preserve">ROGERIO </v>
      </c>
      <c r="F1835" s="4" t="str">
        <f t="shared" si="144"/>
        <v>2025-04-1</v>
      </c>
      <c r="G1835" t="str">
        <f t="shared" si="140"/>
        <v xml:space="preserve">ROGERIO </v>
      </c>
      <c r="H1835" t="str">
        <f t="shared" si="141"/>
        <v>RODOVIEIRA TRANSPORTE LTDA</v>
      </c>
      <c r="I1835">
        <f t="shared" si="142"/>
        <v>0</v>
      </c>
      <c r="J1835">
        <f t="shared" si="143"/>
        <v>1</v>
      </c>
    </row>
    <row r="1836" spans="1:10" x14ac:dyDescent="0.25">
      <c r="A1836" t="s">
        <v>503</v>
      </c>
      <c r="B1836" t="s">
        <v>261</v>
      </c>
      <c r="C1836" t="s">
        <v>56</v>
      </c>
      <c r="D1836" s="3">
        <v>45755</v>
      </c>
      <c r="E1836" t="str">
        <f>VLOOKUP(B1836,'PROCV GERENTES BD'!A:B,2,0)</f>
        <v>SEM GERENTE</v>
      </c>
      <c r="F1836" s="4" t="str">
        <f t="shared" si="144"/>
        <v>2025-04-1</v>
      </c>
      <c r="G1836" t="str">
        <f t="shared" si="140"/>
        <v>SEM GERENTE</v>
      </c>
      <c r="H1836" t="str">
        <f t="shared" si="141"/>
        <v>SUPREMO PLASTICOS LTDA ME</v>
      </c>
      <c r="I1836">
        <f t="shared" si="142"/>
        <v>0</v>
      </c>
      <c r="J1836">
        <f t="shared" si="143"/>
        <v>1</v>
      </c>
    </row>
    <row r="1837" spans="1:10" x14ac:dyDescent="0.25">
      <c r="A1837" t="s">
        <v>363</v>
      </c>
      <c r="B1837" t="s">
        <v>106</v>
      </c>
      <c r="C1837" t="s">
        <v>72</v>
      </c>
      <c r="D1837" s="3">
        <v>45756</v>
      </c>
      <c r="E1837" t="str">
        <f>VLOOKUP(B1837,'PROCV GERENTES BD'!A:B,2,0)</f>
        <v>ADMINISTRAÇÃO</v>
      </c>
      <c r="F1837" s="4" t="str">
        <f t="shared" si="144"/>
        <v>2025-04-1</v>
      </c>
      <c r="G1837" t="str">
        <f t="shared" si="140"/>
        <v>ADMINISTRAÇÃO</v>
      </c>
      <c r="H1837" t="str">
        <f t="shared" si="141"/>
        <v>DECISION DESENVOLVIMENTO DE SISTEMAS LTDA</v>
      </c>
      <c r="I1837">
        <f t="shared" si="142"/>
        <v>1</v>
      </c>
      <c r="J1837">
        <f t="shared" si="143"/>
        <v>0</v>
      </c>
    </row>
    <row r="1838" spans="1:10" x14ac:dyDescent="0.25">
      <c r="A1838" t="s">
        <v>60</v>
      </c>
      <c r="B1838" t="s">
        <v>61</v>
      </c>
      <c r="C1838" t="s">
        <v>56</v>
      </c>
      <c r="D1838" s="3">
        <v>45756</v>
      </c>
      <c r="E1838" t="str">
        <f>VLOOKUP(B1838,'PROCV GERENTES BD'!A:B,2,0)</f>
        <v>CELIO PIMENTA</v>
      </c>
      <c r="F1838" s="4" t="str">
        <f t="shared" si="144"/>
        <v>2025-04-1</v>
      </c>
      <c r="G1838" t="str">
        <f t="shared" si="140"/>
        <v>CELIO PIMENTA</v>
      </c>
      <c r="H1838" t="str">
        <f t="shared" si="141"/>
        <v>WJ CALDEIRARIA INDUSTRIA E COMERCIO LTDA ME</v>
      </c>
      <c r="I1838">
        <f t="shared" si="142"/>
        <v>0</v>
      </c>
      <c r="J1838">
        <f t="shared" si="143"/>
        <v>1</v>
      </c>
    </row>
    <row r="1839" spans="1:10" x14ac:dyDescent="0.25">
      <c r="A1839" t="s">
        <v>382</v>
      </c>
      <c r="B1839" t="s">
        <v>125</v>
      </c>
      <c r="C1839" t="s">
        <v>72</v>
      </c>
      <c r="D1839" s="3">
        <v>45756</v>
      </c>
      <c r="E1839" t="str">
        <f>VLOOKUP(B1839,'PROCV GERENTES BD'!A:B,2,0)</f>
        <v>CELIO PIMENTA</v>
      </c>
      <c r="F1839" s="4" t="str">
        <f t="shared" si="144"/>
        <v>2025-04-1</v>
      </c>
      <c r="G1839" t="str">
        <f t="shared" si="140"/>
        <v>CELIO PIMENTA</v>
      </c>
      <c r="H1839" t="str">
        <f t="shared" si="141"/>
        <v>MINAS ALIMENTOS E FRUTAS SECAS LTDA EPP</v>
      </c>
      <c r="I1839">
        <f t="shared" si="142"/>
        <v>1</v>
      </c>
      <c r="J1839">
        <f t="shared" si="143"/>
        <v>0</v>
      </c>
    </row>
    <row r="1840" spans="1:10" x14ac:dyDescent="0.25">
      <c r="A1840" t="s">
        <v>480</v>
      </c>
      <c r="B1840" t="s">
        <v>236</v>
      </c>
      <c r="C1840" t="s">
        <v>72</v>
      </c>
      <c r="D1840" s="3">
        <v>45756</v>
      </c>
      <c r="E1840" t="str">
        <f>VLOOKUP(B1840,'PROCV GERENTES BD'!A:B,2,0)</f>
        <v>FITZ</v>
      </c>
      <c r="F1840" s="4" t="str">
        <f t="shared" si="144"/>
        <v>2025-04-1</v>
      </c>
      <c r="G1840" t="str">
        <f t="shared" si="140"/>
        <v>FITZ</v>
      </c>
      <c r="H1840" t="str">
        <f t="shared" si="141"/>
        <v>ELO TELECOMUNICACOES E CONSTRUCOES S/A</v>
      </c>
      <c r="I1840">
        <f t="shared" si="142"/>
        <v>1</v>
      </c>
      <c r="J1840">
        <f t="shared" si="143"/>
        <v>0</v>
      </c>
    </row>
    <row r="1841" spans="1:10" x14ac:dyDescent="0.25">
      <c r="A1841" t="s">
        <v>68</v>
      </c>
      <c r="B1841" t="s">
        <v>69</v>
      </c>
      <c r="C1841" t="s">
        <v>72</v>
      </c>
      <c r="D1841" s="3">
        <v>45756</v>
      </c>
      <c r="E1841" t="str">
        <f>VLOOKUP(B1841,'PROCV GERENTES BD'!A:B,2,0)</f>
        <v>FITZ</v>
      </c>
      <c r="F1841" s="4" t="str">
        <f t="shared" si="144"/>
        <v>2025-04-1</v>
      </c>
      <c r="G1841" t="str">
        <f t="shared" si="140"/>
        <v>FITZ</v>
      </c>
      <c r="H1841" t="str">
        <f t="shared" si="141"/>
        <v>MAPP COM IMPORTACAO EXPORTACAO IND PRODUTOS ALIMEN</v>
      </c>
      <c r="I1841">
        <f t="shared" si="142"/>
        <v>1</v>
      </c>
      <c r="J1841">
        <f t="shared" si="143"/>
        <v>0</v>
      </c>
    </row>
    <row r="1842" spans="1:10" x14ac:dyDescent="0.25">
      <c r="A1842" t="s">
        <v>377</v>
      </c>
      <c r="B1842" t="s">
        <v>120</v>
      </c>
      <c r="C1842" t="s">
        <v>56</v>
      </c>
      <c r="D1842" s="3">
        <v>45756</v>
      </c>
      <c r="E1842" t="str">
        <f>VLOOKUP(B1842,'PROCV GERENTES BD'!A:B,2,0)</f>
        <v xml:space="preserve">MARCUS VINICIUS </v>
      </c>
      <c r="F1842" s="4" t="str">
        <f t="shared" si="144"/>
        <v>2025-04-1</v>
      </c>
      <c r="G1842" t="str">
        <f t="shared" si="140"/>
        <v xml:space="preserve">MARCUS VINICIUS </v>
      </c>
      <c r="H1842" t="str">
        <f t="shared" si="141"/>
        <v>ISOBASE POLIESTIRENO LTDA EPP</v>
      </c>
      <c r="I1842">
        <f t="shared" si="142"/>
        <v>0</v>
      </c>
      <c r="J1842">
        <f t="shared" si="143"/>
        <v>1</v>
      </c>
    </row>
    <row r="1843" spans="1:10" x14ac:dyDescent="0.25">
      <c r="A1843" t="s">
        <v>402</v>
      </c>
      <c r="B1843" t="s">
        <v>150</v>
      </c>
      <c r="C1843" t="s">
        <v>72</v>
      </c>
      <c r="D1843" s="3">
        <v>45756</v>
      </c>
      <c r="E1843" t="str">
        <f>VLOOKUP(B1843,'PROCV GERENTES BD'!A:B,2,0)</f>
        <v>NOELI SALETE</v>
      </c>
      <c r="F1843" s="4" t="str">
        <f t="shared" si="144"/>
        <v>2025-04-1</v>
      </c>
      <c r="G1843" t="str">
        <f t="shared" si="140"/>
        <v>NOELI SALETE</v>
      </c>
      <c r="H1843" t="str">
        <f t="shared" si="141"/>
        <v>ALBERTO H DA SILVA ME</v>
      </c>
      <c r="I1843">
        <f t="shared" si="142"/>
        <v>1</v>
      </c>
      <c r="J1843">
        <f t="shared" si="143"/>
        <v>0</v>
      </c>
    </row>
    <row r="1844" spans="1:10" x14ac:dyDescent="0.25">
      <c r="A1844" t="s">
        <v>446</v>
      </c>
      <c r="B1844" t="s">
        <v>196</v>
      </c>
      <c r="C1844" t="s">
        <v>72</v>
      </c>
      <c r="D1844" s="3">
        <v>45756</v>
      </c>
      <c r="E1844" t="str">
        <f>VLOOKUP(B1844,'PROCV GERENTES BD'!A:B,2,0)</f>
        <v>NOELI SALETE</v>
      </c>
      <c r="F1844" s="4" t="str">
        <f t="shared" si="144"/>
        <v>2025-04-1</v>
      </c>
      <c r="G1844" t="str">
        <f t="shared" si="140"/>
        <v>NOELI SALETE</v>
      </c>
      <c r="H1844" t="str">
        <f t="shared" si="141"/>
        <v>AGRO INDUSTRIAL LAZZERI LTDA</v>
      </c>
      <c r="I1844">
        <f t="shared" si="142"/>
        <v>1</v>
      </c>
      <c r="J1844">
        <f t="shared" si="143"/>
        <v>0</v>
      </c>
    </row>
    <row r="1845" spans="1:10" x14ac:dyDescent="0.25">
      <c r="A1845" t="s">
        <v>397</v>
      </c>
      <c r="B1845" t="s">
        <v>143</v>
      </c>
      <c r="C1845" t="s">
        <v>72</v>
      </c>
      <c r="D1845" s="3">
        <v>45756</v>
      </c>
      <c r="E1845" t="str">
        <f>VLOOKUP(B1845,'PROCV GERENTES BD'!A:B,2,0)</f>
        <v>POENATELA</v>
      </c>
      <c r="F1845" s="4" t="str">
        <f t="shared" si="144"/>
        <v>2025-04-1</v>
      </c>
      <c r="G1845" t="str">
        <f t="shared" si="140"/>
        <v>POENATELA</v>
      </c>
      <c r="H1845" t="str">
        <f t="shared" si="141"/>
        <v>CONQUISTA INDUSTRIA DE MOVEIS S/A</v>
      </c>
      <c r="I1845">
        <f t="shared" si="142"/>
        <v>1</v>
      </c>
      <c r="J1845">
        <f t="shared" si="143"/>
        <v>0</v>
      </c>
    </row>
    <row r="1846" spans="1:10" x14ac:dyDescent="0.25">
      <c r="A1846" t="s">
        <v>483</v>
      </c>
      <c r="B1846" t="s">
        <v>239</v>
      </c>
      <c r="C1846" t="s">
        <v>72</v>
      </c>
      <c r="D1846" s="3">
        <v>45756</v>
      </c>
      <c r="E1846" t="str">
        <f>VLOOKUP(B1846,'PROCV GERENTES BD'!A:B,2,0)</f>
        <v>POENATELA</v>
      </c>
      <c r="F1846" s="4" t="str">
        <f t="shared" si="144"/>
        <v>2025-04-1</v>
      </c>
      <c r="G1846" t="str">
        <f t="shared" si="140"/>
        <v>POENATELA</v>
      </c>
      <c r="H1846" t="str">
        <f t="shared" si="141"/>
        <v>JUATUBA MOVEIS E EMBALAGENS LTDA</v>
      </c>
      <c r="I1846">
        <f t="shared" si="142"/>
        <v>1</v>
      </c>
      <c r="J1846">
        <f t="shared" si="143"/>
        <v>0</v>
      </c>
    </row>
    <row r="1847" spans="1:10" x14ac:dyDescent="0.25">
      <c r="A1847" t="s">
        <v>428</v>
      </c>
      <c r="B1847" t="s">
        <v>177</v>
      </c>
      <c r="C1847" t="s">
        <v>56</v>
      </c>
      <c r="D1847" s="3">
        <v>45756</v>
      </c>
      <c r="E1847" t="str">
        <f>VLOOKUP(B1847,'PROCV GERENTES BD'!A:B,2,0)</f>
        <v>POENATELA</v>
      </c>
      <c r="F1847" s="4" t="str">
        <f t="shared" si="144"/>
        <v>2025-04-1</v>
      </c>
      <c r="G1847" t="str">
        <f t="shared" si="140"/>
        <v>POENATELA</v>
      </c>
      <c r="H1847" t="str">
        <f t="shared" si="141"/>
        <v>SAVIXX COMERCIO INTERNACIONAL S/A</v>
      </c>
      <c r="I1847">
        <f t="shared" si="142"/>
        <v>0</v>
      </c>
      <c r="J1847">
        <f t="shared" si="143"/>
        <v>1</v>
      </c>
    </row>
    <row r="1848" spans="1:10" x14ac:dyDescent="0.25">
      <c r="A1848" t="s">
        <v>490</v>
      </c>
      <c r="B1848" t="s">
        <v>246</v>
      </c>
      <c r="C1848" t="s">
        <v>72</v>
      </c>
      <c r="D1848" s="3">
        <v>45756</v>
      </c>
      <c r="E1848" t="str">
        <f>VLOOKUP(B1848,'PROCV GERENTES BD'!A:B,2,0)</f>
        <v>RAFAEL PARISE</v>
      </c>
      <c r="F1848" s="4" t="str">
        <f t="shared" si="144"/>
        <v>2025-04-1</v>
      </c>
      <c r="G1848" t="str">
        <f t="shared" si="140"/>
        <v>RAFAEL PARISE</v>
      </c>
      <c r="H1848" t="str">
        <f t="shared" si="141"/>
        <v>RENOVAR AGRICOLA LTDA</v>
      </c>
      <c r="I1848">
        <f t="shared" si="142"/>
        <v>1</v>
      </c>
      <c r="J1848">
        <f t="shared" si="143"/>
        <v>0</v>
      </c>
    </row>
    <row r="1849" spans="1:10" x14ac:dyDescent="0.25">
      <c r="A1849" t="s">
        <v>395</v>
      </c>
      <c r="B1849" t="s">
        <v>141</v>
      </c>
      <c r="C1849" t="s">
        <v>72</v>
      </c>
      <c r="D1849" s="3">
        <v>45756</v>
      </c>
      <c r="E1849" t="str">
        <f>VLOOKUP(B1849,'PROCV GERENTES BD'!A:B,2,0)</f>
        <v>RAFAEL PARISE</v>
      </c>
      <c r="F1849" s="4" t="str">
        <f t="shared" si="144"/>
        <v>2025-04-1</v>
      </c>
      <c r="G1849" t="str">
        <f t="shared" si="140"/>
        <v>RAFAEL PARISE</v>
      </c>
      <c r="H1849" t="str">
        <f t="shared" si="141"/>
        <v>MAIS DISTRIBUIDORA LTDA</v>
      </c>
      <c r="I1849">
        <f t="shared" si="142"/>
        <v>1</v>
      </c>
      <c r="J1849">
        <f t="shared" si="143"/>
        <v>0</v>
      </c>
    </row>
    <row r="1850" spans="1:10" x14ac:dyDescent="0.25">
      <c r="A1850" t="s">
        <v>73</v>
      </c>
      <c r="B1850" t="s">
        <v>74</v>
      </c>
      <c r="C1850" t="s">
        <v>56</v>
      </c>
      <c r="D1850" s="3">
        <v>45756</v>
      </c>
      <c r="E1850" t="s">
        <v>25</v>
      </c>
      <c r="F1850" s="4" t="str">
        <f t="shared" si="144"/>
        <v>2025-04-1</v>
      </c>
      <c r="G1850" t="str">
        <f t="shared" si="140"/>
        <v xml:space="preserve">ROGERIO </v>
      </c>
      <c r="H1850" t="str">
        <f t="shared" si="141"/>
        <v>DIOTTONI INDUSTRIA E COMERCIO DE ALIMENTOS LTDA ME</v>
      </c>
      <c r="I1850">
        <f t="shared" si="142"/>
        <v>0</v>
      </c>
      <c r="J1850">
        <f t="shared" si="143"/>
        <v>1</v>
      </c>
    </row>
    <row r="1851" spans="1:10" x14ac:dyDescent="0.25">
      <c r="A1851" t="s">
        <v>333</v>
      </c>
      <c r="B1851" t="s">
        <v>129</v>
      </c>
      <c r="C1851" t="s">
        <v>56</v>
      </c>
      <c r="D1851" s="3">
        <v>45756</v>
      </c>
      <c r="E1851" t="s">
        <v>25</v>
      </c>
      <c r="F1851" s="4" t="str">
        <f t="shared" si="144"/>
        <v>2025-04-1</v>
      </c>
      <c r="G1851" t="str">
        <f t="shared" si="140"/>
        <v xml:space="preserve">ROGERIO </v>
      </c>
      <c r="H1851" t="str">
        <f t="shared" si="141"/>
        <v>BIBE PRODUTOS INFANTIS LTDA</v>
      </c>
      <c r="I1851">
        <f t="shared" si="142"/>
        <v>0</v>
      </c>
      <c r="J1851">
        <f t="shared" si="143"/>
        <v>1</v>
      </c>
    </row>
    <row r="1852" spans="1:10" x14ac:dyDescent="0.25">
      <c r="A1852" t="s">
        <v>62</v>
      </c>
      <c r="B1852" t="s">
        <v>63</v>
      </c>
      <c r="C1852" t="s">
        <v>56</v>
      </c>
      <c r="D1852" s="3">
        <v>45756</v>
      </c>
      <c r="E1852" t="str">
        <f>VLOOKUP(B1852,'PROCV GERENTES BD'!A:B,2,0)</f>
        <v xml:space="preserve">ROGERIO </v>
      </c>
      <c r="F1852" s="4" t="str">
        <f t="shared" si="144"/>
        <v>2025-04-1</v>
      </c>
      <c r="G1852" t="str">
        <f t="shared" si="140"/>
        <v xml:space="preserve">ROGERIO </v>
      </c>
      <c r="H1852" t="str">
        <f t="shared" si="141"/>
        <v>RODOVIEIRA TRANSPORTE LTDA</v>
      </c>
      <c r="I1852">
        <f t="shared" si="142"/>
        <v>0</v>
      </c>
      <c r="J1852">
        <f t="shared" si="143"/>
        <v>1</v>
      </c>
    </row>
    <row r="1853" spans="1:10" x14ac:dyDescent="0.25">
      <c r="A1853" t="s">
        <v>363</v>
      </c>
      <c r="B1853" t="s">
        <v>106</v>
      </c>
      <c r="C1853" t="s">
        <v>72</v>
      </c>
      <c r="D1853" s="3">
        <v>45757</v>
      </c>
      <c r="E1853" t="str">
        <f>VLOOKUP(B1853,'PROCV GERENTES BD'!A:B,2,0)</f>
        <v>ADMINISTRAÇÃO</v>
      </c>
      <c r="F1853" s="4" t="str">
        <f t="shared" si="144"/>
        <v>2025-04-1</v>
      </c>
      <c r="G1853" t="str">
        <f t="shared" si="140"/>
        <v>ADMINISTRAÇÃO</v>
      </c>
      <c r="H1853" t="str">
        <f t="shared" si="141"/>
        <v>DECISION DESENVOLVIMENTO DE SISTEMAS LTDA</v>
      </c>
      <c r="I1853">
        <f t="shared" si="142"/>
        <v>1</v>
      </c>
      <c r="J1853">
        <f t="shared" si="143"/>
        <v>0</v>
      </c>
    </row>
    <row r="1854" spans="1:10" x14ac:dyDescent="0.25">
      <c r="A1854" t="s">
        <v>60</v>
      </c>
      <c r="B1854" t="s">
        <v>61</v>
      </c>
      <c r="C1854" t="s">
        <v>56</v>
      </c>
      <c r="D1854" s="3">
        <v>45757</v>
      </c>
      <c r="E1854" t="str">
        <f>VLOOKUP(B1854,'PROCV GERENTES BD'!A:B,2,0)</f>
        <v>CELIO PIMENTA</v>
      </c>
      <c r="F1854" s="4" t="str">
        <f t="shared" si="144"/>
        <v>2025-04-1</v>
      </c>
      <c r="G1854" t="str">
        <f t="shared" si="140"/>
        <v>CELIO PIMENTA</v>
      </c>
      <c r="H1854" t="str">
        <f t="shared" si="141"/>
        <v>WJ CALDEIRARIA INDUSTRIA E COMERCIO LTDA ME</v>
      </c>
      <c r="I1854">
        <f t="shared" si="142"/>
        <v>0</v>
      </c>
      <c r="J1854">
        <f t="shared" si="143"/>
        <v>1</v>
      </c>
    </row>
    <row r="1855" spans="1:10" x14ac:dyDescent="0.25">
      <c r="A1855" t="s">
        <v>382</v>
      </c>
      <c r="B1855" t="s">
        <v>125</v>
      </c>
      <c r="C1855" t="s">
        <v>72</v>
      </c>
      <c r="D1855" s="3">
        <v>45757</v>
      </c>
      <c r="E1855" t="str">
        <f>VLOOKUP(B1855,'PROCV GERENTES BD'!A:B,2,0)</f>
        <v>CELIO PIMENTA</v>
      </c>
      <c r="F1855" s="4" t="str">
        <f t="shared" si="144"/>
        <v>2025-04-1</v>
      </c>
      <c r="G1855" t="str">
        <f t="shared" si="140"/>
        <v>CELIO PIMENTA</v>
      </c>
      <c r="H1855" t="str">
        <f t="shared" si="141"/>
        <v>MINAS ALIMENTOS E FRUTAS SECAS LTDA EPP</v>
      </c>
      <c r="I1855">
        <f t="shared" si="142"/>
        <v>1</v>
      </c>
      <c r="J1855">
        <f t="shared" si="143"/>
        <v>0</v>
      </c>
    </row>
    <row r="1856" spans="1:10" x14ac:dyDescent="0.25">
      <c r="A1856" t="s">
        <v>480</v>
      </c>
      <c r="B1856" t="s">
        <v>236</v>
      </c>
      <c r="C1856" t="s">
        <v>72</v>
      </c>
      <c r="D1856" s="3">
        <v>45757</v>
      </c>
      <c r="E1856" t="str">
        <f>VLOOKUP(B1856,'PROCV GERENTES BD'!A:B,2,0)</f>
        <v>FITZ</v>
      </c>
      <c r="F1856" s="4" t="str">
        <f t="shared" si="144"/>
        <v>2025-04-1</v>
      </c>
      <c r="G1856" t="str">
        <f t="shared" si="140"/>
        <v>FITZ</v>
      </c>
      <c r="H1856" t="str">
        <f t="shared" si="141"/>
        <v>ELO TELECOMUNICACOES E CONSTRUCOES S/A</v>
      </c>
      <c r="I1856">
        <f t="shared" si="142"/>
        <v>1</v>
      </c>
      <c r="J1856">
        <f t="shared" si="143"/>
        <v>0</v>
      </c>
    </row>
    <row r="1857" spans="1:10" x14ac:dyDescent="0.25">
      <c r="A1857" t="s">
        <v>68</v>
      </c>
      <c r="B1857" t="s">
        <v>69</v>
      </c>
      <c r="C1857" t="s">
        <v>72</v>
      </c>
      <c r="D1857" s="3">
        <v>45757</v>
      </c>
      <c r="E1857" t="str">
        <f>VLOOKUP(B1857,'PROCV GERENTES BD'!A:B,2,0)</f>
        <v>FITZ</v>
      </c>
      <c r="F1857" s="4" t="str">
        <f t="shared" si="144"/>
        <v>2025-04-1</v>
      </c>
      <c r="G1857" t="str">
        <f t="shared" si="140"/>
        <v>FITZ</v>
      </c>
      <c r="H1857" t="str">
        <f t="shared" si="141"/>
        <v>MAPP COM IMPORTACAO EXPORTACAO IND PRODUTOS ALIMEN</v>
      </c>
      <c r="I1857">
        <f t="shared" si="142"/>
        <v>1</v>
      </c>
      <c r="J1857">
        <f t="shared" si="143"/>
        <v>0</v>
      </c>
    </row>
    <row r="1858" spans="1:10" x14ac:dyDescent="0.25">
      <c r="A1858" t="s">
        <v>377</v>
      </c>
      <c r="B1858" t="s">
        <v>120</v>
      </c>
      <c r="C1858" t="s">
        <v>56</v>
      </c>
      <c r="D1858" s="3">
        <v>45757</v>
      </c>
      <c r="E1858" t="str">
        <f>VLOOKUP(B1858,'PROCV GERENTES BD'!A:B,2,0)</f>
        <v xml:space="preserve">MARCUS VINICIUS </v>
      </c>
      <c r="F1858" s="4" t="str">
        <f t="shared" si="144"/>
        <v>2025-04-1</v>
      </c>
      <c r="G1858" t="str">
        <f t="shared" ref="G1858:G1921" si="145">E1858</f>
        <v xml:space="preserve">MARCUS VINICIUS </v>
      </c>
      <c r="H1858" t="str">
        <f t="shared" ref="H1858:H1921" si="146">B1858</f>
        <v>ISOBASE POLIESTIRENO LTDA EPP</v>
      </c>
      <c r="I1858">
        <f t="shared" ref="I1858:I1921" si="147">IF(C1858="EXCLUSAO  ANOT.INADIMPLENCIA",1,0)</f>
        <v>0</v>
      </c>
      <c r="J1858">
        <f t="shared" ref="J1858:J1921" si="148">IF(C1858="INCLUSAO  ANOT.INADIMPLENCIA",1,0)</f>
        <v>1</v>
      </c>
    </row>
    <row r="1859" spans="1:10" x14ac:dyDescent="0.25">
      <c r="A1859" t="s">
        <v>402</v>
      </c>
      <c r="B1859" t="s">
        <v>150</v>
      </c>
      <c r="C1859" t="s">
        <v>72</v>
      </c>
      <c r="D1859" s="3">
        <v>45757</v>
      </c>
      <c r="E1859" t="str">
        <f>VLOOKUP(B1859,'PROCV GERENTES BD'!A:B,2,0)</f>
        <v>NOELI SALETE</v>
      </c>
      <c r="F1859" s="4" t="str">
        <f t="shared" ref="F1859:F1922" si="149">YEAR(D1859)&amp;"-"&amp;TEXT(MONTH(D1859),"00")&amp;"-"&amp;IF(DAY(D1859)&lt;=15,"1",IF(DAY(D1859)&gt;15,"2",""))</f>
        <v>2025-04-1</v>
      </c>
      <c r="G1859" t="str">
        <f t="shared" si="145"/>
        <v>NOELI SALETE</v>
      </c>
      <c r="H1859" t="str">
        <f t="shared" si="146"/>
        <v>ALBERTO H DA SILVA ME</v>
      </c>
      <c r="I1859">
        <f t="shared" si="147"/>
        <v>1</v>
      </c>
      <c r="J1859">
        <f t="shared" si="148"/>
        <v>0</v>
      </c>
    </row>
    <row r="1860" spans="1:10" x14ac:dyDescent="0.25">
      <c r="A1860" t="s">
        <v>446</v>
      </c>
      <c r="B1860" t="s">
        <v>196</v>
      </c>
      <c r="C1860" t="s">
        <v>72</v>
      </c>
      <c r="D1860" s="3">
        <v>45757</v>
      </c>
      <c r="E1860" t="str">
        <f>VLOOKUP(B1860,'PROCV GERENTES BD'!A:B,2,0)</f>
        <v>NOELI SALETE</v>
      </c>
      <c r="F1860" s="4" t="str">
        <f t="shared" si="149"/>
        <v>2025-04-1</v>
      </c>
      <c r="G1860" t="str">
        <f t="shared" si="145"/>
        <v>NOELI SALETE</v>
      </c>
      <c r="H1860" t="str">
        <f t="shared" si="146"/>
        <v>AGRO INDUSTRIAL LAZZERI LTDA</v>
      </c>
      <c r="I1860">
        <f t="shared" si="147"/>
        <v>1</v>
      </c>
      <c r="J1860">
        <f t="shared" si="148"/>
        <v>0</v>
      </c>
    </row>
    <row r="1861" spans="1:10" x14ac:dyDescent="0.25">
      <c r="A1861" t="s">
        <v>397</v>
      </c>
      <c r="B1861" t="s">
        <v>143</v>
      </c>
      <c r="C1861" t="s">
        <v>72</v>
      </c>
      <c r="D1861" s="3">
        <v>45757</v>
      </c>
      <c r="E1861" t="str">
        <f>VLOOKUP(B1861,'PROCV GERENTES BD'!A:B,2,0)</f>
        <v>POENATELA</v>
      </c>
      <c r="F1861" s="4" t="str">
        <f t="shared" si="149"/>
        <v>2025-04-1</v>
      </c>
      <c r="G1861" t="str">
        <f t="shared" si="145"/>
        <v>POENATELA</v>
      </c>
      <c r="H1861" t="str">
        <f t="shared" si="146"/>
        <v>CONQUISTA INDUSTRIA DE MOVEIS S/A</v>
      </c>
      <c r="I1861">
        <f t="shared" si="147"/>
        <v>1</v>
      </c>
      <c r="J1861">
        <f t="shared" si="148"/>
        <v>0</v>
      </c>
    </row>
    <row r="1862" spans="1:10" x14ac:dyDescent="0.25">
      <c r="A1862" t="s">
        <v>483</v>
      </c>
      <c r="B1862" t="s">
        <v>239</v>
      </c>
      <c r="C1862" t="s">
        <v>72</v>
      </c>
      <c r="D1862" s="3">
        <v>45757</v>
      </c>
      <c r="E1862" t="str">
        <f>VLOOKUP(B1862,'PROCV GERENTES BD'!A:B,2,0)</f>
        <v>POENATELA</v>
      </c>
      <c r="F1862" s="4" t="str">
        <f t="shared" si="149"/>
        <v>2025-04-1</v>
      </c>
      <c r="G1862" t="str">
        <f t="shared" si="145"/>
        <v>POENATELA</v>
      </c>
      <c r="H1862" t="str">
        <f t="shared" si="146"/>
        <v>JUATUBA MOVEIS E EMBALAGENS LTDA</v>
      </c>
      <c r="I1862">
        <f t="shared" si="147"/>
        <v>1</v>
      </c>
      <c r="J1862">
        <f t="shared" si="148"/>
        <v>0</v>
      </c>
    </row>
    <row r="1863" spans="1:10" x14ac:dyDescent="0.25">
      <c r="A1863" t="s">
        <v>428</v>
      </c>
      <c r="B1863" t="s">
        <v>177</v>
      </c>
      <c r="C1863" t="s">
        <v>56</v>
      </c>
      <c r="D1863" s="3">
        <v>45757</v>
      </c>
      <c r="E1863" t="str">
        <f>VLOOKUP(B1863,'PROCV GERENTES BD'!A:B,2,0)</f>
        <v>POENATELA</v>
      </c>
      <c r="F1863" s="4" t="str">
        <f t="shared" si="149"/>
        <v>2025-04-1</v>
      </c>
      <c r="G1863" t="str">
        <f t="shared" si="145"/>
        <v>POENATELA</v>
      </c>
      <c r="H1863" t="str">
        <f t="shared" si="146"/>
        <v>SAVIXX COMERCIO INTERNACIONAL S/A</v>
      </c>
      <c r="I1863">
        <f t="shared" si="147"/>
        <v>0</v>
      </c>
      <c r="J1863">
        <f t="shared" si="148"/>
        <v>1</v>
      </c>
    </row>
    <row r="1864" spans="1:10" x14ac:dyDescent="0.25">
      <c r="A1864" t="s">
        <v>490</v>
      </c>
      <c r="B1864" t="s">
        <v>246</v>
      </c>
      <c r="C1864" t="s">
        <v>72</v>
      </c>
      <c r="D1864" s="3">
        <v>45757</v>
      </c>
      <c r="E1864" t="str">
        <f>VLOOKUP(B1864,'PROCV GERENTES BD'!A:B,2,0)</f>
        <v>RAFAEL PARISE</v>
      </c>
      <c r="F1864" s="4" t="str">
        <f t="shared" si="149"/>
        <v>2025-04-1</v>
      </c>
      <c r="G1864" t="str">
        <f t="shared" si="145"/>
        <v>RAFAEL PARISE</v>
      </c>
      <c r="H1864" t="str">
        <f t="shared" si="146"/>
        <v>RENOVAR AGRICOLA LTDA</v>
      </c>
      <c r="I1864">
        <f t="shared" si="147"/>
        <v>1</v>
      </c>
      <c r="J1864">
        <f t="shared" si="148"/>
        <v>0</v>
      </c>
    </row>
    <row r="1865" spans="1:10" x14ac:dyDescent="0.25">
      <c r="A1865" t="s">
        <v>395</v>
      </c>
      <c r="B1865" t="s">
        <v>141</v>
      </c>
      <c r="C1865" t="s">
        <v>72</v>
      </c>
      <c r="D1865" s="3">
        <v>45757</v>
      </c>
      <c r="E1865" t="str">
        <f>VLOOKUP(B1865,'PROCV GERENTES BD'!A:B,2,0)</f>
        <v>RAFAEL PARISE</v>
      </c>
      <c r="F1865" s="4" t="str">
        <f t="shared" si="149"/>
        <v>2025-04-1</v>
      </c>
      <c r="G1865" t="str">
        <f t="shared" si="145"/>
        <v>RAFAEL PARISE</v>
      </c>
      <c r="H1865" t="str">
        <f t="shared" si="146"/>
        <v>MAIS DISTRIBUIDORA LTDA</v>
      </c>
      <c r="I1865">
        <f t="shared" si="147"/>
        <v>1</v>
      </c>
      <c r="J1865">
        <f t="shared" si="148"/>
        <v>0</v>
      </c>
    </row>
    <row r="1866" spans="1:10" x14ac:dyDescent="0.25">
      <c r="A1866" t="s">
        <v>73</v>
      </c>
      <c r="B1866" t="s">
        <v>74</v>
      </c>
      <c r="C1866" t="s">
        <v>56</v>
      </c>
      <c r="D1866" s="3">
        <v>45757</v>
      </c>
      <c r="E1866" t="s">
        <v>25</v>
      </c>
      <c r="F1866" s="4" t="str">
        <f t="shared" si="149"/>
        <v>2025-04-1</v>
      </c>
      <c r="G1866" t="str">
        <f t="shared" si="145"/>
        <v xml:space="preserve">ROGERIO </v>
      </c>
      <c r="H1866" t="str">
        <f t="shared" si="146"/>
        <v>DIOTTONI INDUSTRIA E COMERCIO DE ALIMENTOS LTDA ME</v>
      </c>
      <c r="I1866">
        <f t="shared" si="147"/>
        <v>0</v>
      </c>
      <c r="J1866">
        <f t="shared" si="148"/>
        <v>1</v>
      </c>
    </row>
    <row r="1867" spans="1:10" x14ac:dyDescent="0.25">
      <c r="A1867" t="s">
        <v>333</v>
      </c>
      <c r="B1867" t="s">
        <v>129</v>
      </c>
      <c r="C1867" t="s">
        <v>56</v>
      </c>
      <c r="D1867" s="3">
        <v>45757</v>
      </c>
      <c r="E1867" t="s">
        <v>25</v>
      </c>
      <c r="F1867" s="4" t="str">
        <f t="shared" si="149"/>
        <v>2025-04-1</v>
      </c>
      <c r="G1867" t="str">
        <f t="shared" si="145"/>
        <v xml:space="preserve">ROGERIO </v>
      </c>
      <c r="H1867" t="str">
        <f t="shared" si="146"/>
        <v>BIBE PRODUTOS INFANTIS LTDA</v>
      </c>
      <c r="I1867">
        <f t="shared" si="147"/>
        <v>0</v>
      </c>
      <c r="J1867">
        <f t="shared" si="148"/>
        <v>1</v>
      </c>
    </row>
    <row r="1868" spans="1:10" x14ac:dyDescent="0.25">
      <c r="A1868" t="s">
        <v>62</v>
      </c>
      <c r="B1868" t="s">
        <v>63</v>
      </c>
      <c r="C1868" t="s">
        <v>56</v>
      </c>
      <c r="D1868" s="3">
        <v>45757</v>
      </c>
      <c r="E1868" t="str">
        <f>VLOOKUP(B1868,'PROCV GERENTES BD'!A:B,2,0)</f>
        <v xml:space="preserve">ROGERIO </v>
      </c>
      <c r="F1868" s="4" t="str">
        <f t="shared" si="149"/>
        <v>2025-04-1</v>
      </c>
      <c r="G1868" t="str">
        <f t="shared" si="145"/>
        <v xml:space="preserve">ROGERIO </v>
      </c>
      <c r="H1868" t="str">
        <f t="shared" si="146"/>
        <v>RODOVIEIRA TRANSPORTE LTDA</v>
      </c>
      <c r="I1868">
        <f t="shared" si="147"/>
        <v>0</v>
      </c>
      <c r="J1868">
        <f t="shared" si="148"/>
        <v>1</v>
      </c>
    </row>
    <row r="1869" spans="1:10" x14ac:dyDescent="0.25">
      <c r="A1869" t="s">
        <v>339</v>
      </c>
      <c r="B1869" t="s">
        <v>151</v>
      </c>
      <c r="C1869" t="s">
        <v>56</v>
      </c>
      <c r="D1869" s="3">
        <v>45758</v>
      </c>
      <c r="E1869" t="str">
        <f>VLOOKUP(B1869,'PROCV GERENTES BD'!A:B,2,0)</f>
        <v>ADMINISTRAÇÃO</v>
      </c>
      <c r="F1869" s="4" t="str">
        <f t="shared" si="149"/>
        <v>2025-04-1</v>
      </c>
      <c r="G1869" t="str">
        <f t="shared" si="145"/>
        <v>ADMINISTRAÇÃO</v>
      </c>
      <c r="H1869" t="str">
        <f t="shared" si="146"/>
        <v>BOM PASTOR PAPEIS LTDA EM RECUPERACAO JUDICIAL</v>
      </c>
      <c r="I1869">
        <f t="shared" si="147"/>
        <v>0</v>
      </c>
      <c r="J1869">
        <f t="shared" si="148"/>
        <v>1</v>
      </c>
    </row>
    <row r="1870" spans="1:10" x14ac:dyDescent="0.25">
      <c r="A1870" t="s">
        <v>326</v>
      </c>
      <c r="B1870" t="s">
        <v>86</v>
      </c>
      <c r="C1870" t="s">
        <v>72</v>
      </c>
      <c r="D1870" s="3">
        <v>45758</v>
      </c>
      <c r="E1870" t="str">
        <f>VLOOKUP(B1870,'PROCV GERENTES BD'!A:B,2,0)</f>
        <v>CELIO PIMENTA</v>
      </c>
      <c r="F1870" s="4" t="str">
        <f t="shared" si="149"/>
        <v>2025-04-1</v>
      </c>
      <c r="G1870" t="str">
        <f t="shared" si="145"/>
        <v>CELIO PIMENTA</v>
      </c>
      <c r="H1870" t="str">
        <f t="shared" si="146"/>
        <v>IMPORTEXTIL COMERCIO DE TECIDOS LTDA</v>
      </c>
      <c r="I1870">
        <f t="shared" si="147"/>
        <v>1</v>
      </c>
      <c r="J1870">
        <f t="shared" si="148"/>
        <v>0</v>
      </c>
    </row>
    <row r="1871" spans="1:10" x14ac:dyDescent="0.25">
      <c r="A1871" t="s">
        <v>366</v>
      </c>
      <c r="B1871" t="s">
        <v>111</v>
      </c>
      <c r="C1871" t="s">
        <v>72</v>
      </c>
      <c r="D1871" s="3">
        <v>45758</v>
      </c>
      <c r="E1871" t="str">
        <f>VLOOKUP(B1871,'PROCV GERENTES BD'!A:B,2,0)</f>
        <v>DIOGO AZEVEDO</v>
      </c>
      <c r="F1871" s="4" t="str">
        <f t="shared" si="149"/>
        <v>2025-04-1</v>
      </c>
      <c r="G1871" t="str">
        <f t="shared" si="145"/>
        <v>DIOGO AZEVEDO</v>
      </c>
      <c r="H1871" t="str">
        <f t="shared" si="146"/>
        <v>INDUSTRIA E CERVEJARIA ARTESANAL DE MINAS GERAIS L</v>
      </c>
      <c r="I1871">
        <f t="shared" si="147"/>
        <v>1</v>
      </c>
      <c r="J1871">
        <f t="shared" si="148"/>
        <v>0</v>
      </c>
    </row>
    <row r="1872" spans="1:10" x14ac:dyDescent="0.25">
      <c r="A1872" t="s">
        <v>475</v>
      </c>
      <c r="B1872" t="s">
        <v>231</v>
      </c>
      <c r="C1872" t="s">
        <v>56</v>
      </c>
      <c r="D1872" s="3">
        <v>45758</v>
      </c>
      <c r="E1872" t="str">
        <f>VLOOKUP(B1872,'PROCV GERENTES BD'!A:B,2,0)</f>
        <v>DIOGO AZEVEDO</v>
      </c>
      <c r="F1872" s="4" t="str">
        <f t="shared" si="149"/>
        <v>2025-04-1</v>
      </c>
      <c r="G1872" t="str">
        <f t="shared" si="145"/>
        <v>DIOGO AZEVEDO</v>
      </c>
      <c r="H1872" t="str">
        <f t="shared" si="146"/>
        <v>VGS COMERCIO DE EMBALAGENS DE MADEIRAS LTDA ME</v>
      </c>
      <c r="I1872">
        <f t="shared" si="147"/>
        <v>0</v>
      </c>
      <c r="J1872">
        <f t="shared" si="148"/>
        <v>1</v>
      </c>
    </row>
    <row r="1873" spans="1:10" x14ac:dyDescent="0.25">
      <c r="A1873" t="s">
        <v>480</v>
      </c>
      <c r="B1873" t="s">
        <v>236</v>
      </c>
      <c r="C1873" t="s">
        <v>56</v>
      </c>
      <c r="D1873" s="3">
        <v>45758</v>
      </c>
      <c r="E1873" t="str">
        <f>VLOOKUP(B1873,'PROCV GERENTES BD'!A:B,2,0)</f>
        <v>FITZ</v>
      </c>
      <c r="F1873" s="4" t="str">
        <f t="shared" si="149"/>
        <v>2025-04-1</v>
      </c>
      <c r="G1873" t="str">
        <f t="shared" si="145"/>
        <v>FITZ</v>
      </c>
      <c r="H1873" t="str">
        <f t="shared" si="146"/>
        <v>ELO TELECOMUNICACOES E CONSTRUCOES S/A</v>
      </c>
      <c r="I1873">
        <f t="shared" si="147"/>
        <v>0</v>
      </c>
      <c r="J1873">
        <f t="shared" si="148"/>
        <v>1</v>
      </c>
    </row>
    <row r="1874" spans="1:10" x14ac:dyDescent="0.25">
      <c r="A1874" t="s">
        <v>493</v>
      </c>
      <c r="B1874" t="s">
        <v>249</v>
      </c>
      <c r="C1874" t="s">
        <v>72</v>
      </c>
      <c r="D1874" s="3">
        <v>45758</v>
      </c>
      <c r="E1874" t="str">
        <f>VLOOKUP(B1874,'PROCV GERENTES BD'!A:B,2,0)</f>
        <v>FITZ</v>
      </c>
      <c r="F1874" s="4" t="str">
        <f t="shared" si="149"/>
        <v>2025-04-1</v>
      </c>
      <c r="G1874" t="str">
        <f t="shared" si="145"/>
        <v>FITZ</v>
      </c>
      <c r="H1874" t="str">
        <f t="shared" si="146"/>
        <v>GOIARTE SOLUCOES CONSTRUTIVAS EM CONCRETO LTDA</v>
      </c>
      <c r="I1874">
        <f t="shared" si="147"/>
        <v>1</v>
      </c>
      <c r="J1874">
        <f t="shared" si="148"/>
        <v>0</v>
      </c>
    </row>
    <row r="1875" spans="1:10" x14ac:dyDescent="0.25">
      <c r="A1875" t="s">
        <v>410</v>
      </c>
      <c r="B1875" t="s">
        <v>159</v>
      </c>
      <c r="C1875" t="s">
        <v>72</v>
      </c>
      <c r="D1875" s="3">
        <v>45758</v>
      </c>
      <c r="E1875" t="str">
        <f>VLOOKUP(B1875,'PROCV GERENTES BD'!A:B,2,0)</f>
        <v>FITZ</v>
      </c>
      <c r="F1875" s="4" t="str">
        <f t="shared" si="149"/>
        <v>2025-04-1</v>
      </c>
      <c r="G1875" t="str">
        <f t="shared" si="145"/>
        <v>FITZ</v>
      </c>
      <c r="H1875" t="str">
        <f t="shared" si="146"/>
        <v>MOINHO DE TRIGO JM LTDA</v>
      </c>
      <c r="I1875">
        <f t="shared" si="147"/>
        <v>1</v>
      </c>
      <c r="J1875">
        <f t="shared" si="148"/>
        <v>0</v>
      </c>
    </row>
    <row r="1876" spans="1:10" x14ac:dyDescent="0.25">
      <c r="A1876" t="s">
        <v>331</v>
      </c>
      <c r="B1876" t="s">
        <v>126</v>
      </c>
      <c r="C1876" t="s">
        <v>72</v>
      </c>
      <c r="D1876" s="3">
        <v>45758</v>
      </c>
      <c r="E1876" t="str">
        <f>VLOOKUP(B1876,'PROCV GERENTES BD'!A:B,2,0)</f>
        <v>FITZ</v>
      </c>
      <c r="F1876" s="4" t="str">
        <f t="shared" si="149"/>
        <v>2025-04-1</v>
      </c>
      <c r="G1876" t="str">
        <f t="shared" si="145"/>
        <v>FITZ</v>
      </c>
      <c r="H1876" t="str">
        <f t="shared" si="146"/>
        <v>TRANSHENRY TRANSPORTES LTDA</v>
      </c>
      <c r="I1876">
        <f t="shared" si="147"/>
        <v>1</v>
      </c>
      <c r="J1876">
        <f t="shared" si="148"/>
        <v>0</v>
      </c>
    </row>
    <row r="1877" spans="1:10" x14ac:dyDescent="0.25">
      <c r="A1877" t="s">
        <v>420</v>
      </c>
      <c r="B1877" t="s">
        <v>169</v>
      </c>
      <c r="C1877" t="s">
        <v>56</v>
      </c>
      <c r="D1877" s="3">
        <v>45758</v>
      </c>
      <c r="E1877" t="str">
        <f>VLOOKUP(B1877,'PROCV GERENTES BD'!A:B,2,0)</f>
        <v>FITZ</v>
      </c>
      <c r="F1877" s="4" t="str">
        <f t="shared" si="149"/>
        <v>2025-04-1</v>
      </c>
      <c r="G1877" t="str">
        <f t="shared" si="145"/>
        <v>FITZ</v>
      </c>
      <c r="H1877" t="str">
        <f t="shared" si="146"/>
        <v>MORIA PRESTACAO DE SERVICOS LTDA ME</v>
      </c>
      <c r="I1877">
        <f t="shared" si="147"/>
        <v>0</v>
      </c>
      <c r="J1877">
        <f t="shared" si="148"/>
        <v>1</v>
      </c>
    </row>
    <row r="1878" spans="1:10" x14ac:dyDescent="0.25">
      <c r="A1878" t="s">
        <v>68</v>
      </c>
      <c r="B1878" t="s">
        <v>69</v>
      </c>
      <c r="C1878" t="s">
        <v>56</v>
      </c>
      <c r="D1878" s="3">
        <v>45758</v>
      </c>
      <c r="E1878" t="str">
        <f>VLOOKUP(B1878,'PROCV GERENTES BD'!A:B,2,0)</f>
        <v>FITZ</v>
      </c>
      <c r="F1878" s="4" t="str">
        <f t="shared" si="149"/>
        <v>2025-04-1</v>
      </c>
      <c r="G1878" t="str">
        <f t="shared" si="145"/>
        <v>FITZ</v>
      </c>
      <c r="H1878" t="str">
        <f t="shared" si="146"/>
        <v>MAPP COM IMPORTACAO EXPORTACAO IND PRODUTOS ALIMEN</v>
      </c>
      <c r="I1878">
        <f t="shared" si="147"/>
        <v>0</v>
      </c>
      <c r="J1878">
        <f t="shared" si="148"/>
        <v>1</v>
      </c>
    </row>
    <row r="1879" spans="1:10" x14ac:dyDescent="0.25">
      <c r="A1879" t="s">
        <v>78</v>
      </c>
      <c r="B1879" t="s">
        <v>79</v>
      </c>
      <c r="C1879" t="s">
        <v>56</v>
      </c>
      <c r="D1879" s="3">
        <v>45758</v>
      </c>
      <c r="E1879" t="str">
        <f>VLOOKUP(B1879,'PROCV GERENTES BD'!A:B,2,0)</f>
        <v>NOELI SALETE</v>
      </c>
      <c r="F1879" s="4" t="str">
        <f t="shared" si="149"/>
        <v>2025-04-1</v>
      </c>
      <c r="G1879" t="str">
        <f t="shared" si="145"/>
        <v>NOELI SALETE</v>
      </c>
      <c r="H1879" t="str">
        <f t="shared" si="146"/>
        <v>SMARTCENTER SOLUCOES INTELIGENTES LTDA ME</v>
      </c>
      <c r="I1879">
        <f t="shared" si="147"/>
        <v>0</v>
      </c>
      <c r="J1879">
        <f t="shared" si="148"/>
        <v>1</v>
      </c>
    </row>
    <row r="1880" spans="1:10" x14ac:dyDescent="0.25">
      <c r="A1880" t="s">
        <v>494</v>
      </c>
      <c r="B1880" t="s">
        <v>250</v>
      </c>
      <c r="C1880" t="s">
        <v>56</v>
      </c>
      <c r="D1880" s="3">
        <v>45758</v>
      </c>
      <c r="E1880" t="str">
        <f>VLOOKUP(B1880,'PROCV GERENTES BD'!A:B,2,0)</f>
        <v>NOELI SALETE</v>
      </c>
      <c r="F1880" s="4" t="str">
        <f t="shared" si="149"/>
        <v>2025-04-1</v>
      </c>
      <c r="G1880" t="str">
        <f t="shared" si="145"/>
        <v>NOELI SALETE</v>
      </c>
      <c r="H1880" t="str">
        <f t="shared" si="146"/>
        <v>SMARTCENTERGROUP COMERCIO DE EQUIPAMENTOS DE INFOR</v>
      </c>
      <c r="I1880">
        <f t="shared" si="147"/>
        <v>0</v>
      </c>
      <c r="J1880">
        <f t="shared" si="148"/>
        <v>1</v>
      </c>
    </row>
    <row r="1881" spans="1:10" x14ac:dyDescent="0.25">
      <c r="A1881" t="s">
        <v>446</v>
      </c>
      <c r="B1881" t="s">
        <v>196</v>
      </c>
      <c r="C1881" t="s">
        <v>56</v>
      </c>
      <c r="D1881" s="3">
        <v>45758</v>
      </c>
      <c r="E1881" t="str">
        <f>VLOOKUP(B1881,'PROCV GERENTES BD'!A:B,2,0)</f>
        <v>NOELI SALETE</v>
      </c>
      <c r="F1881" s="4" t="str">
        <f t="shared" si="149"/>
        <v>2025-04-1</v>
      </c>
      <c r="G1881" t="str">
        <f t="shared" si="145"/>
        <v>NOELI SALETE</v>
      </c>
      <c r="H1881" t="str">
        <f t="shared" si="146"/>
        <v>AGRO INDUSTRIAL LAZZERI LTDA</v>
      </c>
      <c r="I1881">
        <f t="shared" si="147"/>
        <v>0</v>
      </c>
      <c r="J1881">
        <f t="shared" si="148"/>
        <v>1</v>
      </c>
    </row>
    <row r="1882" spans="1:10" x14ac:dyDescent="0.25">
      <c r="A1882" t="s">
        <v>428</v>
      </c>
      <c r="B1882" t="s">
        <v>177</v>
      </c>
      <c r="C1882" t="s">
        <v>56</v>
      </c>
      <c r="D1882" s="3">
        <v>45758</v>
      </c>
      <c r="E1882" t="str">
        <f>VLOOKUP(B1882,'PROCV GERENTES BD'!A:B,2,0)</f>
        <v>POENATELA</v>
      </c>
      <c r="F1882" s="4" t="str">
        <f t="shared" si="149"/>
        <v>2025-04-1</v>
      </c>
      <c r="G1882" t="str">
        <f t="shared" si="145"/>
        <v>POENATELA</v>
      </c>
      <c r="H1882" t="str">
        <f t="shared" si="146"/>
        <v>SAVIXX COMERCIO INTERNACIONAL S/A</v>
      </c>
      <c r="I1882">
        <f t="shared" si="147"/>
        <v>0</v>
      </c>
      <c r="J1882">
        <f t="shared" si="148"/>
        <v>1</v>
      </c>
    </row>
    <row r="1883" spans="1:10" x14ac:dyDescent="0.25">
      <c r="A1883" t="s">
        <v>378</v>
      </c>
      <c r="B1883" t="s">
        <v>121</v>
      </c>
      <c r="C1883" t="s">
        <v>56</v>
      </c>
      <c r="D1883" s="3">
        <v>45758</v>
      </c>
      <c r="E1883" t="str">
        <f>VLOOKUP(B1883,'PROCV GERENTES BD'!A:B,2,0)</f>
        <v>POENATELA</v>
      </c>
      <c r="F1883" s="4" t="str">
        <f t="shared" si="149"/>
        <v>2025-04-1</v>
      </c>
      <c r="G1883" t="str">
        <f t="shared" si="145"/>
        <v>POENATELA</v>
      </c>
      <c r="H1883" t="str">
        <f t="shared" si="146"/>
        <v>COOPERATIVA TRANSP AUTON CARGAS PASSAG SERVICOS LO</v>
      </c>
      <c r="I1883">
        <f t="shared" si="147"/>
        <v>0</v>
      </c>
      <c r="J1883">
        <f t="shared" si="148"/>
        <v>1</v>
      </c>
    </row>
    <row r="1884" spans="1:10" x14ac:dyDescent="0.25">
      <c r="A1884" t="s">
        <v>333</v>
      </c>
      <c r="B1884" t="s">
        <v>129</v>
      </c>
      <c r="C1884" t="s">
        <v>56</v>
      </c>
      <c r="D1884" s="3">
        <v>45758</v>
      </c>
      <c r="E1884" t="s">
        <v>25</v>
      </c>
      <c r="F1884" s="4" t="str">
        <f t="shared" si="149"/>
        <v>2025-04-1</v>
      </c>
      <c r="G1884" t="str">
        <f t="shared" si="145"/>
        <v xml:space="preserve">ROGERIO </v>
      </c>
      <c r="H1884" t="str">
        <f t="shared" si="146"/>
        <v>BIBE PRODUTOS INFANTIS LTDA</v>
      </c>
      <c r="I1884">
        <f t="shared" si="147"/>
        <v>0</v>
      </c>
      <c r="J1884">
        <f t="shared" si="148"/>
        <v>1</v>
      </c>
    </row>
    <row r="1885" spans="1:10" x14ac:dyDescent="0.25">
      <c r="A1885" t="s">
        <v>504</v>
      </c>
      <c r="B1885" t="s">
        <v>262</v>
      </c>
      <c r="C1885" t="s">
        <v>56</v>
      </c>
      <c r="D1885" s="3">
        <v>45758</v>
      </c>
      <c r="E1885" t="str">
        <f>VLOOKUP(B1885,'PROCV GERENTES BD'!A:B,2,0)</f>
        <v>SEM GERENTE</v>
      </c>
      <c r="F1885" s="4" t="str">
        <f t="shared" si="149"/>
        <v>2025-04-1</v>
      </c>
      <c r="G1885" t="str">
        <f t="shared" si="145"/>
        <v>SEM GERENTE</v>
      </c>
      <c r="H1885" t="str">
        <f t="shared" si="146"/>
        <v>ACO COELHO INDUSTRIA E COMERCIO DE MOVEIS LTDA EPP</v>
      </c>
      <c r="I1885">
        <f t="shared" si="147"/>
        <v>0</v>
      </c>
      <c r="J1885">
        <f t="shared" si="148"/>
        <v>1</v>
      </c>
    </row>
    <row r="1886" spans="1:10" x14ac:dyDescent="0.25">
      <c r="A1886" t="s">
        <v>62</v>
      </c>
      <c r="B1886" t="s">
        <v>63</v>
      </c>
      <c r="C1886" t="s">
        <v>72</v>
      </c>
      <c r="D1886" s="3">
        <v>45758</v>
      </c>
      <c r="E1886" t="str">
        <f>VLOOKUP(B1886,'PROCV GERENTES BD'!A:B,2,0)</f>
        <v xml:space="preserve">ROGERIO </v>
      </c>
      <c r="F1886" s="4" t="str">
        <f t="shared" si="149"/>
        <v>2025-04-1</v>
      </c>
      <c r="G1886" t="str">
        <f t="shared" si="145"/>
        <v xml:space="preserve">ROGERIO </v>
      </c>
      <c r="H1886" t="str">
        <f t="shared" si="146"/>
        <v>RODOVIEIRA TRANSPORTE LTDA</v>
      </c>
      <c r="I1886">
        <f t="shared" si="147"/>
        <v>1</v>
      </c>
      <c r="J1886">
        <f t="shared" si="148"/>
        <v>0</v>
      </c>
    </row>
    <row r="1887" spans="1:10" x14ac:dyDescent="0.25">
      <c r="A1887" t="s">
        <v>321</v>
      </c>
      <c r="B1887" t="s">
        <v>253</v>
      </c>
      <c r="C1887" t="s">
        <v>56</v>
      </c>
      <c r="D1887" s="3">
        <v>45758</v>
      </c>
      <c r="E1887" t="str">
        <f>VLOOKUP(B1887,'PROCV GERENTES BD'!A:B,2,0)</f>
        <v>THAYNA/COMERCIAL</v>
      </c>
      <c r="F1887" s="4" t="str">
        <f t="shared" si="149"/>
        <v>2025-04-1</v>
      </c>
      <c r="G1887" t="str">
        <f t="shared" si="145"/>
        <v>THAYNA/COMERCIAL</v>
      </c>
      <c r="H1887" t="str">
        <f t="shared" si="146"/>
        <v>MUTCD CENTRO DE DISTRIBUICAO DE IND FABRICANTE DE</v>
      </c>
      <c r="I1887">
        <f t="shared" si="147"/>
        <v>0</v>
      </c>
      <c r="J1887">
        <f t="shared" si="148"/>
        <v>1</v>
      </c>
    </row>
    <row r="1888" spans="1:10" x14ac:dyDescent="0.25">
      <c r="A1888" t="s">
        <v>339</v>
      </c>
      <c r="B1888" t="s">
        <v>151</v>
      </c>
      <c r="C1888" t="s">
        <v>59</v>
      </c>
      <c r="D1888" s="3">
        <v>45759</v>
      </c>
      <c r="E1888" t="str">
        <f>VLOOKUP(B1888,'PROCV GERENTES BD'!A:B,2,0)</f>
        <v>ADMINISTRAÇÃO</v>
      </c>
      <c r="F1888" s="4" t="str">
        <f t="shared" si="149"/>
        <v>2025-04-1</v>
      </c>
      <c r="G1888" t="str">
        <f t="shared" si="145"/>
        <v>ADMINISTRAÇÃO</v>
      </c>
      <c r="H1888" t="str">
        <f t="shared" si="146"/>
        <v>BOM PASTOR PAPEIS LTDA EM RECUPERACAO JUDICIAL</v>
      </c>
      <c r="I1888">
        <f t="shared" si="147"/>
        <v>0</v>
      </c>
      <c r="J1888">
        <f t="shared" si="148"/>
        <v>0</v>
      </c>
    </row>
    <row r="1889" spans="1:10" x14ac:dyDescent="0.25">
      <c r="A1889" t="s">
        <v>366</v>
      </c>
      <c r="B1889" t="s">
        <v>111</v>
      </c>
      <c r="C1889" t="s">
        <v>56</v>
      </c>
      <c r="D1889" s="3">
        <v>45759</v>
      </c>
      <c r="E1889" t="str">
        <f>VLOOKUP(B1889,'PROCV GERENTES BD'!A:B,2,0)</f>
        <v>DIOGO AZEVEDO</v>
      </c>
      <c r="F1889" s="4" t="str">
        <f t="shared" si="149"/>
        <v>2025-04-1</v>
      </c>
      <c r="G1889" t="str">
        <f t="shared" si="145"/>
        <v>DIOGO AZEVEDO</v>
      </c>
      <c r="H1889" t="str">
        <f t="shared" si="146"/>
        <v>INDUSTRIA E CERVEJARIA ARTESANAL DE MINAS GERAIS L</v>
      </c>
      <c r="I1889">
        <f t="shared" si="147"/>
        <v>0</v>
      </c>
      <c r="J1889">
        <f t="shared" si="148"/>
        <v>1</v>
      </c>
    </row>
    <row r="1890" spans="1:10" x14ac:dyDescent="0.25">
      <c r="A1890" t="s">
        <v>475</v>
      </c>
      <c r="B1890" t="s">
        <v>231</v>
      </c>
      <c r="C1890" t="s">
        <v>56</v>
      </c>
      <c r="D1890" s="3">
        <v>45759</v>
      </c>
      <c r="E1890" t="str">
        <f>VLOOKUP(B1890,'PROCV GERENTES BD'!A:B,2,0)</f>
        <v>DIOGO AZEVEDO</v>
      </c>
      <c r="F1890" s="4" t="str">
        <f t="shared" si="149"/>
        <v>2025-04-1</v>
      </c>
      <c r="G1890" t="str">
        <f t="shared" si="145"/>
        <v>DIOGO AZEVEDO</v>
      </c>
      <c r="H1890" t="str">
        <f t="shared" si="146"/>
        <v>VGS COMERCIO DE EMBALAGENS DE MADEIRAS LTDA ME</v>
      </c>
      <c r="I1890">
        <f t="shared" si="147"/>
        <v>0</v>
      </c>
      <c r="J1890">
        <f t="shared" si="148"/>
        <v>1</v>
      </c>
    </row>
    <row r="1891" spans="1:10" x14ac:dyDescent="0.25">
      <c r="A1891" t="s">
        <v>410</v>
      </c>
      <c r="B1891" t="s">
        <v>159</v>
      </c>
      <c r="C1891" t="s">
        <v>56</v>
      </c>
      <c r="D1891" s="3">
        <v>45759</v>
      </c>
      <c r="E1891" t="str">
        <f>VLOOKUP(B1891,'PROCV GERENTES BD'!A:B,2,0)</f>
        <v>FITZ</v>
      </c>
      <c r="F1891" s="4" t="str">
        <f t="shared" si="149"/>
        <v>2025-04-1</v>
      </c>
      <c r="G1891" t="str">
        <f t="shared" si="145"/>
        <v>FITZ</v>
      </c>
      <c r="H1891" t="str">
        <f t="shared" si="146"/>
        <v>MOINHO DE TRIGO JM LTDA</v>
      </c>
      <c r="I1891">
        <f t="shared" si="147"/>
        <v>0</v>
      </c>
      <c r="J1891">
        <f t="shared" si="148"/>
        <v>1</v>
      </c>
    </row>
    <row r="1892" spans="1:10" x14ac:dyDescent="0.25">
      <c r="A1892" t="s">
        <v>325</v>
      </c>
      <c r="B1892" t="s">
        <v>210</v>
      </c>
      <c r="C1892" t="s">
        <v>56</v>
      </c>
      <c r="D1892" s="3">
        <v>45759</v>
      </c>
      <c r="E1892" t="str">
        <f>VLOOKUP(B1892,'PROCV GERENTES BD'!A:B,2,0)</f>
        <v>JOSE ROBERTO</v>
      </c>
      <c r="F1892" s="4" t="str">
        <f t="shared" si="149"/>
        <v>2025-04-1</v>
      </c>
      <c r="G1892" t="str">
        <f t="shared" si="145"/>
        <v>JOSE ROBERTO</v>
      </c>
      <c r="H1892" t="str">
        <f t="shared" si="146"/>
        <v>FUNDACAO DE ENSINO E PESQUISA DO SUL DE MINAS FEPE</v>
      </c>
      <c r="I1892">
        <f t="shared" si="147"/>
        <v>0</v>
      </c>
      <c r="J1892">
        <f t="shared" si="148"/>
        <v>1</v>
      </c>
    </row>
    <row r="1893" spans="1:10" x14ac:dyDescent="0.25">
      <c r="A1893" t="s">
        <v>403</v>
      </c>
      <c r="B1893" t="s">
        <v>152</v>
      </c>
      <c r="C1893" t="s">
        <v>56</v>
      </c>
      <c r="D1893" s="3">
        <v>45759</v>
      </c>
      <c r="E1893" t="str">
        <f>VLOOKUP(B1893,'PROCV GERENTES BD'!A:B,2,0)</f>
        <v>MARCIO LEONEL</v>
      </c>
      <c r="F1893" s="4" t="str">
        <f t="shared" si="149"/>
        <v>2025-04-1</v>
      </c>
      <c r="G1893" t="str">
        <f t="shared" si="145"/>
        <v>MARCIO LEONEL</v>
      </c>
      <c r="H1893" t="str">
        <f t="shared" si="146"/>
        <v>MEDICAL PRIME IMP EXPORT DISTRIB PRODUTOS MEDICOS</v>
      </c>
      <c r="I1893">
        <f t="shared" si="147"/>
        <v>0</v>
      </c>
      <c r="J1893">
        <f t="shared" si="148"/>
        <v>1</v>
      </c>
    </row>
    <row r="1894" spans="1:10" x14ac:dyDescent="0.25">
      <c r="A1894" t="s">
        <v>436</v>
      </c>
      <c r="B1894" t="s">
        <v>186</v>
      </c>
      <c r="C1894" t="s">
        <v>72</v>
      </c>
      <c r="D1894" s="3">
        <v>45759</v>
      </c>
      <c r="E1894" t="str">
        <f>VLOOKUP(B1894,'PROCV GERENTES BD'!A:B,2,0)</f>
        <v xml:space="preserve">MARCUS VINICIUS </v>
      </c>
      <c r="F1894" s="4" t="str">
        <f t="shared" si="149"/>
        <v>2025-04-1</v>
      </c>
      <c r="G1894" t="str">
        <f t="shared" si="145"/>
        <v xml:space="preserve">MARCUS VINICIUS </v>
      </c>
      <c r="H1894" t="str">
        <f t="shared" si="146"/>
        <v>LABOR ELETRIC INDUSTRIA E COMERCIO UNIPESSOAL LTDA</v>
      </c>
      <c r="I1894">
        <f t="shared" si="147"/>
        <v>1</v>
      </c>
      <c r="J1894">
        <f t="shared" si="148"/>
        <v>0</v>
      </c>
    </row>
    <row r="1895" spans="1:10" x14ac:dyDescent="0.25">
      <c r="A1895" t="s">
        <v>404</v>
      </c>
      <c r="B1895" t="s">
        <v>153</v>
      </c>
      <c r="C1895" t="s">
        <v>335</v>
      </c>
      <c r="D1895" s="3">
        <v>45759</v>
      </c>
      <c r="E1895" t="str">
        <f>VLOOKUP(B1895,'PROCV GERENTES BD'!A:B,2,0)</f>
        <v xml:space="preserve">MARCUS VINICIUS </v>
      </c>
      <c r="F1895" s="4" t="str">
        <f t="shared" si="149"/>
        <v>2025-04-1</v>
      </c>
      <c r="G1895" t="str">
        <f t="shared" si="145"/>
        <v xml:space="preserve">MARCUS VINICIUS </v>
      </c>
      <c r="H1895" t="str">
        <f t="shared" si="146"/>
        <v>OLINDA IMPORTACAO E COMERCIO LTDA</v>
      </c>
      <c r="I1895">
        <f t="shared" si="147"/>
        <v>0</v>
      </c>
      <c r="J1895">
        <f t="shared" si="148"/>
        <v>0</v>
      </c>
    </row>
    <row r="1896" spans="1:10" x14ac:dyDescent="0.25">
      <c r="A1896" t="s">
        <v>383</v>
      </c>
      <c r="B1896" t="s">
        <v>127</v>
      </c>
      <c r="C1896" t="s">
        <v>72</v>
      </c>
      <c r="D1896" s="3">
        <v>45759</v>
      </c>
      <c r="E1896" t="str">
        <f>VLOOKUP(B1896,'PROCV GERENTES BD'!A:B,2,0)</f>
        <v>NATALIA NUBIA</v>
      </c>
      <c r="F1896" s="4" t="str">
        <f t="shared" si="149"/>
        <v>2025-04-1</v>
      </c>
      <c r="G1896" t="str">
        <f t="shared" si="145"/>
        <v>NATALIA NUBIA</v>
      </c>
      <c r="H1896" t="str">
        <f t="shared" si="146"/>
        <v>FARINELLI NUTRIMENTOS LTDA</v>
      </c>
      <c r="I1896">
        <f t="shared" si="147"/>
        <v>1</v>
      </c>
      <c r="J1896">
        <f t="shared" si="148"/>
        <v>0</v>
      </c>
    </row>
    <row r="1897" spans="1:10" x14ac:dyDescent="0.25">
      <c r="A1897" t="s">
        <v>78</v>
      </c>
      <c r="B1897" t="s">
        <v>79</v>
      </c>
      <c r="C1897" t="s">
        <v>56</v>
      </c>
      <c r="D1897" s="3">
        <v>45759</v>
      </c>
      <c r="E1897" t="str">
        <f>VLOOKUP(B1897,'PROCV GERENTES BD'!A:B,2,0)</f>
        <v>NOELI SALETE</v>
      </c>
      <c r="F1897" s="4" t="str">
        <f t="shared" si="149"/>
        <v>2025-04-1</v>
      </c>
      <c r="G1897" t="str">
        <f t="shared" si="145"/>
        <v>NOELI SALETE</v>
      </c>
      <c r="H1897" t="str">
        <f t="shared" si="146"/>
        <v>SMARTCENTER SOLUCOES INTELIGENTES LTDA ME</v>
      </c>
      <c r="I1897">
        <f t="shared" si="147"/>
        <v>0</v>
      </c>
      <c r="J1897">
        <f t="shared" si="148"/>
        <v>1</v>
      </c>
    </row>
    <row r="1898" spans="1:10" x14ac:dyDescent="0.25">
      <c r="A1898" t="s">
        <v>494</v>
      </c>
      <c r="B1898" t="s">
        <v>250</v>
      </c>
      <c r="C1898" t="s">
        <v>56</v>
      </c>
      <c r="D1898" s="3">
        <v>45759</v>
      </c>
      <c r="E1898" t="str">
        <f>VLOOKUP(B1898,'PROCV GERENTES BD'!A:B,2,0)</f>
        <v>NOELI SALETE</v>
      </c>
      <c r="F1898" s="4" t="str">
        <f t="shared" si="149"/>
        <v>2025-04-1</v>
      </c>
      <c r="G1898" t="str">
        <f t="shared" si="145"/>
        <v>NOELI SALETE</v>
      </c>
      <c r="H1898" t="str">
        <f t="shared" si="146"/>
        <v>SMARTCENTERGROUP COMERCIO DE EQUIPAMENTOS DE INFOR</v>
      </c>
      <c r="I1898">
        <f t="shared" si="147"/>
        <v>0</v>
      </c>
      <c r="J1898">
        <f t="shared" si="148"/>
        <v>1</v>
      </c>
    </row>
    <row r="1899" spans="1:10" x14ac:dyDescent="0.25">
      <c r="A1899" t="s">
        <v>397</v>
      </c>
      <c r="B1899" t="s">
        <v>143</v>
      </c>
      <c r="C1899" t="s">
        <v>72</v>
      </c>
      <c r="D1899" s="3">
        <v>45759</v>
      </c>
      <c r="E1899" t="str">
        <f>VLOOKUP(B1899,'PROCV GERENTES BD'!A:B,2,0)</f>
        <v>POENATELA</v>
      </c>
      <c r="F1899" s="4" t="str">
        <f t="shared" si="149"/>
        <v>2025-04-1</v>
      </c>
      <c r="G1899" t="str">
        <f t="shared" si="145"/>
        <v>POENATELA</v>
      </c>
      <c r="H1899" t="str">
        <f t="shared" si="146"/>
        <v>CONQUISTA INDUSTRIA DE MOVEIS S/A</v>
      </c>
      <c r="I1899">
        <f t="shared" si="147"/>
        <v>1</v>
      </c>
      <c r="J1899">
        <f t="shared" si="148"/>
        <v>0</v>
      </c>
    </row>
    <row r="1900" spans="1:10" x14ac:dyDescent="0.25">
      <c r="A1900" t="s">
        <v>314</v>
      </c>
      <c r="B1900" t="s">
        <v>108</v>
      </c>
      <c r="C1900" t="s">
        <v>56</v>
      </c>
      <c r="D1900" s="3">
        <v>45759</v>
      </c>
      <c r="E1900" t="str">
        <f>VLOOKUP(B1900,'PROCV GERENTES BD'!A:B,2,0)</f>
        <v>POENATELA</v>
      </c>
      <c r="F1900" s="4" t="str">
        <f t="shared" si="149"/>
        <v>2025-04-1</v>
      </c>
      <c r="G1900" t="str">
        <f t="shared" si="145"/>
        <v>POENATELA</v>
      </c>
      <c r="H1900" t="str">
        <f t="shared" si="146"/>
        <v>ECOPINUS INDUSTRIA E COMERCIO DE EMBALAGENS DE MAD</v>
      </c>
      <c r="I1900">
        <f t="shared" si="147"/>
        <v>0</v>
      </c>
      <c r="J1900">
        <f t="shared" si="148"/>
        <v>1</v>
      </c>
    </row>
    <row r="1901" spans="1:10" x14ac:dyDescent="0.25">
      <c r="A1901" t="s">
        <v>57</v>
      </c>
      <c r="B1901" t="s">
        <v>58</v>
      </c>
      <c r="C1901" t="s">
        <v>56</v>
      </c>
      <c r="D1901" s="3">
        <v>45759</v>
      </c>
      <c r="E1901" t="str">
        <f>VLOOKUP(B1901,'PROCV GERENTES BD'!A:B,2,0)</f>
        <v>RAFAEL PARISE</v>
      </c>
      <c r="F1901" s="4" t="str">
        <f t="shared" si="149"/>
        <v>2025-04-1</v>
      </c>
      <c r="G1901" t="str">
        <f t="shared" si="145"/>
        <v>RAFAEL PARISE</v>
      </c>
      <c r="H1901" t="str">
        <f t="shared" si="146"/>
        <v>TDR TRANSPORTES LOGISTICA LTDA</v>
      </c>
      <c r="I1901">
        <f t="shared" si="147"/>
        <v>0</v>
      </c>
      <c r="J1901">
        <f t="shared" si="148"/>
        <v>1</v>
      </c>
    </row>
    <row r="1902" spans="1:10" x14ac:dyDescent="0.25">
      <c r="A1902" t="s">
        <v>395</v>
      </c>
      <c r="B1902" t="s">
        <v>141</v>
      </c>
      <c r="C1902" t="s">
        <v>59</v>
      </c>
      <c r="D1902" s="3">
        <v>45759</v>
      </c>
      <c r="E1902" t="str">
        <f>VLOOKUP(B1902,'PROCV GERENTES BD'!A:B,2,0)</f>
        <v>RAFAEL PARISE</v>
      </c>
      <c r="F1902" s="4" t="str">
        <f t="shared" si="149"/>
        <v>2025-04-1</v>
      </c>
      <c r="G1902" t="str">
        <f t="shared" si="145"/>
        <v>RAFAEL PARISE</v>
      </c>
      <c r="H1902" t="str">
        <f t="shared" si="146"/>
        <v>MAIS DISTRIBUIDORA LTDA</v>
      </c>
      <c r="I1902">
        <f t="shared" si="147"/>
        <v>0</v>
      </c>
      <c r="J1902">
        <f t="shared" si="148"/>
        <v>0</v>
      </c>
    </row>
    <row r="1903" spans="1:10" x14ac:dyDescent="0.25">
      <c r="A1903" t="s">
        <v>462</v>
      </c>
      <c r="B1903" t="s">
        <v>218</v>
      </c>
      <c r="C1903" t="s">
        <v>72</v>
      </c>
      <c r="D1903" s="3">
        <v>45759</v>
      </c>
      <c r="E1903" t="str">
        <f>VLOOKUP(B1903,'PROCV GERENTES BD'!A:B,2,0)</f>
        <v>RAFAEL PARISE</v>
      </c>
      <c r="F1903" s="4" t="str">
        <f t="shared" si="149"/>
        <v>2025-04-1</v>
      </c>
      <c r="G1903" t="str">
        <f t="shared" si="145"/>
        <v>RAFAEL PARISE</v>
      </c>
      <c r="H1903" t="str">
        <f t="shared" si="146"/>
        <v>TREGA FILHOS EMPACOTAMENTO E DISTRIBUICAO LTDA ME</v>
      </c>
      <c r="I1903">
        <f t="shared" si="147"/>
        <v>1</v>
      </c>
      <c r="J1903">
        <f t="shared" si="148"/>
        <v>0</v>
      </c>
    </row>
    <row r="1904" spans="1:10" x14ac:dyDescent="0.25">
      <c r="A1904" t="s">
        <v>333</v>
      </c>
      <c r="B1904" t="s">
        <v>129</v>
      </c>
      <c r="C1904" t="s">
        <v>56</v>
      </c>
      <c r="D1904" s="3">
        <v>45759</v>
      </c>
      <c r="E1904" t="s">
        <v>25</v>
      </c>
      <c r="F1904" s="4" t="str">
        <f t="shared" si="149"/>
        <v>2025-04-1</v>
      </c>
      <c r="G1904" t="str">
        <f t="shared" si="145"/>
        <v xml:space="preserve">ROGERIO </v>
      </c>
      <c r="H1904" t="str">
        <f t="shared" si="146"/>
        <v>BIBE PRODUTOS INFANTIS LTDA</v>
      </c>
      <c r="I1904">
        <f t="shared" si="147"/>
        <v>0</v>
      </c>
      <c r="J1904">
        <f t="shared" si="148"/>
        <v>1</v>
      </c>
    </row>
    <row r="1905" spans="1:10" x14ac:dyDescent="0.25">
      <c r="A1905" t="s">
        <v>62</v>
      </c>
      <c r="B1905" t="s">
        <v>63</v>
      </c>
      <c r="C1905" t="s">
        <v>56</v>
      </c>
      <c r="D1905" s="3">
        <v>45759</v>
      </c>
      <c r="E1905" t="str">
        <f>VLOOKUP(B1905,'PROCV GERENTES BD'!A:B,2,0)</f>
        <v xml:space="preserve">ROGERIO </v>
      </c>
      <c r="F1905" s="4" t="str">
        <f t="shared" si="149"/>
        <v>2025-04-1</v>
      </c>
      <c r="G1905" t="str">
        <f t="shared" si="145"/>
        <v xml:space="preserve">ROGERIO </v>
      </c>
      <c r="H1905" t="str">
        <f t="shared" si="146"/>
        <v>RODOVIEIRA TRANSPORTE LTDA</v>
      </c>
      <c r="I1905">
        <f t="shared" si="147"/>
        <v>0</v>
      </c>
      <c r="J1905">
        <f t="shared" si="148"/>
        <v>1</v>
      </c>
    </row>
    <row r="1906" spans="1:10" x14ac:dyDescent="0.25">
      <c r="A1906" t="s">
        <v>311</v>
      </c>
      <c r="B1906" t="s">
        <v>130</v>
      </c>
      <c r="C1906" t="s">
        <v>72</v>
      </c>
      <c r="D1906" s="3">
        <v>45762</v>
      </c>
      <c r="E1906" t="str">
        <f>VLOOKUP(B1906,'PROCV GERENTES BD'!A:B,2,0)</f>
        <v>ANTONIO CARLOS</v>
      </c>
      <c r="F1906" s="4" t="str">
        <f t="shared" si="149"/>
        <v>2025-04-1</v>
      </c>
      <c r="G1906" t="str">
        <f t="shared" si="145"/>
        <v>ANTONIO CARLOS</v>
      </c>
      <c r="H1906" t="str">
        <f t="shared" si="146"/>
        <v>VIC LOGISTICA LTDA EM RECUPERACAO JUDICIAL</v>
      </c>
      <c r="I1906">
        <f t="shared" si="147"/>
        <v>1</v>
      </c>
      <c r="J1906">
        <f t="shared" si="148"/>
        <v>0</v>
      </c>
    </row>
    <row r="1907" spans="1:10" x14ac:dyDescent="0.25">
      <c r="A1907" t="s">
        <v>391</v>
      </c>
      <c r="B1907" t="s">
        <v>137</v>
      </c>
      <c r="C1907" t="s">
        <v>56</v>
      </c>
      <c r="D1907" s="3">
        <v>45762</v>
      </c>
      <c r="E1907" t="str">
        <f>VLOOKUP(B1907,'PROCV GERENTES BD'!A:B,2,0)</f>
        <v>CELIO PIMENTA</v>
      </c>
      <c r="F1907" s="4" t="str">
        <f t="shared" si="149"/>
        <v>2025-04-1</v>
      </c>
      <c r="G1907" t="str">
        <f t="shared" si="145"/>
        <v>CELIO PIMENTA</v>
      </c>
      <c r="H1907" t="str">
        <f t="shared" si="146"/>
        <v>JR X IMPORT LTDA EPP</v>
      </c>
      <c r="I1907">
        <f t="shared" si="147"/>
        <v>0</v>
      </c>
      <c r="J1907">
        <f t="shared" si="148"/>
        <v>1</v>
      </c>
    </row>
    <row r="1908" spans="1:10" x14ac:dyDescent="0.25">
      <c r="A1908" t="s">
        <v>318</v>
      </c>
      <c r="B1908" t="s">
        <v>87</v>
      </c>
      <c r="C1908" t="s">
        <v>59</v>
      </c>
      <c r="D1908" s="3">
        <v>45762</v>
      </c>
      <c r="E1908" t="str">
        <f>VLOOKUP(B1908,'PROCV GERENTES BD'!A:B,2,0)</f>
        <v>CELIO PIMENTA</v>
      </c>
      <c r="F1908" s="4" t="str">
        <f t="shared" si="149"/>
        <v>2025-04-1</v>
      </c>
      <c r="G1908" t="str">
        <f t="shared" si="145"/>
        <v>CELIO PIMENTA</v>
      </c>
      <c r="H1908" t="str">
        <f t="shared" si="146"/>
        <v>MBIOLOG DIAGNOSTICOS LTDA</v>
      </c>
      <c r="I1908">
        <f t="shared" si="147"/>
        <v>0</v>
      </c>
      <c r="J1908">
        <f t="shared" si="148"/>
        <v>0</v>
      </c>
    </row>
    <row r="1909" spans="1:10" x14ac:dyDescent="0.25">
      <c r="A1909" t="s">
        <v>60</v>
      </c>
      <c r="B1909" t="s">
        <v>61</v>
      </c>
      <c r="C1909" t="s">
        <v>72</v>
      </c>
      <c r="D1909" s="3">
        <v>45762</v>
      </c>
      <c r="E1909" t="str">
        <f>VLOOKUP(B1909,'PROCV GERENTES BD'!A:B,2,0)</f>
        <v>CELIO PIMENTA</v>
      </c>
      <c r="F1909" s="4" t="str">
        <f t="shared" si="149"/>
        <v>2025-04-1</v>
      </c>
      <c r="G1909" t="str">
        <f t="shared" si="145"/>
        <v>CELIO PIMENTA</v>
      </c>
      <c r="H1909" t="str">
        <f t="shared" si="146"/>
        <v>WJ CALDEIRARIA INDUSTRIA E COMERCIO LTDA ME</v>
      </c>
      <c r="I1909">
        <f t="shared" si="147"/>
        <v>1</v>
      </c>
      <c r="J1909">
        <f t="shared" si="148"/>
        <v>0</v>
      </c>
    </row>
    <row r="1910" spans="1:10" x14ac:dyDescent="0.25">
      <c r="A1910" t="s">
        <v>458</v>
      </c>
      <c r="B1910" t="s">
        <v>214</v>
      </c>
      <c r="C1910" t="s">
        <v>72</v>
      </c>
      <c r="D1910" s="3">
        <v>45762</v>
      </c>
      <c r="E1910" t="str">
        <f>VLOOKUP(B1910,'PROCV GERENTES BD'!A:B,2,0)</f>
        <v>CELIO PIMENTA</v>
      </c>
      <c r="F1910" s="4" t="str">
        <f t="shared" si="149"/>
        <v>2025-04-1</v>
      </c>
      <c r="G1910" t="str">
        <f t="shared" si="145"/>
        <v>CELIO PIMENTA</v>
      </c>
      <c r="H1910" t="str">
        <f t="shared" si="146"/>
        <v>LIDER COMERCIO DE UNIFORMES E EPI S LTDA ME</v>
      </c>
      <c r="I1910">
        <f t="shared" si="147"/>
        <v>1</v>
      </c>
      <c r="J1910">
        <f t="shared" si="148"/>
        <v>0</v>
      </c>
    </row>
    <row r="1911" spans="1:10" x14ac:dyDescent="0.25">
      <c r="A1911" t="s">
        <v>366</v>
      </c>
      <c r="B1911" t="s">
        <v>111</v>
      </c>
      <c r="C1911" t="s">
        <v>56</v>
      </c>
      <c r="D1911" s="3">
        <v>45762</v>
      </c>
      <c r="E1911" t="str">
        <f>VLOOKUP(B1911,'PROCV GERENTES BD'!A:B,2,0)</f>
        <v>DIOGO AZEVEDO</v>
      </c>
      <c r="F1911" s="4" t="str">
        <f t="shared" si="149"/>
        <v>2025-04-1</v>
      </c>
      <c r="G1911" t="str">
        <f t="shared" si="145"/>
        <v>DIOGO AZEVEDO</v>
      </c>
      <c r="H1911" t="str">
        <f t="shared" si="146"/>
        <v>INDUSTRIA E CERVEJARIA ARTESANAL DE MINAS GERAIS L</v>
      </c>
      <c r="I1911">
        <f t="shared" si="147"/>
        <v>0</v>
      </c>
      <c r="J1911">
        <f t="shared" si="148"/>
        <v>1</v>
      </c>
    </row>
    <row r="1912" spans="1:10" x14ac:dyDescent="0.25">
      <c r="A1912" t="s">
        <v>410</v>
      </c>
      <c r="B1912" t="s">
        <v>159</v>
      </c>
      <c r="C1912" t="s">
        <v>56</v>
      </c>
      <c r="D1912" s="3">
        <v>45762</v>
      </c>
      <c r="E1912" t="str">
        <f>VLOOKUP(B1912,'PROCV GERENTES BD'!A:B,2,0)</f>
        <v>FITZ</v>
      </c>
      <c r="F1912" s="4" t="str">
        <f t="shared" si="149"/>
        <v>2025-04-1</v>
      </c>
      <c r="G1912" t="str">
        <f t="shared" si="145"/>
        <v>FITZ</v>
      </c>
      <c r="H1912" t="str">
        <f t="shared" si="146"/>
        <v>MOINHO DE TRIGO JM LTDA</v>
      </c>
      <c r="I1912">
        <f t="shared" si="147"/>
        <v>0</v>
      </c>
      <c r="J1912">
        <f t="shared" si="148"/>
        <v>1</v>
      </c>
    </row>
    <row r="1913" spans="1:10" x14ac:dyDescent="0.25">
      <c r="A1913" t="s">
        <v>331</v>
      </c>
      <c r="B1913" t="s">
        <v>126</v>
      </c>
      <c r="C1913" t="s">
        <v>56</v>
      </c>
      <c r="D1913" s="3">
        <v>45762</v>
      </c>
      <c r="E1913" t="str">
        <f>VLOOKUP(B1913,'PROCV GERENTES BD'!A:B,2,0)</f>
        <v>FITZ</v>
      </c>
      <c r="F1913" s="4" t="str">
        <f t="shared" si="149"/>
        <v>2025-04-1</v>
      </c>
      <c r="G1913" t="str">
        <f t="shared" si="145"/>
        <v>FITZ</v>
      </c>
      <c r="H1913" t="str">
        <f t="shared" si="146"/>
        <v>TRANSHENRY TRANSPORTES LTDA</v>
      </c>
      <c r="I1913">
        <f t="shared" si="147"/>
        <v>0</v>
      </c>
      <c r="J1913">
        <f t="shared" si="148"/>
        <v>1</v>
      </c>
    </row>
    <row r="1914" spans="1:10" x14ac:dyDescent="0.25">
      <c r="A1914" t="s">
        <v>420</v>
      </c>
      <c r="B1914" t="s">
        <v>169</v>
      </c>
      <c r="C1914" t="s">
        <v>56</v>
      </c>
      <c r="D1914" s="3">
        <v>45762</v>
      </c>
      <c r="E1914" t="str">
        <f>VLOOKUP(B1914,'PROCV GERENTES BD'!A:B,2,0)</f>
        <v>FITZ</v>
      </c>
      <c r="F1914" s="4" t="str">
        <f t="shared" si="149"/>
        <v>2025-04-1</v>
      </c>
      <c r="G1914" t="str">
        <f t="shared" si="145"/>
        <v>FITZ</v>
      </c>
      <c r="H1914" t="str">
        <f t="shared" si="146"/>
        <v>MORIA PRESTACAO DE SERVICOS LTDA ME</v>
      </c>
      <c r="I1914">
        <f t="shared" si="147"/>
        <v>0</v>
      </c>
      <c r="J1914">
        <f t="shared" si="148"/>
        <v>1</v>
      </c>
    </row>
    <row r="1915" spans="1:10" x14ac:dyDescent="0.25">
      <c r="A1915" t="s">
        <v>68</v>
      </c>
      <c r="B1915" t="s">
        <v>69</v>
      </c>
      <c r="C1915" t="s">
        <v>56</v>
      </c>
      <c r="D1915" s="3">
        <v>45762</v>
      </c>
      <c r="E1915" t="str">
        <f>VLOOKUP(B1915,'PROCV GERENTES BD'!A:B,2,0)</f>
        <v>FITZ</v>
      </c>
      <c r="F1915" s="4" t="str">
        <f t="shared" si="149"/>
        <v>2025-04-1</v>
      </c>
      <c r="G1915" t="str">
        <f t="shared" si="145"/>
        <v>FITZ</v>
      </c>
      <c r="H1915" t="str">
        <f t="shared" si="146"/>
        <v>MAPP COM IMPORTACAO EXPORTACAO IND PRODUTOS ALIMEN</v>
      </c>
      <c r="I1915">
        <f t="shared" si="147"/>
        <v>0</v>
      </c>
      <c r="J1915">
        <f t="shared" si="148"/>
        <v>1</v>
      </c>
    </row>
    <row r="1916" spans="1:10" x14ac:dyDescent="0.25">
      <c r="A1916" t="s">
        <v>325</v>
      </c>
      <c r="B1916" t="s">
        <v>210</v>
      </c>
      <c r="C1916" t="s">
        <v>56</v>
      </c>
      <c r="D1916" s="3">
        <v>45762</v>
      </c>
      <c r="E1916" t="str">
        <f>VLOOKUP(B1916,'PROCV GERENTES BD'!A:B,2,0)</f>
        <v>JOSE ROBERTO</v>
      </c>
      <c r="F1916" s="4" t="str">
        <f t="shared" si="149"/>
        <v>2025-04-1</v>
      </c>
      <c r="G1916" t="str">
        <f t="shared" si="145"/>
        <v>JOSE ROBERTO</v>
      </c>
      <c r="H1916" t="str">
        <f t="shared" si="146"/>
        <v>FUNDACAO DE ENSINO E PESQUISA DO SUL DE MINAS FEPE</v>
      </c>
      <c r="I1916">
        <f t="shared" si="147"/>
        <v>0</v>
      </c>
      <c r="J1916">
        <f t="shared" si="148"/>
        <v>1</v>
      </c>
    </row>
    <row r="1917" spans="1:10" x14ac:dyDescent="0.25">
      <c r="A1917" t="s">
        <v>403</v>
      </c>
      <c r="B1917" t="s">
        <v>152</v>
      </c>
      <c r="C1917" t="s">
        <v>56</v>
      </c>
      <c r="D1917" s="3">
        <v>45762</v>
      </c>
      <c r="E1917" t="str">
        <f>VLOOKUP(B1917,'PROCV GERENTES BD'!A:B,2,0)</f>
        <v>MARCIO LEONEL</v>
      </c>
      <c r="F1917" s="4" t="str">
        <f t="shared" si="149"/>
        <v>2025-04-1</v>
      </c>
      <c r="G1917" t="str">
        <f t="shared" si="145"/>
        <v>MARCIO LEONEL</v>
      </c>
      <c r="H1917" t="str">
        <f t="shared" si="146"/>
        <v>MEDICAL PRIME IMP EXPORT DISTRIB PRODUTOS MEDICOS</v>
      </c>
      <c r="I1917">
        <f t="shared" si="147"/>
        <v>0</v>
      </c>
      <c r="J1917">
        <f t="shared" si="148"/>
        <v>1</v>
      </c>
    </row>
    <row r="1918" spans="1:10" x14ac:dyDescent="0.25">
      <c r="A1918" t="s">
        <v>66</v>
      </c>
      <c r="B1918" t="s">
        <v>67</v>
      </c>
      <c r="C1918" t="s">
        <v>56</v>
      </c>
      <c r="D1918" s="3">
        <v>45762</v>
      </c>
      <c r="E1918" t="str">
        <f>VLOOKUP(B1918,'PROCV GERENTES BD'!A:B,2,0)</f>
        <v xml:space="preserve">MARCUS VINICIUS </v>
      </c>
      <c r="F1918" s="4" t="str">
        <f t="shared" si="149"/>
        <v>2025-04-1</v>
      </c>
      <c r="G1918" t="str">
        <f t="shared" si="145"/>
        <v xml:space="preserve">MARCUS VINICIUS </v>
      </c>
      <c r="H1918" t="str">
        <f t="shared" si="146"/>
        <v>COM IND DE CEREAIS E TRANSPORTES MACIEL LTDA</v>
      </c>
      <c r="I1918">
        <f t="shared" si="147"/>
        <v>0</v>
      </c>
      <c r="J1918">
        <f t="shared" si="148"/>
        <v>1</v>
      </c>
    </row>
    <row r="1919" spans="1:10" x14ac:dyDescent="0.25">
      <c r="A1919" t="s">
        <v>317</v>
      </c>
      <c r="B1919" t="s">
        <v>211</v>
      </c>
      <c r="C1919" t="s">
        <v>56</v>
      </c>
      <c r="D1919" s="3">
        <v>45762</v>
      </c>
      <c r="E1919" t="str">
        <f>VLOOKUP(B1919,'PROCV GERENTES BD'!A:B,2,0)</f>
        <v xml:space="preserve">MARCUS VINICIUS </v>
      </c>
      <c r="F1919" s="4" t="str">
        <f t="shared" si="149"/>
        <v>2025-04-1</v>
      </c>
      <c r="G1919" t="str">
        <f t="shared" si="145"/>
        <v xml:space="preserve">MARCUS VINICIUS </v>
      </c>
      <c r="H1919" t="str">
        <f t="shared" si="146"/>
        <v>INDUSTRIA E COMERCIO DE CHURRASQUEIRAS BOM JESUS L</v>
      </c>
      <c r="I1919">
        <f t="shared" si="147"/>
        <v>0</v>
      </c>
      <c r="J1919">
        <f t="shared" si="148"/>
        <v>1</v>
      </c>
    </row>
    <row r="1920" spans="1:10" x14ac:dyDescent="0.25">
      <c r="A1920" t="s">
        <v>436</v>
      </c>
      <c r="B1920" t="s">
        <v>186</v>
      </c>
      <c r="C1920" t="s">
        <v>56</v>
      </c>
      <c r="D1920" s="3">
        <v>45762</v>
      </c>
      <c r="E1920" t="str">
        <f>VLOOKUP(B1920,'PROCV GERENTES BD'!A:B,2,0)</f>
        <v xml:space="preserve">MARCUS VINICIUS </v>
      </c>
      <c r="F1920" s="4" t="str">
        <f t="shared" si="149"/>
        <v>2025-04-1</v>
      </c>
      <c r="G1920" t="str">
        <f t="shared" si="145"/>
        <v xml:space="preserve">MARCUS VINICIUS </v>
      </c>
      <c r="H1920" t="str">
        <f t="shared" si="146"/>
        <v>LABOR ELETRIC INDUSTRIA E COMERCIO UNIPESSOAL LTDA</v>
      </c>
      <c r="I1920">
        <f t="shared" si="147"/>
        <v>0</v>
      </c>
      <c r="J1920">
        <f t="shared" si="148"/>
        <v>1</v>
      </c>
    </row>
    <row r="1921" spans="1:10" x14ac:dyDescent="0.25">
      <c r="A1921" t="s">
        <v>78</v>
      </c>
      <c r="B1921" t="s">
        <v>79</v>
      </c>
      <c r="C1921" t="s">
        <v>56</v>
      </c>
      <c r="D1921" s="3">
        <v>45762</v>
      </c>
      <c r="E1921" t="str">
        <f>VLOOKUP(B1921,'PROCV GERENTES BD'!A:B,2,0)</f>
        <v>NOELI SALETE</v>
      </c>
      <c r="F1921" s="4" t="str">
        <f t="shared" si="149"/>
        <v>2025-04-1</v>
      </c>
      <c r="G1921" t="str">
        <f t="shared" si="145"/>
        <v>NOELI SALETE</v>
      </c>
      <c r="H1921" t="str">
        <f t="shared" si="146"/>
        <v>SMARTCENTER SOLUCOES INTELIGENTES LTDA ME</v>
      </c>
      <c r="I1921">
        <f t="shared" si="147"/>
        <v>0</v>
      </c>
      <c r="J1921">
        <f t="shared" si="148"/>
        <v>1</v>
      </c>
    </row>
    <row r="1922" spans="1:10" x14ac:dyDescent="0.25">
      <c r="A1922" t="s">
        <v>408</v>
      </c>
      <c r="B1922" t="s">
        <v>157</v>
      </c>
      <c r="C1922" t="s">
        <v>56</v>
      </c>
      <c r="D1922" s="3">
        <v>45762</v>
      </c>
      <c r="E1922" t="str">
        <f>VLOOKUP(B1922,'PROCV GERENTES BD'!A:B,2,0)</f>
        <v>NOELI SALETE</v>
      </c>
      <c r="F1922" s="4" t="str">
        <f t="shared" si="149"/>
        <v>2025-04-1</v>
      </c>
      <c r="G1922" t="str">
        <f t="shared" ref="G1922:G1985" si="150">E1922</f>
        <v>NOELI SALETE</v>
      </c>
      <c r="H1922" t="str">
        <f t="shared" ref="H1922:H1985" si="151">B1922</f>
        <v>POOLMAK SISTEMAS ESTRUTURAIS LTDA</v>
      </c>
      <c r="I1922">
        <f t="shared" ref="I1922:I1985" si="152">IF(C1922="EXCLUSAO  ANOT.INADIMPLENCIA",1,0)</f>
        <v>0</v>
      </c>
      <c r="J1922">
        <f t="shared" ref="J1922:J1985" si="153">IF(C1922="INCLUSAO  ANOT.INADIMPLENCIA",1,0)</f>
        <v>1</v>
      </c>
    </row>
    <row r="1923" spans="1:10" x14ac:dyDescent="0.25">
      <c r="A1923" t="s">
        <v>494</v>
      </c>
      <c r="B1923" t="s">
        <v>250</v>
      </c>
      <c r="C1923" t="s">
        <v>56</v>
      </c>
      <c r="D1923" s="3">
        <v>45762</v>
      </c>
      <c r="E1923" t="str">
        <f>VLOOKUP(B1923,'PROCV GERENTES BD'!A:B,2,0)</f>
        <v>NOELI SALETE</v>
      </c>
      <c r="F1923" s="4" t="str">
        <f t="shared" ref="F1923:F1986" si="154">YEAR(D1923)&amp;"-"&amp;TEXT(MONTH(D1923),"00")&amp;"-"&amp;IF(DAY(D1923)&lt;=15,"1",IF(DAY(D1923)&gt;15,"2",""))</f>
        <v>2025-04-1</v>
      </c>
      <c r="G1923" t="str">
        <f t="shared" si="150"/>
        <v>NOELI SALETE</v>
      </c>
      <c r="H1923" t="str">
        <f t="shared" si="151"/>
        <v>SMARTCENTERGROUP COMERCIO DE EQUIPAMENTOS DE INFOR</v>
      </c>
      <c r="I1923">
        <f t="shared" si="152"/>
        <v>0</v>
      </c>
      <c r="J1923">
        <f t="shared" si="153"/>
        <v>1</v>
      </c>
    </row>
    <row r="1924" spans="1:10" x14ac:dyDescent="0.25">
      <c r="A1924" t="s">
        <v>402</v>
      </c>
      <c r="B1924" t="s">
        <v>150</v>
      </c>
      <c r="C1924" t="s">
        <v>56</v>
      </c>
      <c r="D1924" s="3">
        <v>45762</v>
      </c>
      <c r="E1924" t="str">
        <f>VLOOKUP(B1924,'PROCV GERENTES BD'!A:B,2,0)</f>
        <v>NOELI SALETE</v>
      </c>
      <c r="F1924" s="4" t="str">
        <f t="shared" si="154"/>
        <v>2025-04-1</v>
      </c>
      <c r="G1924" t="str">
        <f t="shared" si="150"/>
        <v>NOELI SALETE</v>
      </c>
      <c r="H1924" t="str">
        <f t="shared" si="151"/>
        <v>ALBERTO H DA SILVA ME</v>
      </c>
      <c r="I1924">
        <f t="shared" si="152"/>
        <v>0</v>
      </c>
      <c r="J1924">
        <f t="shared" si="153"/>
        <v>1</v>
      </c>
    </row>
    <row r="1925" spans="1:10" x14ac:dyDescent="0.25">
      <c r="A1925" t="s">
        <v>446</v>
      </c>
      <c r="B1925" t="s">
        <v>196</v>
      </c>
      <c r="C1925" t="s">
        <v>56</v>
      </c>
      <c r="D1925" s="3">
        <v>45762</v>
      </c>
      <c r="E1925" t="str">
        <f>VLOOKUP(B1925,'PROCV GERENTES BD'!A:B,2,0)</f>
        <v>NOELI SALETE</v>
      </c>
      <c r="F1925" s="4" t="str">
        <f t="shared" si="154"/>
        <v>2025-04-1</v>
      </c>
      <c r="G1925" t="str">
        <f t="shared" si="150"/>
        <v>NOELI SALETE</v>
      </c>
      <c r="H1925" t="str">
        <f t="shared" si="151"/>
        <v>AGRO INDUSTRIAL LAZZERI LTDA</v>
      </c>
      <c r="I1925">
        <f t="shared" si="152"/>
        <v>0</v>
      </c>
      <c r="J1925">
        <f t="shared" si="153"/>
        <v>1</v>
      </c>
    </row>
    <row r="1926" spans="1:10" x14ac:dyDescent="0.25">
      <c r="A1926" t="s">
        <v>397</v>
      </c>
      <c r="B1926" t="s">
        <v>143</v>
      </c>
      <c r="C1926" t="s">
        <v>72</v>
      </c>
      <c r="D1926" s="3">
        <v>45762</v>
      </c>
      <c r="E1926" t="str">
        <f>VLOOKUP(B1926,'PROCV GERENTES BD'!A:B,2,0)</f>
        <v>POENATELA</v>
      </c>
      <c r="F1926" s="4" t="str">
        <f t="shared" si="154"/>
        <v>2025-04-1</v>
      </c>
      <c r="G1926" t="str">
        <f t="shared" si="150"/>
        <v>POENATELA</v>
      </c>
      <c r="H1926" t="str">
        <f t="shared" si="151"/>
        <v>CONQUISTA INDUSTRIA DE MOVEIS S/A</v>
      </c>
      <c r="I1926">
        <f t="shared" si="152"/>
        <v>1</v>
      </c>
      <c r="J1926">
        <f t="shared" si="153"/>
        <v>0</v>
      </c>
    </row>
    <row r="1927" spans="1:10" x14ac:dyDescent="0.25">
      <c r="A1927" t="s">
        <v>314</v>
      </c>
      <c r="B1927" t="s">
        <v>108</v>
      </c>
      <c r="C1927" t="s">
        <v>56</v>
      </c>
      <c r="D1927" s="3">
        <v>45762</v>
      </c>
      <c r="E1927" t="str">
        <f>VLOOKUP(B1927,'PROCV GERENTES BD'!A:B,2,0)</f>
        <v>POENATELA</v>
      </c>
      <c r="F1927" s="4" t="str">
        <f t="shared" si="154"/>
        <v>2025-04-1</v>
      </c>
      <c r="G1927" t="str">
        <f t="shared" si="150"/>
        <v>POENATELA</v>
      </c>
      <c r="H1927" t="str">
        <f t="shared" si="151"/>
        <v>ECOPINUS INDUSTRIA E COMERCIO DE EMBALAGENS DE MAD</v>
      </c>
      <c r="I1927">
        <f t="shared" si="152"/>
        <v>0</v>
      </c>
      <c r="J1927">
        <f t="shared" si="153"/>
        <v>1</v>
      </c>
    </row>
    <row r="1928" spans="1:10" x14ac:dyDescent="0.25">
      <c r="A1928" t="s">
        <v>360</v>
      </c>
      <c r="B1928" t="s">
        <v>102</v>
      </c>
      <c r="C1928" t="s">
        <v>56</v>
      </c>
      <c r="D1928" s="3">
        <v>45762</v>
      </c>
      <c r="E1928" t="str">
        <f>VLOOKUP(B1928,'PROCV GERENTES BD'!A:B,2,0)</f>
        <v>POENATELA</v>
      </c>
      <c r="F1928" s="4" t="str">
        <f t="shared" si="154"/>
        <v>2025-04-1</v>
      </c>
      <c r="G1928" t="str">
        <f t="shared" si="150"/>
        <v>POENATELA</v>
      </c>
      <c r="H1928" t="str">
        <f t="shared" si="151"/>
        <v>SUPER HARD TECNOLOGIA EM TRATAMENTO DE SUPERFICIES</v>
      </c>
      <c r="I1928">
        <f t="shared" si="152"/>
        <v>0</v>
      </c>
      <c r="J1928">
        <f t="shared" si="153"/>
        <v>1</v>
      </c>
    </row>
    <row r="1929" spans="1:10" x14ac:dyDescent="0.25">
      <c r="A1929" t="s">
        <v>378</v>
      </c>
      <c r="B1929" t="s">
        <v>121</v>
      </c>
      <c r="C1929" t="s">
        <v>56</v>
      </c>
      <c r="D1929" s="3">
        <v>45762</v>
      </c>
      <c r="E1929" t="str">
        <f>VLOOKUP(B1929,'PROCV GERENTES BD'!A:B,2,0)</f>
        <v>POENATELA</v>
      </c>
      <c r="F1929" s="4" t="str">
        <f t="shared" si="154"/>
        <v>2025-04-1</v>
      </c>
      <c r="G1929" t="str">
        <f t="shared" si="150"/>
        <v>POENATELA</v>
      </c>
      <c r="H1929" t="str">
        <f t="shared" si="151"/>
        <v>COOPERATIVA TRANSP AUTON CARGAS PASSAG SERVICOS LO</v>
      </c>
      <c r="I1929">
        <f t="shared" si="152"/>
        <v>0</v>
      </c>
      <c r="J1929">
        <f t="shared" si="153"/>
        <v>1</v>
      </c>
    </row>
    <row r="1930" spans="1:10" x14ac:dyDescent="0.25">
      <c r="A1930" t="s">
        <v>57</v>
      </c>
      <c r="B1930" t="s">
        <v>58</v>
      </c>
      <c r="C1930" t="s">
        <v>56</v>
      </c>
      <c r="D1930" s="3">
        <v>45762</v>
      </c>
      <c r="E1930" t="str">
        <f>VLOOKUP(B1930,'PROCV GERENTES BD'!A:B,2,0)</f>
        <v>RAFAEL PARISE</v>
      </c>
      <c r="F1930" s="4" t="str">
        <f t="shared" si="154"/>
        <v>2025-04-1</v>
      </c>
      <c r="G1930" t="str">
        <f t="shared" si="150"/>
        <v>RAFAEL PARISE</v>
      </c>
      <c r="H1930" t="str">
        <f t="shared" si="151"/>
        <v>TDR TRANSPORTES LOGISTICA LTDA</v>
      </c>
      <c r="I1930">
        <f t="shared" si="152"/>
        <v>0</v>
      </c>
      <c r="J1930">
        <f t="shared" si="153"/>
        <v>1</v>
      </c>
    </row>
    <row r="1931" spans="1:10" x14ac:dyDescent="0.25">
      <c r="A1931" t="s">
        <v>462</v>
      </c>
      <c r="B1931" t="s">
        <v>218</v>
      </c>
      <c r="C1931" t="s">
        <v>72</v>
      </c>
      <c r="D1931" s="3">
        <v>45762</v>
      </c>
      <c r="E1931" t="str">
        <f>VLOOKUP(B1931,'PROCV GERENTES BD'!A:B,2,0)</f>
        <v>RAFAEL PARISE</v>
      </c>
      <c r="F1931" s="4" t="str">
        <f t="shared" si="154"/>
        <v>2025-04-1</v>
      </c>
      <c r="G1931" t="str">
        <f t="shared" si="150"/>
        <v>RAFAEL PARISE</v>
      </c>
      <c r="H1931" t="str">
        <f t="shared" si="151"/>
        <v>TREGA FILHOS EMPACOTAMENTO E DISTRIBUICAO LTDA ME</v>
      </c>
      <c r="I1931">
        <f t="shared" si="152"/>
        <v>1</v>
      </c>
      <c r="J1931">
        <f t="shared" si="153"/>
        <v>0</v>
      </c>
    </row>
    <row r="1932" spans="1:10" x14ac:dyDescent="0.25">
      <c r="A1932" t="s">
        <v>73</v>
      </c>
      <c r="B1932" t="s">
        <v>74</v>
      </c>
      <c r="C1932" t="s">
        <v>56</v>
      </c>
      <c r="D1932" s="3">
        <v>45762</v>
      </c>
      <c r="E1932" t="s">
        <v>25</v>
      </c>
      <c r="F1932" s="4" t="str">
        <f t="shared" si="154"/>
        <v>2025-04-1</v>
      </c>
      <c r="G1932" t="str">
        <f t="shared" si="150"/>
        <v xml:space="preserve">ROGERIO </v>
      </c>
      <c r="H1932" t="str">
        <f t="shared" si="151"/>
        <v>DIOTTONI INDUSTRIA E COMERCIO DE ALIMENTOS LTDA ME</v>
      </c>
      <c r="I1932">
        <f t="shared" si="152"/>
        <v>0</v>
      </c>
      <c r="J1932">
        <f t="shared" si="153"/>
        <v>1</v>
      </c>
    </row>
    <row r="1933" spans="1:10" x14ac:dyDescent="0.25">
      <c r="A1933" t="s">
        <v>492</v>
      </c>
      <c r="B1933" t="s">
        <v>252</v>
      </c>
      <c r="C1933" t="s">
        <v>56</v>
      </c>
      <c r="D1933" s="3">
        <v>45762</v>
      </c>
      <c r="E1933" t="str">
        <f>VLOOKUP(B1933,'PROCV GERENTES BD'!A:B,2,0)</f>
        <v>ADMINISTRAÇÃO</v>
      </c>
      <c r="F1933" s="4" t="str">
        <f t="shared" si="154"/>
        <v>2025-04-1</v>
      </c>
      <c r="G1933" t="str">
        <f t="shared" si="150"/>
        <v>ADMINISTRAÇÃO</v>
      </c>
      <c r="H1933" t="str">
        <f t="shared" si="151"/>
        <v>REAL FILTROS E ACESSORIOS AUTOMOTIVOS LTDA</v>
      </c>
      <c r="I1933">
        <f t="shared" si="152"/>
        <v>0</v>
      </c>
      <c r="J1933">
        <f t="shared" si="153"/>
        <v>1</v>
      </c>
    </row>
    <row r="1934" spans="1:10" x14ac:dyDescent="0.25">
      <c r="A1934" t="s">
        <v>504</v>
      </c>
      <c r="B1934" t="s">
        <v>262</v>
      </c>
      <c r="C1934" t="s">
        <v>72</v>
      </c>
      <c r="D1934" s="3">
        <v>45762</v>
      </c>
      <c r="E1934" t="str">
        <f>VLOOKUP(B1934,'PROCV GERENTES BD'!A:B,2,0)</f>
        <v>SEM GERENTE</v>
      </c>
      <c r="F1934" s="4" t="str">
        <f t="shared" si="154"/>
        <v>2025-04-1</v>
      </c>
      <c r="G1934" t="str">
        <f t="shared" si="150"/>
        <v>SEM GERENTE</v>
      </c>
      <c r="H1934" t="str">
        <f t="shared" si="151"/>
        <v>ACO COELHO INDUSTRIA E COMERCIO DE MOVEIS LTDA EPP</v>
      </c>
      <c r="I1934">
        <f t="shared" si="152"/>
        <v>1</v>
      </c>
      <c r="J1934">
        <f t="shared" si="153"/>
        <v>0</v>
      </c>
    </row>
    <row r="1935" spans="1:10" x14ac:dyDescent="0.25">
      <c r="A1935" t="s">
        <v>62</v>
      </c>
      <c r="B1935" t="s">
        <v>63</v>
      </c>
      <c r="C1935" t="s">
        <v>56</v>
      </c>
      <c r="D1935" s="3">
        <v>45762</v>
      </c>
      <c r="E1935" t="str">
        <f>VLOOKUP(B1935,'PROCV GERENTES BD'!A:B,2,0)</f>
        <v xml:space="preserve">ROGERIO </v>
      </c>
      <c r="F1935" s="4" t="str">
        <f t="shared" si="154"/>
        <v>2025-04-1</v>
      </c>
      <c r="G1935" t="str">
        <f t="shared" si="150"/>
        <v xml:space="preserve">ROGERIO </v>
      </c>
      <c r="H1935" t="str">
        <f t="shared" si="151"/>
        <v>RODOVIEIRA TRANSPORTE LTDA</v>
      </c>
      <c r="I1935">
        <f t="shared" si="152"/>
        <v>0</v>
      </c>
      <c r="J1935">
        <f t="shared" si="153"/>
        <v>1</v>
      </c>
    </row>
    <row r="1936" spans="1:10" x14ac:dyDescent="0.25">
      <c r="A1936" t="s">
        <v>505</v>
      </c>
      <c r="B1936" t="s">
        <v>264</v>
      </c>
      <c r="C1936" t="s">
        <v>56</v>
      </c>
      <c r="D1936" s="3">
        <v>45762</v>
      </c>
      <c r="E1936" t="str">
        <f>VLOOKUP(B1936,'PROCV GERENTES BD'!A:B,2,0)</f>
        <v>SEM GERENTE</v>
      </c>
      <c r="F1936" s="4" t="str">
        <f t="shared" si="154"/>
        <v>2025-04-1</v>
      </c>
      <c r="G1936" t="str">
        <f t="shared" si="150"/>
        <v>SEM GERENTE</v>
      </c>
      <c r="H1936" t="str">
        <f t="shared" si="151"/>
        <v>OLIVEIRA E SILVA COMERCIO DE MADEIRAS E EMBALAGENS</v>
      </c>
      <c r="I1936">
        <f t="shared" si="152"/>
        <v>0</v>
      </c>
      <c r="J1936">
        <f t="shared" si="153"/>
        <v>1</v>
      </c>
    </row>
    <row r="1937" spans="1:10" x14ac:dyDescent="0.25">
      <c r="A1937" t="s">
        <v>506</v>
      </c>
      <c r="B1937" t="s">
        <v>263</v>
      </c>
      <c r="C1937" t="s">
        <v>56</v>
      </c>
      <c r="D1937" s="3">
        <v>45762</v>
      </c>
      <c r="E1937" t="str">
        <f>VLOOKUP(B1937,'PROCV GERENTES BD'!A:B,2,0)</f>
        <v>CELIO PIMENTA</v>
      </c>
      <c r="F1937" s="4" t="str">
        <f t="shared" si="154"/>
        <v>2025-04-1</v>
      </c>
      <c r="G1937" t="str">
        <f t="shared" si="150"/>
        <v>CELIO PIMENTA</v>
      </c>
      <c r="H1937" t="str">
        <f t="shared" si="151"/>
        <v>SEU TRATOR LTDA EPP</v>
      </c>
      <c r="I1937">
        <f t="shared" si="152"/>
        <v>0</v>
      </c>
      <c r="J1937">
        <f t="shared" si="153"/>
        <v>1</v>
      </c>
    </row>
    <row r="1938" spans="1:10" x14ac:dyDescent="0.25">
      <c r="A1938" t="s">
        <v>363</v>
      </c>
      <c r="B1938" t="s">
        <v>106</v>
      </c>
      <c r="C1938" t="s">
        <v>56</v>
      </c>
      <c r="D1938" s="3">
        <v>45763</v>
      </c>
      <c r="E1938" t="str">
        <f>VLOOKUP(B1938,'PROCV GERENTES BD'!A:B,2,0)</f>
        <v>ADMINISTRAÇÃO</v>
      </c>
      <c r="F1938" s="4" t="str">
        <f t="shared" si="154"/>
        <v>2025-04-2</v>
      </c>
      <c r="G1938" t="str">
        <f t="shared" si="150"/>
        <v>ADMINISTRAÇÃO</v>
      </c>
      <c r="H1938" t="str">
        <f t="shared" si="151"/>
        <v>DECISION DESENVOLVIMENTO DE SISTEMAS LTDA</v>
      </c>
      <c r="I1938">
        <f t="shared" si="152"/>
        <v>0</v>
      </c>
      <c r="J1938">
        <f t="shared" si="153"/>
        <v>1</v>
      </c>
    </row>
    <row r="1939" spans="1:10" x14ac:dyDescent="0.25">
      <c r="A1939" t="s">
        <v>467</v>
      </c>
      <c r="B1939" t="s">
        <v>223</v>
      </c>
      <c r="C1939" t="s">
        <v>56</v>
      </c>
      <c r="D1939" s="3">
        <v>45763</v>
      </c>
      <c r="E1939" t="str">
        <f>VLOOKUP(B1939,'PROCV GERENTES BD'!A:B,2,0)</f>
        <v>ADMINISTRAÇÃO</v>
      </c>
      <c r="F1939" s="4" t="str">
        <f t="shared" si="154"/>
        <v>2025-04-2</v>
      </c>
      <c r="G1939" t="str">
        <f t="shared" si="150"/>
        <v>ADMINISTRAÇÃO</v>
      </c>
      <c r="H1939" t="str">
        <f t="shared" si="151"/>
        <v>JABEZ SERVICOS COMPARTILHADOS LTDA ME</v>
      </c>
      <c r="I1939">
        <f t="shared" si="152"/>
        <v>0</v>
      </c>
      <c r="J1939">
        <f t="shared" si="153"/>
        <v>1</v>
      </c>
    </row>
    <row r="1940" spans="1:10" x14ac:dyDescent="0.25">
      <c r="A1940" t="s">
        <v>457</v>
      </c>
      <c r="B1940" t="s">
        <v>213</v>
      </c>
      <c r="C1940" t="s">
        <v>72</v>
      </c>
      <c r="D1940" s="3">
        <v>45763</v>
      </c>
      <c r="E1940" t="str">
        <f>VLOOKUP(B1940,'PROCV GERENTES BD'!A:B,2,0)</f>
        <v>ANTONIO CARLOS</v>
      </c>
      <c r="F1940" s="4" t="str">
        <f t="shared" si="154"/>
        <v>2025-04-2</v>
      </c>
      <c r="G1940" t="str">
        <f t="shared" si="150"/>
        <v>ANTONIO CARLOS</v>
      </c>
      <c r="H1940" t="str">
        <f t="shared" si="151"/>
        <v>P P DISTRIBUIDORA LTDA</v>
      </c>
      <c r="I1940">
        <f t="shared" si="152"/>
        <v>1</v>
      </c>
      <c r="J1940">
        <f t="shared" si="153"/>
        <v>0</v>
      </c>
    </row>
    <row r="1941" spans="1:10" x14ac:dyDescent="0.25">
      <c r="A1941" t="s">
        <v>60</v>
      </c>
      <c r="B1941" t="s">
        <v>61</v>
      </c>
      <c r="C1941" t="s">
        <v>56</v>
      </c>
      <c r="D1941" s="3">
        <v>45763</v>
      </c>
      <c r="E1941" t="str">
        <f>VLOOKUP(B1941,'PROCV GERENTES BD'!A:B,2,0)</f>
        <v>CELIO PIMENTA</v>
      </c>
      <c r="F1941" s="4" t="str">
        <f t="shared" si="154"/>
        <v>2025-04-2</v>
      </c>
      <c r="G1941" t="str">
        <f t="shared" si="150"/>
        <v>CELIO PIMENTA</v>
      </c>
      <c r="H1941" t="str">
        <f t="shared" si="151"/>
        <v>WJ CALDEIRARIA INDUSTRIA E COMERCIO LTDA ME</v>
      </c>
      <c r="I1941">
        <f t="shared" si="152"/>
        <v>0</v>
      </c>
      <c r="J1941">
        <f t="shared" si="153"/>
        <v>1</v>
      </c>
    </row>
    <row r="1942" spans="1:10" x14ac:dyDescent="0.25">
      <c r="A1942" t="s">
        <v>468</v>
      </c>
      <c r="B1942" t="s">
        <v>224</v>
      </c>
      <c r="C1942" t="s">
        <v>56</v>
      </c>
      <c r="D1942" s="3">
        <v>45763</v>
      </c>
      <c r="E1942" t="str">
        <f>VLOOKUP(B1942,'PROCV GERENTES BD'!A:B,2,0)</f>
        <v>CELIO PIMENTA</v>
      </c>
      <c r="F1942" s="4" t="str">
        <f t="shared" si="154"/>
        <v>2025-04-2</v>
      </c>
      <c r="G1942" t="str">
        <f t="shared" si="150"/>
        <v>CELIO PIMENTA</v>
      </c>
      <c r="H1942" t="str">
        <f t="shared" si="151"/>
        <v>MINAS CLEAN DISTRIBUIDORA DE PRODUTOS PARA LIMPEZA</v>
      </c>
      <c r="I1942">
        <f t="shared" si="152"/>
        <v>0</v>
      </c>
      <c r="J1942">
        <f t="shared" si="153"/>
        <v>1</v>
      </c>
    </row>
    <row r="1943" spans="1:10" x14ac:dyDescent="0.25">
      <c r="A1943" t="s">
        <v>410</v>
      </c>
      <c r="B1943" t="s">
        <v>159</v>
      </c>
      <c r="C1943" t="s">
        <v>56</v>
      </c>
      <c r="D1943" s="3">
        <v>45763</v>
      </c>
      <c r="E1943" t="str">
        <f>VLOOKUP(B1943,'PROCV GERENTES BD'!A:B,2,0)</f>
        <v>FITZ</v>
      </c>
      <c r="F1943" s="4" t="str">
        <f t="shared" si="154"/>
        <v>2025-04-2</v>
      </c>
      <c r="G1943" t="str">
        <f t="shared" si="150"/>
        <v>FITZ</v>
      </c>
      <c r="H1943" t="str">
        <f t="shared" si="151"/>
        <v>MOINHO DE TRIGO JM LTDA</v>
      </c>
      <c r="I1943">
        <f t="shared" si="152"/>
        <v>0</v>
      </c>
      <c r="J1943">
        <f t="shared" si="153"/>
        <v>1</v>
      </c>
    </row>
    <row r="1944" spans="1:10" x14ac:dyDescent="0.25">
      <c r="A1944" t="s">
        <v>331</v>
      </c>
      <c r="B1944" t="s">
        <v>126</v>
      </c>
      <c r="C1944" t="s">
        <v>56</v>
      </c>
      <c r="D1944" s="3">
        <v>45763</v>
      </c>
      <c r="E1944" t="str">
        <f>VLOOKUP(B1944,'PROCV GERENTES BD'!A:B,2,0)</f>
        <v>FITZ</v>
      </c>
      <c r="F1944" s="4" t="str">
        <f t="shared" si="154"/>
        <v>2025-04-2</v>
      </c>
      <c r="G1944" t="str">
        <f t="shared" si="150"/>
        <v>FITZ</v>
      </c>
      <c r="H1944" t="str">
        <f t="shared" si="151"/>
        <v>TRANSHENRY TRANSPORTES LTDA</v>
      </c>
      <c r="I1944">
        <f t="shared" si="152"/>
        <v>0</v>
      </c>
      <c r="J1944">
        <f t="shared" si="153"/>
        <v>1</v>
      </c>
    </row>
    <row r="1945" spans="1:10" x14ac:dyDescent="0.25">
      <c r="A1945" t="s">
        <v>68</v>
      </c>
      <c r="B1945" t="s">
        <v>69</v>
      </c>
      <c r="C1945" t="s">
        <v>56</v>
      </c>
      <c r="D1945" s="3">
        <v>45763</v>
      </c>
      <c r="E1945" t="str">
        <f>VLOOKUP(B1945,'PROCV GERENTES BD'!A:B,2,0)</f>
        <v>FITZ</v>
      </c>
      <c r="F1945" s="4" t="str">
        <f t="shared" si="154"/>
        <v>2025-04-2</v>
      </c>
      <c r="G1945" t="str">
        <f t="shared" si="150"/>
        <v>FITZ</v>
      </c>
      <c r="H1945" t="str">
        <f t="shared" si="151"/>
        <v>MAPP COM IMPORTACAO EXPORTACAO IND PRODUTOS ALIMEN</v>
      </c>
      <c r="I1945">
        <f t="shared" si="152"/>
        <v>0</v>
      </c>
      <c r="J1945">
        <f t="shared" si="153"/>
        <v>1</v>
      </c>
    </row>
    <row r="1946" spans="1:10" x14ac:dyDescent="0.25">
      <c r="A1946" t="s">
        <v>325</v>
      </c>
      <c r="B1946" t="s">
        <v>210</v>
      </c>
      <c r="C1946" t="s">
        <v>56</v>
      </c>
      <c r="D1946" s="3">
        <v>45763</v>
      </c>
      <c r="E1946" t="str">
        <f>VLOOKUP(B1946,'PROCV GERENTES BD'!A:B,2,0)</f>
        <v>JOSE ROBERTO</v>
      </c>
      <c r="F1946" s="4" t="str">
        <f t="shared" si="154"/>
        <v>2025-04-2</v>
      </c>
      <c r="G1946" t="str">
        <f t="shared" si="150"/>
        <v>JOSE ROBERTO</v>
      </c>
      <c r="H1946" t="str">
        <f t="shared" si="151"/>
        <v>FUNDACAO DE ENSINO E PESQUISA DO SUL DE MINAS FEPE</v>
      </c>
      <c r="I1946">
        <f t="shared" si="152"/>
        <v>0</v>
      </c>
      <c r="J1946">
        <f t="shared" si="153"/>
        <v>1</v>
      </c>
    </row>
    <row r="1947" spans="1:10" x14ac:dyDescent="0.25">
      <c r="A1947" t="s">
        <v>317</v>
      </c>
      <c r="B1947" t="s">
        <v>211</v>
      </c>
      <c r="C1947" t="s">
        <v>56</v>
      </c>
      <c r="D1947" s="3">
        <v>45763</v>
      </c>
      <c r="E1947" t="str">
        <f>VLOOKUP(B1947,'PROCV GERENTES BD'!A:B,2,0)</f>
        <v xml:space="preserve">MARCUS VINICIUS </v>
      </c>
      <c r="F1947" s="4" t="str">
        <f t="shared" si="154"/>
        <v>2025-04-2</v>
      </c>
      <c r="G1947" t="str">
        <f t="shared" si="150"/>
        <v xml:space="preserve">MARCUS VINICIUS </v>
      </c>
      <c r="H1947" t="str">
        <f t="shared" si="151"/>
        <v>INDUSTRIA E COMERCIO DE CHURRASQUEIRAS BOM JESUS L</v>
      </c>
      <c r="I1947">
        <f t="shared" si="152"/>
        <v>0</v>
      </c>
      <c r="J1947">
        <f t="shared" si="153"/>
        <v>1</v>
      </c>
    </row>
    <row r="1948" spans="1:10" x14ac:dyDescent="0.25">
      <c r="A1948" t="s">
        <v>377</v>
      </c>
      <c r="B1948" t="s">
        <v>120</v>
      </c>
      <c r="C1948" t="s">
        <v>56</v>
      </c>
      <c r="D1948" s="3">
        <v>45763</v>
      </c>
      <c r="E1948" t="str">
        <f>VLOOKUP(B1948,'PROCV GERENTES BD'!A:B,2,0)</f>
        <v xml:space="preserve">MARCUS VINICIUS </v>
      </c>
      <c r="F1948" s="4" t="str">
        <f t="shared" si="154"/>
        <v>2025-04-2</v>
      </c>
      <c r="G1948" t="str">
        <f t="shared" si="150"/>
        <v xml:space="preserve">MARCUS VINICIUS </v>
      </c>
      <c r="H1948" t="str">
        <f t="shared" si="151"/>
        <v>ISOBASE POLIESTIRENO LTDA EPP</v>
      </c>
      <c r="I1948">
        <f t="shared" si="152"/>
        <v>0</v>
      </c>
      <c r="J1948">
        <f t="shared" si="153"/>
        <v>1</v>
      </c>
    </row>
    <row r="1949" spans="1:10" x14ac:dyDescent="0.25">
      <c r="A1949" t="s">
        <v>312</v>
      </c>
      <c r="B1949" t="s">
        <v>148</v>
      </c>
      <c r="C1949" t="s">
        <v>72</v>
      </c>
      <c r="D1949" s="3">
        <v>45763</v>
      </c>
      <c r="E1949" t="str">
        <f>VLOOKUP(B1949,'PROCV GERENTES BD'!A:B,2,0)</f>
        <v>NOELI SALETE</v>
      </c>
      <c r="F1949" s="4" t="str">
        <f t="shared" si="154"/>
        <v>2025-04-2</v>
      </c>
      <c r="G1949" t="str">
        <f t="shared" si="150"/>
        <v>NOELI SALETE</v>
      </c>
      <c r="H1949" t="str">
        <f t="shared" si="151"/>
        <v>JMS EMBALAGENS INDUSTRIAIS LTDA</v>
      </c>
      <c r="I1949">
        <f t="shared" si="152"/>
        <v>1</v>
      </c>
      <c r="J1949">
        <f t="shared" si="153"/>
        <v>0</v>
      </c>
    </row>
    <row r="1950" spans="1:10" x14ac:dyDescent="0.25">
      <c r="A1950" t="s">
        <v>78</v>
      </c>
      <c r="B1950" t="s">
        <v>79</v>
      </c>
      <c r="C1950" t="s">
        <v>56</v>
      </c>
      <c r="D1950" s="3">
        <v>45763</v>
      </c>
      <c r="E1950" t="str">
        <f>VLOOKUP(B1950,'PROCV GERENTES BD'!A:B,2,0)</f>
        <v>NOELI SALETE</v>
      </c>
      <c r="F1950" s="4" t="str">
        <f t="shared" si="154"/>
        <v>2025-04-2</v>
      </c>
      <c r="G1950" t="str">
        <f t="shared" si="150"/>
        <v>NOELI SALETE</v>
      </c>
      <c r="H1950" t="str">
        <f t="shared" si="151"/>
        <v>SMARTCENTER SOLUCOES INTELIGENTES LTDA ME</v>
      </c>
      <c r="I1950">
        <f t="shared" si="152"/>
        <v>0</v>
      </c>
      <c r="J1950">
        <f t="shared" si="153"/>
        <v>1</v>
      </c>
    </row>
    <row r="1951" spans="1:10" x14ac:dyDescent="0.25">
      <c r="A1951" t="s">
        <v>408</v>
      </c>
      <c r="B1951" t="s">
        <v>157</v>
      </c>
      <c r="C1951" t="s">
        <v>56</v>
      </c>
      <c r="D1951" s="3">
        <v>45763</v>
      </c>
      <c r="E1951" t="str">
        <f>VLOOKUP(B1951,'PROCV GERENTES BD'!A:B,2,0)</f>
        <v>NOELI SALETE</v>
      </c>
      <c r="F1951" s="4" t="str">
        <f t="shared" si="154"/>
        <v>2025-04-2</v>
      </c>
      <c r="G1951" t="str">
        <f t="shared" si="150"/>
        <v>NOELI SALETE</v>
      </c>
      <c r="H1951" t="str">
        <f t="shared" si="151"/>
        <v>POOLMAK SISTEMAS ESTRUTURAIS LTDA</v>
      </c>
      <c r="I1951">
        <f t="shared" si="152"/>
        <v>0</v>
      </c>
      <c r="J1951">
        <f t="shared" si="153"/>
        <v>1</v>
      </c>
    </row>
    <row r="1952" spans="1:10" x14ac:dyDescent="0.25">
      <c r="A1952" t="s">
        <v>402</v>
      </c>
      <c r="B1952" t="s">
        <v>150</v>
      </c>
      <c r="C1952" t="s">
        <v>56</v>
      </c>
      <c r="D1952" s="3">
        <v>45763</v>
      </c>
      <c r="E1952" t="str">
        <f>VLOOKUP(B1952,'PROCV GERENTES BD'!A:B,2,0)</f>
        <v>NOELI SALETE</v>
      </c>
      <c r="F1952" s="4" t="str">
        <f t="shared" si="154"/>
        <v>2025-04-2</v>
      </c>
      <c r="G1952" t="str">
        <f t="shared" si="150"/>
        <v>NOELI SALETE</v>
      </c>
      <c r="H1952" t="str">
        <f t="shared" si="151"/>
        <v>ALBERTO H DA SILVA ME</v>
      </c>
      <c r="I1952">
        <f t="shared" si="152"/>
        <v>0</v>
      </c>
      <c r="J1952">
        <f t="shared" si="153"/>
        <v>1</v>
      </c>
    </row>
    <row r="1953" spans="1:10" x14ac:dyDescent="0.25">
      <c r="A1953" t="s">
        <v>483</v>
      </c>
      <c r="B1953" t="s">
        <v>239</v>
      </c>
      <c r="C1953" t="s">
        <v>72</v>
      </c>
      <c r="D1953" s="3">
        <v>45763</v>
      </c>
      <c r="E1953" t="str">
        <f>VLOOKUP(B1953,'PROCV GERENTES BD'!A:B,2,0)</f>
        <v>POENATELA</v>
      </c>
      <c r="F1953" s="4" t="str">
        <f t="shared" si="154"/>
        <v>2025-04-2</v>
      </c>
      <c r="G1953" t="str">
        <f t="shared" si="150"/>
        <v>POENATELA</v>
      </c>
      <c r="H1953" t="str">
        <f t="shared" si="151"/>
        <v>JUATUBA MOVEIS E EMBALAGENS LTDA</v>
      </c>
      <c r="I1953">
        <f t="shared" si="152"/>
        <v>1</v>
      </c>
      <c r="J1953">
        <f t="shared" si="153"/>
        <v>0</v>
      </c>
    </row>
    <row r="1954" spans="1:10" x14ac:dyDescent="0.25">
      <c r="A1954" t="s">
        <v>490</v>
      </c>
      <c r="B1954" t="s">
        <v>246</v>
      </c>
      <c r="C1954" t="s">
        <v>56</v>
      </c>
      <c r="D1954" s="3">
        <v>45763</v>
      </c>
      <c r="E1954" t="str">
        <f>VLOOKUP(B1954,'PROCV GERENTES BD'!A:B,2,0)</f>
        <v>RAFAEL PARISE</v>
      </c>
      <c r="F1954" s="4" t="str">
        <f t="shared" si="154"/>
        <v>2025-04-2</v>
      </c>
      <c r="G1954" t="str">
        <f t="shared" si="150"/>
        <v>RAFAEL PARISE</v>
      </c>
      <c r="H1954" t="str">
        <f t="shared" si="151"/>
        <v>RENOVAR AGRICOLA LTDA</v>
      </c>
      <c r="I1954">
        <f t="shared" si="152"/>
        <v>0</v>
      </c>
      <c r="J1954">
        <f t="shared" si="153"/>
        <v>1</v>
      </c>
    </row>
    <row r="1955" spans="1:10" x14ac:dyDescent="0.25">
      <c r="A1955" t="s">
        <v>395</v>
      </c>
      <c r="B1955" t="s">
        <v>141</v>
      </c>
      <c r="C1955" t="s">
        <v>72</v>
      </c>
      <c r="D1955" s="3">
        <v>45763</v>
      </c>
      <c r="E1955" t="str">
        <f>VLOOKUP(B1955,'PROCV GERENTES BD'!A:B,2,0)</f>
        <v>RAFAEL PARISE</v>
      </c>
      <c r="F1955" s="4" t="str">
        <f t="shared" si="154"/>
        <v>2025-04-2</v>
      </c>
      <c r="G1955" t="str">
        <f t="shared" si="150"/>
        <v>RAFAEL PARISE</v>
      </c>
      <c r="H1955" t="str">
        <f t="shared" si="151"/>
        <v>MAIS DISTRIBUIDORA LTDA</v>
      </c>
      <c r="I1955">
        <f t="shared" si="152"/>
        <v>1</v>
      </c>
      <c r="J1955">
        <f t="shared" si="153"/>
        <v>0</v>
      </c>
    </row>
    <row r="1956" spans="1:10" x14ac:dyDescent="0.25">
      <c r="A1956" t="s">
        <v>452</v>
      </c>
      <c r="B1956" t="s">
        <v>202</v>
      </c>
      <c r="C1956" t="s">
        <v>56</v>
      </c>
      <c r="D1956" s="3">
        <v>45763</v>
      </c>
      <c r="E1956" t="str">
        <f>VLOOKUP(B1956,'PROCV GERENTES BD'!A:B,2,0)</f>
        <v>RAFAEL PARISE</v>
      </c>
      <c r="F1956" s="4" t="str">
        <f t="shared" si="154"/>
        <v>2025-04-2</v>
      </c>
      <c r="G1956" t="str">
        <f t="shared" si="150"/>
        <v>RAFAEL PARISE</v>
      </c>
      <c r="H1956" t="str">
        <f t="shared" si="151"/>
        <v>GEDIBOR RUBBER POLYURETHANE LTDA EPP</v>
      </c>
      <c r="I1956">
        <f t="shared" si="152"/>
        <v>0</v>
      </c>
      <c r="J1956">
        <f t="shared" si="153"/>
        <v>1</v>
      </c>
    </row>
    <row r="1957" spans="1:10" x14ac:dyDescent="0.25">
      <c r="A1957" t="s">
        <v>462</v>
      </c>
      <c r="B1957" t="s">
        <v>218</v>
      </c>
      <c r="C1957" t="s">
        <v>56</v>
      </c>
      <c r="D1957" s="3">
        <v>45763</v>
      </c>
      <c r="E1957" t="str">
        <f>VLOOKUP(B1957,'PROCV GERENTES BD'!A:B,2,0)</f>
        <v>RAFAEL PARISE</v>
      </c>
      <c r="F1957" s="4" t="str">
        <f t="shared" si="154"/>
        <v>2025-04-2</v>
      </c>
      <c r="G1957" t="str">
        <f t="shared" si="150"/>
        <v>RAFAEL PARISE</v>
      </c>
      <c r="H1957" t="str">
        <f t="shared" si="151"/>
        <v>TREGA FILHOS EMPACOTAMENTO E DISTRIBUICAO LTDA ME</v>
      </c>
      <c r="I1957">
        <f t="shared" si="152"/>
        <v>0</v>
      </c>
      <c r="J1957">
        <f t="shared" si="153"/>
        <v>1</v>
      </c>
    </row>
    <row r="1958" spans="1:10" x14ac:dyDescent="0.25">
      <c r="A1958" t="s">
        <v>492</v>
      </c>
      <c r="B1958" t="s">
        <v>252</v>
      </c>
      <c r="C1958" t="s">
        <v>72</v>
      </c>
      <c r="D1958" s="3">
        <v>45763</v>
      </c>
      <c r="E1958" t="str">
        <f>VLOOKUP(B1958,'PROCV GERENTES BD'!A:B,2,0)</f>
        <v>ADMINISTRAÇÃO</v>
      </c>
      <c r="F1958" s="4" t="str">
        <f t="shared" si="154"/>
        <v>2025-04-2</v>
      </c>
      <c r="G1958" t="str">
        <f t="shared" si="150"/>
        <v>ADMINISTRAÇÃO</v>
      </c>
      <c r="H1958" t="str">
        <f t="shared" si="151"/>
        <v>REAL FILTROS E ACESSORIOS AUTOMOTIVOS LTDA</v>
      </c>
      <c r="I1958">
        <f t="shared" si="152"/>
        <v>1</v>
      </c>
      <c r="J1958">
        <f t="shared" si="153"/>
        <v>0</v>
      </c>
    </row>
    <row r="1959" spans="1:10" x14ac:dyDescent="0.25">
      <c r="A1959" t="s">
        <v>62</v>
      </c>
      <c r="B1959" t="s">
        <v>63</v>
      </c>
      <c r="C1959" t="s">
        <v>59</v>
      </c>
      <c r="D1959" s="3">
        <v>45763</v>
      </c>
      <c r="E1959" t="str">
        <f>VLOOKUP(B1959,'PROCV GERENTES BD'!A:B,2,0)</f>
        <v xml:space="preserve">ROGERIO </v>
      </c>
      <c r="F1959" s="4" t="str">
        <f t="shared" si="154"/>
        <v>2025-04-2</v>
      </c>
      <c r="G1959" t="str">
        <f t="shared" si="150"/>
        <v xml:space="preserve">ROGERIO </v>
      </c>
      <c r="H1959" t="str">
        <f t="shared" si="151"/>
        <v>RODOVIEIRA TRANSPORTE LTDA</v>
      </c>
      <c r="I1959">
        <f t="shared" si="152"/>
        <v>0</v>
      </c>
      <c r="J1959">
        <f t="shared" si="153"/>
        <v>0</v>
      </c>
    </row>
    <row r="1960" spans="1:10" x14ac:dyDescent="0.25">
      <c r="A1960" t="s">
        <v>507</v>
      </c>
      <c r="B1960" t="s">
        <v>265</v>
      </c>
      <c r="C1960" t="s">
        <v>72</v>
      </c>
      <c r="D1960" s="3">
        <v>45763</v>
      </c>
      <c r="E1960" t="str">
        <f>VLOOKUP(B1960,'PROCV GERENTES BD'!A:B,2,0)</f>
        <v>SEM GERENTE</v>
      </c>
      <c r="F1960" s="4" t="str">
        <f t="shared" si="154"/>
        <v>2025-04-2</v>
      </c>
      <c r="G1960" t="str">
        <f t="shared" si="150"/>
        <v>SEM GERENTE</v>
      </c>
      <c r="H1960" t="str">
        <f t="shared" si="151"/>
        <v>PLATINUM INDUSTRIA DE CONFECCOES LTDA</v>
      </c>
      <c r="I1960">
        <f t="shared" si="152"/>
        <v>1</v>
      </c>
      <c r="J1960">
        <f t="shared" si="153"/>
        <v>0</v>
      </c>
    </row>
    <row r="1961" spans="1:10" x14ac:dyDescent="0.25">
      <c r="A1961" t="s">
        <v>70</v>
      </c>
      <c r="B1961" t="s">
        <v>71</v>
      </c>
      <c r="C1961" t="s">
        <v>56</v>
      </c>
      <c r="D1961" s="3">
        <v>45763</v>
      </c>
      <c r="E1961" t="str">
        <f>VLOOKUP(B1961,'PROCV GERENTES BD'!A:B,2,0)</f>
        <v>SEM GERENTE</v>
      </c>
      <c r="F1961" s="4" t="str">
        <f t="shared" si="154"/>
        <v>2025-04-2</v>
      </c>
      <c r="G1961" t="str">
        <f t="shared" si="150"/>
        <v>SEM GERENTE</v>
      </c>
      <c r="H1961" t="str">
        <f t="shared" si="151"/>
        <v>SOCIAL S/A</v>
      </c>
      <c r="I1961">
        <f t="shared" si="152"/>
        <v>0</v>
      </c>
      <c r="J1961">
        <f t="shared" si="153"/>
        <v>1</v>
      </c>
    </row>
    <row r="1962" spans="1:10" x14ac:dyDescent="0.25">
      <c r="A1962" t="s">
        <v>321</v>
      </c>
      <c r="B1962" t="s">
        <v>253</v>
      </c>
      <c r="C1962" t="s">
        <v>59</v>
      </c>
      <c r="D1962" s="3">
        <v>45763</v>
      </c>
      <c r="E1962" t="str">
        <f>VLOOKUP(B1962,'PROCV GERENTES BD'!A:B,2,0)</f>
        <v>THAYNA/COMERCIAL</v>
      </c>
      <c r="F1962" s="4" t="str">
        <f t="shared" si="154"/>
        <v>2025-04-2</v>
      </c>
      <c r="G1962" t="str">
        <f t="shared" si="150"/>
        <v>THAYNA/COMERCIAL</v>
      </c>
      <c r="H1962" t="str">
        <f t="shared" si="151"/>
        <v>MUTCD CENTRO DE DISTRIBUICAO DE IND FABRICANTE DE</v>
      </c>
      <c r="I1962">
        <f t="shared" si="152"/>
        <v>0</v>
      </c>
      <c r="J1962">
        <f t="shared" si="153"/>
        <v>0</v>
      </c>
    </row>
    <row r="1963" spans="1:10" x14ac:dyDescent="0.25">
      <c r="A1963" t="s">
        <v>311</v>
      </c>
      <c r="B1963" t="s">
        <v>130</v>
      </c>
      <c r="C1963" t="s">
        <v>72</v>
      </c>
      <c r="D1963" s="3">
        <v>45764</v>
      </c>
      <c r="E1963" t="str">
        <f>VLOOKUP(B1963,'PROCV GERENTES BD'!A:B,2,0)</f>
        <v>ANTONIO CARLOS</v>
      </c>
      <c r="F1963" s="4" t="str">
        <f t="shared" si="154"/>
        <v>2025-04-2</v>
      </c>
      <c r="G1963" t="str">
        <f t="shared" si="150"/>
        <v>ANTONIO CARLOS</v>
      </c>
      <c r="H1963" t="str">
        <f t="shared" si="151"/>
        <v>VIC LOGISTICA LTDA EM RECUPERACAO JUDICIAL</v>
      </c>
      <c r="I1963">
        <f t="shared" si="152"/>
        <v>1</v>
      </c>
      <c r="J1963">
        <f t="shared" si="153"/>
        <v>0</v>
      </c>
    </row>
    <row r="1964" spans="1:10" x14ac:dyDescent="0.25">
      <c r="A1964" t="s">
        <v>474</v>
      </c>
      <c r="B1964" t="s">
        <v>230</v>
      </c>
      <c r="C1964" t="s">
        <v>72</v>
      </c>
      <c r="D1964" s="3">
        <v>45764</v>
      </c>
      <c r="E1964" t="str">
        <f>VLOOKUP(B1964,'PROCV GERENTES BD'!A:B,2,0)</f>
        <v>CELIO PIMENTA</v>
      </c>
      <c r="F1964" s="4" t="str">
        <f t="shared" si="154"/>
        <v>2025-04-2</v>
      </c>
      <c r="G1964" t="str">
        <f t="shared" si="150"/>
        <v>CELIO PIMENTA</v>
      </c>
      <c r="H1964" t="str">
        <f t="shared" si="151"/>
        <v>ACO X LTDA ME</v>
      </c>
      <c r="I1964">
        <f t="shared" si="152"/>
        <v>1</v>
      </c>
      <c r="J1964">
        <f t="shared" si="153"/>
        <v>0</v>
      </c>
    </row>
    <row r="1965" spans="1:10" x14ac:dyDescent="0.25">
      <c r="A1965" t="s">
        <v>391</v>
      </c>
      <c r="B1965" t="s">
        <v>137</v>
      </c>
      <c r="C1965" t="s">
        <v>59</v>
      </c>
      <c r="D1965" s="3">
        <v>45764</v>
      </c>
      <c r="E1965" t="str">
        <f>VLOOKUP(B1965,'PROCV GERENTES BD'!A:B,2,0)</f>
        <v>CELIO PIMENTA</v>
      </c>
      <c r="F1965" s="4" t="str">
        <f t="shared" si="154"/>
        <v>2025-04-2</v>
      </c>
      <c r="G1965" t="str">
        <f t="shared" si="150"/>
        <v>CELIO PIMENTA</v>
      </c>
      <c r="H1965" t="str">
        <f t="shared" si="151"/>
        <v>JR X IMPORT LTDA EPP</v>
      </c>
      <c r="I1965">
        <f t="shared" si="152"/>
        <v>0</v>
      </c>
      <c r="J1965">
        <f t="shared" si="153"/>
        <v>0</v>
      </c>
    </row>
    <row r="1966" spans="1:10" x14ac:dyDescent="0.25">
      <c r="A1966" t="s">
        <v>458</v>
      </c>
      <c r="B1966" t="s">
        <v>214</v>
      </c>
      <c r="C1966" t="s">
        <v>56</v>
      </c>
      <c r="D1966" s="3">
        <v>45764</v>
      </c>
      <c r="E1966" t="str">
        <f>VLOOKUP(B1966,'PROCV GERENTES BD'!A:B,2,0)</f>
        <v>CELIO PIMENTA</v>
      </c>
      <c r="F1966" s="4" t="str">
        <f t="shared" si="154"/>
        <v>2025-04-2</v>
      </c>
      <c r="G1966" t="str">
        <f t="shared" si="150"/>
        <v>CELIO PIMENTA</v>
      </c>
      <c r="H1966" t="str">
        <f t="shared" si="151"/>
        <v>LIDER COMERCIO DE UNIFORMES E EPI S LTDA ME</v>
      </c>
      <c r="I1966">
        <f t="shared" si="152"/>
        <v>0</v>
      </c>
      <c r="J1966">
        <f t="shared" si="153"/>
        <v>1</v>
      </c>
    </row>
    <row r="1967" spans="1:10" x14ac:dyDescent="0.25">
      <c r="A1967" t="s">
        <v>331</v>
      </c>
      <c r="B1967" t="s">
        <v>126</v>
      </c>
      <c r="C1967" t="s">
        <v>72</v>
      </c>
      <c r="D1967" s="3">
        <v>45764</v>
      </c>
      <c r="E1967" t="str">
        <f>VLOOKUP(B1967,'PROCV GERENTES BD'!A:B,2,0)</f>
        <v>FITZ</v>
      </c>
      <c r="F1967" s="4" t="str">
        <f t="shared" si="154"/>
        <v>2025-04-2</v>
      </c>
      <c r="G1967" t="str">
        <f t="shared" si="150"/>
        <v>FITZ</v>
      </c>
      <c r="H1967" t="str">
        <f t="shared" si="151"/>
        <v>TRANSHENRY TRANSPORTES LTDA</v>
      </c>
      <c r="I1967">
        <f t="shared" si="152"/>
        <v>1</v>
      </c>
      <c r="J1967">
        <f t="shared" si="153"/>
        <v>0</v>
      </c>
    </row>
    <row r="1968" spans="1:10" x14ac:dyDescent="0.25">
      <c r="A1968" t="s">
        <v>367</v>
      </c>
      <c r="B1968" t="s">
        <v>112</v>
      </c>
      <c r="C1968" t="s">
        <v>72</v>
      </c>
      <c r="D1968" s="3">
        <v>45764</v>
      </c>
      <c r="E1968" t="str">
        <f>VLOOKUP(B1968,'PROCV GERENTES BD'!A:B,2,0)</f>
        <v>FITZ</v>
      </c>
      <c r="F1968" s="4" t="str">
        <f t="shared" si="154"/>
        <v>2025-04-2</v>
      </c>
      <c r="G1968" t="str">
        <f t="shared" si="150"/>
        <v>FITZ</v>
      </c>
      <c r="H1968" t="str">
        <f t="shared" si="151"/>
        <v>ALEXANDRE ROSA VICENTE E SERVICOS LTDA ME</v>
      </c>
      <c r="I1968">
        <f t="shared" si="152"/>
        <v>1</v>
      </c>
      <c r="J1968">
        <f t="shared" si="153"/>
        <v>0</v>
      </c>
    </row>
    <row r="1969" spans="1:10" x14ac:dyDescent="0.25">
      <c r="A1969" t="s">
        <v>420</v>
      </c>
      <c r="B1969" t="s">
        <v>169</v>
      </c>
      <c r="C1969" t="s">
        <v>56</v>
      </c>
      <c r="D1969" s="3">
        <v>45764</v>
      </c>
      <c r="E1969" t="str">
        <f>VLOOKUP(B1969,'PROCV GERENTES BD'!A:B,2,0)</f>
        <v>FITZ</v>
      </c>
      <c r="F1969" s="4" t="str">
        <f t="shared" si="154"/>
        <v>2025-04-2</v>
      </c>
      <c r="G1969" t="str">
        <f t="shared" si="150"/>
        <v>FITZ</v>
      </c>
      <c r="H1969" t="str">
        <f t="shared" si="151"/>
        <v>MORIA PRESTACAO DE SERVICOS LTDA ME</v>
      </c>
      <c r="I1969">
        <f t="shared" si="152"/>
        <v>0</v>
      </c>
      <c r="J1969">
        <f t="shared" si="153"/>
        <v>1</v>
      </c>
    </row>
    <row r="1970" spans="1:10" x14ac:dyDescent="0.25">
      <c r="A1970" t="s">
        <v>68</v>
      </c>
      <c r="B1970" t="s">
        <v>69</v>
      </c>
      <c r="C1970" t="s">
        <v>56</v>
      </c>
      <c r="D1970" s="3">
        <v>45764</v>
      </c>
      <c r="E1970" t="str">
        <f>VLOOKUP(B1970,'PROCV GERENTES BD'!A:B,2,0)</f>
        <v>FITZ</v>
      </c>
      <c r="F1970" s="4" t="str">
        <f t="shared" si="154"/>
        <v>2025-04-2</v>
      </c>
      <c r="G1970" t="str">
        <f t="shared" si="150"/>
        <v>FITZ</v>
      </c>
      <c r="H1970" t="str">
        <f t="shared" si="151"/>
        <v>MAPP COM IMPORTACAO EXPORTACAO IND PRODUTOS ALIMEN</v>
      </c>
      <c r="I1970">
        <f t="shared" si="152"/>
        <v>0</v>
      </c>
      <c r="J1970">
        <f t="shared" si="153"/>
        <v>1</v>
      </c>
    </row>
    <row r="1971" spans="1:10" x14ac:dyDescent="0.25">
      <c r="A1971" t="s">
        <v>317</v>
      </c>
      <c r="B1971" t="s">
        <v>211</v>
      </c>
      <c r="C1971" t="s">
        <v>56</v>
      </c>
      <c r="D1971" s="3">
        <v>45764</v>
      </c>
      <c r="E1971" t="str">
        <f>VLOOKUP(B1971,'PROCV GERENTES BD'!A:B,2,0)</f>
        <v xml:space="preserve">MARCUS VINICIUS </v>
      </c>
      <c r="F1971" s="4" t="str">
        <f t="shared" si="154"/>
        <v>2025-04-2</v>
      </c>
      <c r="G1971" t="str">
        <f t="shared" si="150"/>
        <v xml:space="preserve">MARCUS VINICIUS </v>
      </c>
      <c r="H1971" t="str">
        <f t="shared" si="151"/>
        <v>INDUSTRIA E COMERCIO DE CHURRASQUEIRAS BOM JESUS L</v>
      </c>
      <c r="I1971">
        <f t="shared" si="152"/>
        <v>0</v>
      </c>
      <c r="J1971">
        <f t="shared" si="153"/>
        <v>1</v>
      </c>
    </row>
    <row r="1972" spans="1:10" x14ac:dyDescent="0.25">
      <c r="A1972" t="s">
        <v>383</v>
      </c>
      <c r="B1972" t="s">
        <v>127</v>
      </c>
      <c r="C1972" t="s">
        <v>72</v>
      </c>
      <c r="D1972" s="3">
        <v>45764</v>
      </c>
      <c r="E1972" t="str">
        <f>VLOOKUP(B1972,'PROCV GERENTES BD'!A:B,2,0)</f>
        <v>NATALIA NUBIA</v>
      </c>
      <c r="F1972" s="4" t="str">
        <f t="shared" si="154"/>
        <v>2025-04-2</v>
      </c>
      <c r="G1972" t="str">
        <f t="shared" si="150"/>
        <v>NATALIA NUBIA</v>
      </c>
      <c r="H1972" t="str">
        <f t="shared" si="151"/>
        <v>FARINELLI NUTRIMENTOS LTDA</v>
      </c>
      <c r="I1972">
        <f t="shared" si="152"/>
        <v>1</v>
      </c>
      <c r="J1972">
        <f t="shared" si="153"/>
        <v>0</v>
      </c>
    </row>
    <row r="1973" spans="1:10" x14ac:dyDescent="0.25">
      <c r="A1973" t="s">
        <v>446</v>
      </c>
      <c r="B1973" t="s">
        <v>196</v>
      </c>
      <c r="C1973" t="s">
        <v>56</v>
      </c>
      <c r="D1973" s="3">
        <v>45764</v>
      </c>
      <c r="E1973" t="str">
        <f>VLOOKUP(B1973,'PROCV GERENTES BD'!A:B,2,0)</f>
        <v>NOELI SALETE</v>
      </c>
      <c r="F1973" s="4" t="str">
        <f t="shared" si="154"/>
        <v>2025-04-2</v>
      </c>
      <c r="G1973" t="str">
        <f t="shared" si="150"/>
        <v>NOELI SALETE</v>
      </c>
      <c r="H1973" t="str">
        <f t="shared" si="151"/>
        <v>AGRO INDUSTRIAL LAZZERI LTDA</v>
      </c>
      <c r="I1973">
        <f t="shared" si="152"/>
        <v>0</v>
      </c>
      <c r="J1973">
        <f t="shared" si="153"/>
        <v>1</v>
      </c>
    </row>
    <row r="1974" spans="1:10" x14ac:dyDescent="0.25">
      <c r="A1974" t="s">
        <v>415</v>
      </c>
      <c r="B1974" t="s">
        <v>164</v>
      </c>
      <c r="C1974" t="s">
        <v>56</v>
      </c>
      <c r="D1974" s="3">
        <v>45764</v>
      </c>
      <c r="E1974" t="str">
        <f>VLOOKUP(B1974,'PROCV GERENTES BD'!A:B,2,0)</f>
        <v>NOELI SALETE</v>
      </c>
      <c r="F1974" s="4" t="str">
        <f t="shared" si="154"/>
        <v>2025-04-2</v>
      </c>
      <c r="G1974" t="str">
        <f t="shared" si="150"/>
        <v>NOELI SALETE</v>
      </c>
      <c r="H1974" t="str">
        <f t="shared" si="151"/>
        <v>SGAMAQ INOVACAO AGROINDUSTRIAL LTDA</v>
      </c>
      <c r="I1974">
        <f t="shared" si="152"/>
        <v>0</v>
      </c>
      <c r="J1974">
        <f t="shared" si="153"/>
        <v>1</v>
      </c>
    </row>
    <row r="1975" spans="1:10" x14ac:dyDescent="0.25">
      <c r="A1975" t="s">
        <v>397</v>
      </c>
      <c r="B1975" t="s">
        <v>143</v>
      </c>
      <c r="C1975" t="s">
        <v>72</v>
      </c>
      <c r="D1975" s="3">
        <v>45764</v>
      </c>
      <c r="E1975" t="str">
        <f>VLOOKUP(B1975,'PROCV GERENTES BD'!A:B,2,0)</f>
        <v>POENATELA</v>
      </c>
      <c r="F1975" s="4" t="str">
        <f t="shared" si="154"/>
        <v>2025-04-2</v>
      </c>
      <c r="G1975" t="str">
        <f t="shared" si="150"/>
        <v>POENATELA</v>
      </c>
      <c r="H1975" t="str">
        <f t="shared" si="151"/>
        <v>CONQUISTA INDUSTRIA DE MOVEIS S/A</v>
      </c>
      <c r="I1975">
        <f t="shared" si="152"/>
        <v>1</v>
      </c>
      <c r="J1975">
        <f t="shared" si="153"/>
        <v>0</v>
      </c>
    </row>
    <row r="1976" spans="1:10" x14ac:dyDescent="0.25">
      <c r="A1976" t="s">
        <v>314</v>
      </c>
      <c r="B1976" t="s">
        <v>108</v>
      </c>
      <c r="C1976" t="s">
        <v>72</v>
      </c>
      <c r="D1976" s="3">
        <v>45764</v>
      </c>
      <c r="E1976" t="str">
        <f>VLOOKUP(B1976,'PROCV GERENTES BD'!A:B,2,0)</f>
        <v>POENATELA</v>
      </c>
      <c r="F1976" s="4" t="str">
        <f t="shared" si="154"/>
        <v>2025-04-2</v>
      </c>
      <c r="G1976" t="str">
        <f t="shared" si="150"/>
        <v>POENATELA</v>
      </c>
      <c r="H1976" t="str">
        <f t="shared" si="151"/>
        <v>ECOPINUS INDUSTRIA E COMERCIO DE EMBALAGENS DE MAD</v>
      </c>
      <c r="I1976">
        <f t="shared" si="152"/>
        <v>1</v>
      </c>
      <c r="J1976">
        <f t="shared" si="153"/>
        <v>0</v>
      </c>
    </row>
    <row r="1977" spans="1:10" x14ac:dyDescent="0.25">
      <c r="A1977" t="s">
        <v>360</v>
      </c>
      <c r="B1977" t="s">
        <v>102</v>
      </c>
      <c r="C1977" t="s">
        <v>72</v>
      </c>
      <c r="D1977" s="3">
        <v>45764</v>
      </c>
      <c r="E1977" t="str">
        <f>VLOOKUP(B1977,'PROCV GERENTES BD'!A:B,2,0)</f>
        <v>POENATELA</v>
      </c>
      <c r="F1977" s="4" t="str">
        <f t="shared" si="154"/>
        <v>2025-04-2</v>
      </c>
      <c r="G1977" t="str">
        <f t="shared" si="150"/>
        <v>POENATELA</v>
      </c>
      <c r="H1977" t="str">
        <f t="shared" si="151"/>
        <v>SUPER HARD TECNOLOGIA EM TRATAMENTO DE SUPERFICIES</v>
      </c>
      <c r="I1977">
        <f t="shared" si="152"/>
        <v>1</v>
      </c>
      <c r="J1977">
        <f t="shared" si="153"/>
        <v>0</v>
      </c>
    </row>
    <row r="1978" spans="1:10" x14ac:dyDescent="0.25">
      <c r="A1978" t="s">
        <v>483</v>
      </c>
      <c r="B1978" t="s">
        <v>239</v>
      </c>
      <c r="C1978" t="s">
        <v>72</v>
      </c>
      <c r="D1978" s="3">
        <v>45764</v>
      </c>
      <c r="E1978" t="str">
        <f>VLOOKUP(B1978,'PROCV GERENTES BD'!A:B,2,0)</f>
        <v>POENATELA</v>
      </c>
      <c r="F1978" s="4" t="str">
        <f t="shared" si="154"/>
        <v>2025-04-2</v>
      </c>
      <c r="G1978" t="str">
        <f t="shared" si="150"/>
        <v>POENATELA</v>
      </c>
      <c r="H1978" t="str">
        <f t="shared" si="151"/>
        <v>JUATUBA MOVEIS E EMBALAGENS LTDA</v>
      </c>
      <c r="I1978">
        <f t="shared" si="152"/>
        <v>1</v>
      </c>
      <c r="J1978">
        <f t="shared" si="153"/>
        <v>0</v>
      </c>
    </row>
    <row r="1979" spans="1:10" x14ac:dyDescent="0.25">
      <c r="A1979" t="s">
        <v>82</v>
      </c>
      <c r="B1979" t="s">
        <v>83</v>
      </c>
      <c r="C1979" t="s">
        <v>56</v>
      </c>
      <c r="D1979" s="3">
        <v>45764</v>
      </c>
      <c r="E1979" t="str">
        <f>VLOOKUP(B1979,'PROCV GERENTES BD'!A:B,2,0)</f>
        <v>RAFAEL PARISE</v>
      </c>
      <c r="F1979" s="4" t="str">
        <f t="shared" si="154"/>
        <v>2025-04-2</v>
      </c>
      <c r="G1979" t="str">
        <f t="shared" si="150"/>
        <v>RAFAEL PARISE</v>
      </c>
      <c r="H1979" t="str">
        <f t="shared" si="151"/>
        <v>UNITA AUTO PECAS LTDA EPP</v>
      </c>
      <c r="I1979">
        <f t="shared" si="152"/>
        <v>0</v>
      </c>
      <c r="J1979">
        <f t="shared" si="153"/>
        <v>1</v>
      </c>
    </row>
    <row r="1980" spans="1:10" x14ac:dyDescent="0.25">
      <c r="A1980" t="s">
        <v>465</v>
      </c>
      <c r="B1980" t="s">
        <v>221</v>
      </c>
      <c r="C1980" t="s">
        <v>56</v>
      </c>
      <c r="D1980" s="3">
        <v>45764</v>
      </c>
      <c r="E1980" t="s">
        <v>25</v>
      </c>
      <c r="F1980" s="4" t="str">
        <f t="shared" si="154"/>
        <v>2025-04-2</v>
      </c>
      <c r="G1980" t="str">
        <f t="shared" si="150"/>
        <v xml:space="preserve">ROGERIO </v>
      </c>
      <c r="H1980" t="str">
        <f t="shared" si="151"/>
        <v>METAL STAMP INDUSTRIA E COMERCIO LTDA</v>
      </c>
      <c r="I1980">
        <f t="shared" si="152"/>
        <v>0</v>
      </c>
      <c r="J1980">
        <f t="shared" si="153"/>
        <v>1</v>
      </c>
    </row>
    <row r="1981" spans="1:10" x14ac:dyDescent="0.25">
      <c r="A1981" t="s">
        <v>333</v>
      </c>
      <c r="B1981" t="s">
        <v>129</v>
      </c>
      <c r="C1981" t="s">
        <v>72</v>
      </c>
      <c r="D1981" s="3">
        <v>45764</v>
      </c>
      <c r="E1981" t="s">
        <v>25</v>
      </c>
      <c r="F1981" s="4" t="str">
        <f t="shared" si="154"/>
        <v>2025-04-2</v>
      </c>
      <c r="G1981" t="str">
        <f t="shared" si="150"/>
        <v xml:space="preserve">ROGERIO </v>
      </c>
      <c r="H1981" t="str">
        <f t="shared" si="151"/>
        <v>BIBE PRODUTOS INFANTIS LTDA</v>
      </c>
      <c r="I1981">
        <f t="shared" si="152"/>
        <v>1</v>
      </c>
      <c r="J1981">
        <f t="shared" si="153"/>
        <v>0</v>
      </c>
    </row>
    <row r="1982" spans="1:10" x14ac:dyDescent="0.25">
      <c r="A1982" t="s">
        <v>62</v>
      </c>
      <c r="B1982" t="s">
        <v>63</v>
      </c>
      <c r="C1982" t="s">
        <v>72</v>
      </c>
      <c r="D1982" s="3">
        <v>45764</v>
      </c>
      <c r="E1982" t="str">
        <f>VLOOKUP(B1982,'PROCV GERENTES BD'!A:B,2,0)</f>
        <v xml:space="preserve">ROGERIO </v>
      </c>
      <c r="F1982" s="4" t="str">
        <f t="shared" si="154"/>
        <v>2025-04-2</v>
      </c>
      <c r="G1982" t="str">
        <f t="shared" si="150"/>
        <v xml:space="preserve">ROGERIO </v>
      </c>
      <c r="H1982" t="str">
        <f t="shared" si="151"/>
        <v>RODOVIEIRA TRANSPORTE LTDA</v>
      </c>
      <c r="I1982">
        <f t="shared" si="152"/>
        <v>1</v>
      </c>
      <c r="J1982">
        <f t="shared" si="153"/>
        <v>0</v>
      </c>
    </row>
    <row r="1983" spans="1:10" x14ac:dyDescent="0.25">
      <c r="A1983" t="s">
        <v>508</v>
      </c>
      <c r="B1983" t="s">
        <v>266</v>
      </c>
      <c r="C1983" t="s">
        <v>72</v>
      </c>
      <c r="D1983" s="3">
        <v>45764</v>
      </c>
      <c r="E1983" t="str">
        <f>VLOOKUP(B1983,'PROCV GERENTES BD'!A:B,2,0)</f>
        <v>SEM GERENTE</v>
      </c>
      <c r="F1983" s="4" t="str">
        <f t="shared" si="154"/>
        <v>2025-04-2</v>
      </c>
      <c r="G1983" t="str">
        <f t="shared" si="150"/>
        <v>SEM GERENTE</v>
      </c>
      <c r="H1983" t="str">
        <f t="shared" si="151"/>
        <v>APOLO DISTRIBUIDORA LTDA</v>
      </c>
      <c r="I1983">
        <f t="shared" si="152"/>
        <v>1</v>
      </c>
      <c r="J1983">
        <f t="shared" si="153"/>
        <v>0</v>
      </c>
    </row>
    <row r="1984" spans="1:10" x14ac:dyDescent="0.25">
      <c r="A1984" t="s">
        <v>498</v>
      </c>
      <c r="B1984" t="s">
        <v>255</v>
      </c>
      <c r="C1984" t="s">
        <v>56</v>
      </c>
      <c r="D1984" s="3">
        <v>45764</v>
      </c>
      <c r="E1984" t="str">
        <f>VLOOKUP(B1984,'PROCV GERENTES BD'!A:B,2,0)</f>
        <v>PROSPECTAR</v>
      </c>
      <c r="F1984" s="4" t="str">
        <f t="shared" si="154"/>
        <v>2025-04-2</v>
      </c>
      <c r="G1984" t="str">
        <f t="shared" si="150"/>
        <v>PROSPECTAR</v>
      </c>
      <c r="H1984" t="str">
        <f t="shared" si="151"/>
        <v>PRODUTOS PORTEIRAO COM DIST E REP LTDA EPP</v>
      </c>
      <c r="I1984">
        <f t="shared" si="152"/>
        <v>0</v>
      </c>
      <c r="J1984">
        <f t="shared" si="153"/>
        <v>1</v>
      </c>
    </row>
    <row r="1985" spans="1:10" x14ac:dyDescent="0.25">
      <c r="A1985" t="s">
        <v>339</v>
      </c>
      <c r="B1985" t="s">
        <v>151</v>
      </c>
      <c r="C1985" t="s">
        <v>56</v>
      </c>
      <c r="D1985" s="3">
        <v>45765</v>
      </c>
      <c r="E1985" t="str">
        <f>VLOOKUP(B1985,'PROCV GERENTES BD'!A:B,2,0)</f>
        <v>ADMINISTRAÇÃO</v>
      </c>
      <c r="F1985" s="4" t="str">
        <f t="shared" si="154"/>
        <v>2025-04-2</v>
      </c>
      <c r="G1985" t="str">
        <f t="shared" si="150"/>
        <v>ADMINISTRAÇÃO</v>
      </c>
      <c r="H1985" t="str">
        <f t="shared" si="151"/>
        <v>BOM PASTOR PAPEIS LTDA EM RECUPERACAO JUDICIAL</v>
      </c>
      <c r="I1985">
        <f t="shared" si="152"/>
        <v>0</v>
      </c>
      <c r="J1985">
        <f t="shared" si="153"/>
        <v>1</v>
      </c>
    </row>
    <row r="1986" spans="1:10" x14ac:dyDescent="0.25">
      <c r="A1986" t="s">
        <v>467</v>
      </c>
      <c r="B1986" t="s">
        <v>223</v>
      </c>
      <c r="C1986" t="s">
        <v>56</v>
      </c>
      <c r="D1986" s="3">
        <v>45765</v>
      </c>
      <c r="E1986" t="str">
        <f>VLOOKUP(B1986,'PROCV GERENTES BD'!A:B,2,0)</f>
        <v>ADMINISTRAÇÃO</v>
      </c>
      <c r="F1986" s="4" t="str">
        <f t="shared" si="154"/>
        <v>2025-04-2</v>
      </c>
      <c r="G1986" t="str">
        <f t="shared" ref="G1986:G2049" si="155">E1986</f>
        <v>ADMINISTRAÇÃO</v>
      </c>
      <c r="H1986" t="str">
        <f t="shared" ref="H1986:H2049" si="156">B1986</f>
        <v>JABEZ SERVICOS COMPARTILHADOS LTDA ME</v>
      </c>
      <c r="I1986">
        <f t="shared" ref="I1986:I2049" si="157">IF(C1986="EXCLUSAO  ANOT.INADIMPLENCIA",1,0)</f>
        <v>0</v>
      </c>
      <c r="J1986">
        <f t="shared" ref="J1986:J2049" si="158">IF(C1986="INCLUSAO  ANOT.INADIMPLENCIA",1,0)</f>
        <v>1</v>
      </c>
    </row>
    <row r="1987" spans="1:10" x14ac:dyDescent="0.25">
      <c r="A1987" t="s">
        <v>391</v>
      </c>
      <c r="B1987" t="s">
        <v>137</v>
      </c>
      <c r="C1987" t="s">
        <v>56</v>
      </c>
      <c r="D1987" s="3">
        <v>45765</v>
      </c>
      <c r="E1987" t="str">
        <f>VLOOKUP(B1987,'PROCV GERENTES BD'!A:B,2,0)</f>
        <v>CELIO PIMENTA</v>
      </c>
      <c r="F1987" s="4" t="str">
        <f t="shared" ref="F1987:F2050" si="159">YEAR(D1987)&amp;"-"&amp;TEXT(MONTH(D1987),"00")&amp;"-"&amp;IF(DAY(D1987)&lt;=15,"1",IF(DAY(D1987)&gt;15,"2",""))</f>
        <v>2025-04-2</v>
      </c>
      <c r="G1987" t="str">
        <f t="shared" si="155"/>
        <v>CELIO PIMENTA</v>
      </c>
      <c r="H1987" t="str">
        <f t="shared" si="156"/>
        <v>JR X IMPORT LTDA EPP</v>
      </c>
      <c r="I1987">
        <f t="shared" si="157"/>
        <v>0</v>
      </c>
      <c r="J1987">
        <f t="shared" si="158"/>
        <v>1</v>
      </c>
    </row>
    <row r="1988" spans="1:10" x14ac:dyDescent="0.25">
      <c r="A1988" t="s">
        <v>318</v>
      </c>
      <c r="B1988" t="s">
        <v>87</v>
      </c>
      <c r="C1988" t="s">
        <v>72</v>
      </c>
      <c r="D1988" s="3">
        <v>45765</v>
      </c>
      <c r="E1988" t="str">
        <f>VLOOKUP(B1988,'PROCV GERENTES BD'!A:B,2,0)</f>
        <v>CELIO PIMENTA</v>
      </c>
      <c r="F1988" s="4" t="str">
        <f t="shared" si="159"/>
        <v>2025-04-2</v>
      </c>
      <c r="G1988" t="str">
        <f t="shared" si="155"/>
        <v>CELIO PIMENTA</v>
      </c>
      <c r="H1988" t="str">
        <f t="shared" si="156"/>
        <v>MBIOLOG DIAGNOSTICOS LTDA</v>
      </c>
      <c r="I1988">
        <f t="shared" si="157"/>
        <v>1</v>
      </c>
      <c r="J1988">
        <f t="shared" si="158"/>
        <v>0</v>
      </c>
    </row>
    <row r="1989" spans="1:10" x14ac:dyDescent="0.25">
      <c r="A1989" t="s">
        <v>60</v>
      </c>
      <c r="B1989" t="s">
        <v>61</v>
      </c>
      <c r="C1989" t="s">
        <v>56</v>
      </c>
      <c r="D1989" s="3">
        <v>45765</v>
      </c>
      <c r="E1989" t="str">
        <f>VLOOKUP(B1989,'PROCV GERENTES BD'!A:B,2,0)</f>
        <v>CELIO PIMENTA</v>
      </c>
      <c r="F1989" s="4" t="str">
        <f t="shared" si="159"/>
        <v>2025-04-2</v>
      </c>
      <c r="G1989" t="str">
        <f t="shared" si="155"/>
        <v>CELIO PIMENTA</v>
      </c>
      <c r="H1989" t="str">
        <f t="shared" si="156"/>
        <v>WJ CALDEIRARIA INDUSTRIA E COMERCIO LTDA ME</v>
      </c>
      <c r="I1989">
        <f t="shared" si="157"/>
        <v>0</v>
      </c>
      <c r="J1989">
        <f t="shared" si="158"/>
        <v>1</v>
      </c>
    </row>
    <row r="1990" spans="1:10" x14ac:dyDescent="0.25">
      <c r="A1990" t="s">
        <v>382</v>
      </c>
      <c r="B1990" t="s">
        <v>125</v>
      </c>
      <c r="C1990" t="s">
        <v>56</v>
      </c>
      <c r="D1990" s="3">
        <v>45765</v>
      </c>
      <c r="E1990" t="str">
        <f>VLOOKUP(B1990,'PROCV GERENTES BD'!A:B,2,0)</f>
        <v>CELIO PIMENTA</v>
      </c>
      <c r="F1990" s="4" t="str">
        <f t="shared" si="159"/>
        <v>2025-04-2</v>
      </c>
      <c r="G1990" t="str">
        <f t="shared" si="155"/>
        <v>CELIO PIMENTA</v>
      </c>
      <c r="H1990" t="str">
        <f t="shared" si="156"/>
        <v>MINAS ALIMENTOS E FRUTAS SECAS LTDA EPP</v>
      </c>
      <c r="I1990">
        <f t="shared" si="157"/>
        <v>0</v>
      </c>
      <c r="J1990">
        <f t="shared" si="158"/>
        <v>1</v>
      </c>
    </row>
    <row r="1991" spans="1:10" x14ac:dyDescent="0.25">
      <c r="A1991" t="s">
        <v>468</v>
      </c>
      <c r="B1991" t="s">
        <v>224</v>
      </c>
      <c r="C1991" t="s">
        <v>72</v>
      </c>
      <c r="D1991" s="3">
        <v>45765</v>
      </c>
      <c r="E1991" t="str">
        <f>VLOOKUP(B1991,'PROCV GERENTES BD'!A:B,2,0)</f>
        <v>CELIO PIMENTA</v>
      </c>
      <c r="F1991" s="4" t="str">
        <f t="shared" si="159"/>
        <v>2025-04-2</v>
      </c>
      <c r="G1991" t="str">
        <f t="shared" si="155"/>
        <v>CELIO PIMENTA</v>
      </c>
      <c r="H1991" t="str">
        <f t="shared" si="156"/>
        <v>MINAS CLEAN DISTRIBUIDORA DE PRODUTOS PARA LIMPEZA</v>
      </c>
      <c r="I1991">
        <f t="shared" si="157"/>
        <v>1</v>
      </c>
      <c r="J1991">
        <f t="shared" si="158"/>
        <v>0</v>
      </c>
    </row>
    <row r="1992" spans="1:10" x14ac:dyDescent="0.25">
      <c r="A1992" t="s">
        <v>423</v>
      </c>
      <c r="B1992" t="s">
        <v>172</v>
      </c>
      <c r="C1992" t="s">
        <v>56</v>
      </c>
      <c r="D1992" s="3">
        <v>45765</v>
      </c>
      <c r="E1992" t="str">
        <f>VLOOKUP(B1992,'PROCV GERENTES BD'!A:B,2,0)</f>
        <v>FITZ</v>
      </c>
      <c r="F1992" s="4" t="str">
        <f t="shared" si="159"/>
        <v>2025-04-2</v>
      </c>
      <c r="G1992" t="str">
        <f t="shared" si="155"/>
        <v>FITZ</v>
      </c>
      <c r="H1992" t="str">
        <f t="shared" si="156"/>
        <v>STA SERVICOS LTDA</v>
      </c>
      <c r="I1992">
        <f t="shared" si="157"/>
        <v>0</v>
      </c>
      <c r="J1992">
        <f t="shared" si="158"/>
        <v>1</v>
      </c>
    </row>
    <row r="1993" spans="1:10" x14ac:dyDescent="0.25">
      <c r="A1993" t="s">
        <v>68</v>
      </c>
      <c r="B1993" t="s">
        <v>69</v>
      </c>
      <c r="C1993" t="s">
        <v>56</v>
      </c>
      <c r="D1993" s="3">
        <v>45765</v>
      </c>
      <c r="E1993" t="str">
        <f>VLOOKUP(B1993,'PROCV GERENTES BD'!A:B,2,0)</f>
        <v>FITZ</v>
      </c>
      <c r="F1993" s="4" t="str">
        <f t="shared" si="159"/>
        <v>2025-04-2</v>
      </c>
      <c r="G1993" t="str">
        <f t="shared" si="155"/>
        <v>FITZ</v>
      </c>
      <c r="H1993" t="str">
        <f t="shared" si="156"/>
        <v>MAPP COM IMPORTACAO EXPORTACAO IND PRODUTOS ALIMEN</v>
      </c>
      <c r="I1993">
        <f t="shared" si="157"/>
        <v>0</v>
      </c>
      <c r="J1993">
        <f t="shared" si="158"/>
        <v>1</v>
      </c>
    </row>
    <row r="1994" spans="1:10" x14ac:dyDescent="0.25">
      <c r="A1994" t="s">
        <v>436</v>
      </c>
      <c r="B1994" t="s">
        <v>186</v>
      </c>
      <c r="C1994" t="s">
        <v>56</v>
      </c>
      <c r="D1994" s="3">
        <v>45765</v>
      </c>
      <c r="E1994" t="str">
        <f>VLOOKUP(B1994,'PROCV GERENTES BD'!A:B,2,0)</f>
        <v xml:space="preserve">MARCUS VINICIUS </v>
      </c>
      <c r="F1994" s="4" t="str">
        <f t="shared" si="159"/>
        <v>2025-04-2</v>
      </c>
      <c r="G1994" t="str">
        <f t="shared" si="155"/>
        <v xml:space="preserve">MARCUS VINICIUS </v>
      </c>
      <c r="H1994" t="str">
        <f t="shared" si="156"/>
        <v>LABOR ELETRIC INDUSTRIA E COMERCIO UNIPESSOAL LTDA</v>
      </c>
      <c r="I1994">
        <f t="shared" si="157"/>
        <v>0</v>
      </c>
      <c r="J1994">
        <f t="shared" si="158"/>
        <v>1</v>
      </c>
    </row>
    <row r="1995" spans="1:10" x14ac:dyDescent="0.25">
      <c r="A1995" t="s">
        <v>494</v>
      </c>
      <c r="B1995" t="s">
        <v>250</v>
      </c>
      <c r="C1995" t="s">
        <v>56</v>
      </c>
      <c r="D1995" s="3">
        <v>45765</v>
      </c>
      <c r="E1995" t="str">
        <f>VLOOKUP(B1995,'PROCV GERENTES BD'!A:B,2,0)</f>
        <v>NOELI SALETE</v>
      </c>
      <c r="F1995" s="4" t="str">
        <f t="shared" si="159"/>
        <v>2025-04-2</v>
      </c>
      <c r="G1995" t="str">
        <f t="shared" si="155"/>
        <v>NOELI SALETE</v>
      </c>
      <c r="H1995" t="str">
        <f t="shared" si="156"/>
        <v>SMARTCENTERGROUP COMERCIO DE EQUIPAMENTOS DE INFOR</v>
      </c>
      <c r="I1995">
        <f t="shared" si="157"/>
        <v>0</v>
      </c>
      <c r="J1995">
        <f t="shared" si="158"/>
        <v>1</v>
      </c>
    </row>
    <row r="1996" spans="1:10" x14ac:dyDescent="0.25">
      <c r="A1996" t="s">
        <v>446</v>
      </c>
      <c r="B1996" t="s">
        <v>196</v>
      </c>
      <c r="C1996" t="s">
        <v>56</v>
      </c>
      <c r="D1996" s="3">
        <v>45765</v>
      </c>
      <c r="E1996" t="str">
        <f>VLOOKUP(B1996,'PROCV GERENTES BD'!A:B,2,0)</f>
        <v>NOELI SALETE</v>
      </c>
      <c r="F1996" s="4" t="str">
        <f t="shared" si="159"/>
        <v>2025-04-2</v>
      </c>
      <c r="G1996" t="str">
        <f t="shared" si="155"/>
        <v>NOELI SALETE</v>
      </c>
      <c r="H1996" t="str">
        <f t="shared" si="156"/>
        <v>AGRO INDUSTRIAL LAZZERI LTDA</v>
      </c>
      <c r="I1996">
        <f t="shared" si="157"/>
        <v>0</v>
      </c>
      <c r="J1996">
        <f t="shared" si="158"/>
        <v>1</v>
      </c>
    </row>
    <row r="1997" spans="1:10" x14ac:dyDescent="0.25">
      <c r="A1997" t="s">
        <v>314</v>
      </c>
      <c r="B1997" t="s">
        <v>108</v>
      </c>
      <c r="C1997" t="s">
        <v>72</v>
      </c>
      <c r="D1997" s="3">
        <v>45765</v>
      </c>
      <c r="E1997" t="str">
        <f>VLOOKUP(B1997,'PROCV GERENTES BD'!A:B,2,0)</f>
        <v>POENATELA</v>
      </c>
      <c r="F1997" s="4" t="str">
        <f t="shared" si="159"/>
        <v>2025-04-2</v>
      </c>
      <c r="G1997" t="str">
        <f t="shared" si="155"/>
        <v>POENATELA</v>
      </c>
      <c r="H1997" t="str">
        <f t="shared" si="156"/>
        <v>ECOPINUS INDUSTRIA E COMERCIO DE EMBALAGENS DE MAD</v>
      </c>
      <c r="I1997">
        <f t="shared" si="157"/>
        <v>1</v>
      </c>
      <c r="J1997">
        <f t="shared" si="158"/>
        <v>0</v>
      </c>
    </row>
    <row r="1998" spans="1:10" x14ac:dyDescent="0.25">
      <c r="A1998" t="s">
        <v>428</v>
      </c>
      <c r="B1998" t="s">
        <v>177</v>
      </c>
      <c r="C1998" t="s">
        <v>72</v>
      </c>
      <c r="D1998" s="3">
        <v>45765</v>
      </c>
      <c r="E1998" t="str">
        <f>VLOOKUP(B1998,'PROCV GERENTES BD'!A:B,2,0)</f>
        <v>POENATELA</v>
      </c>
      <c r="F1998" s="4" t="str">
        <f t="shared" si="159"/>
        <v>2025-04-2</v>
      </c>
      <c r="G1998" t="str">
        <f t="shared" si="155"/>
        <v>POENATELA</v>
      </c>
      <c r="H1998" t="str">
        <f t="shared" si="156"/>
        <v>SAVIXX COMERCIO INTERNACIONAL S/A</v>
      </c>
      <c r="I1998">
        <f t="shared" si="157"/>
        <v>1</v>
      </c>
      <c r="J1998">
        <f t="shared" si="158"/>
        <v>0</v>
      </c>
    </row>
    <row r="1999" spans="1:10" x14ac:dyDescent="0.25">
      <c r="A1999" t="s">
        <v>57</v>
      </c>
      <c r="B1999" t="s">
        <v>58</v>
      </c>
      <c r="C1999" t="s">
        <v>56</v>
      </c>
      <c r="D1999" s="3">
        <v>45765</v>
      </c>
      <c r="E1999" t="str">
        <f>VLOOKUP(B1999,'PROCV GERENTES BD'!A:B,2,0)</f>
        <v>RAFAEL PARISE</v>
      </c>
      <c r="F1999" s="4" t="str">
        <f t="shared" si="159"/>
        <v>2025-04-2</v>
      </c>
      <c r="G1999" t="str">
        <f t="shared" si="155"/>
        <v>RAFAEL PARISE</v>
      </c>
      <c r="H1999" t="str">
        <f t="shared" si="156"/>
        <v>TDR TRANSPORTES LOGISTICA LTDA</v>
      </c>
      <c r="I1999">
        <f t="shared" si="157"/>
        <v>0</v>
      </c>
      <c r="J1999">
        <f t="shared" si="158"/>
        <v>1</v>
      </c>
    </row>
    <row r="2000" spans="1:10" x14ac:dyDescent="0.25">
      <c r="A2000" t="s">
        <v>479</v>
      </c>
      <c r="B2000" t="s">
        <v>235</v>
      </c>
      <c r="C2000" t="s">
        <v>72</v>
      </c>
      <c r="D2000" s="3">
        <v>45765</v>
      </c>
      <c r="E2000" t="str">
        <f>VLOOKUP(B2000,'PROCV GERENTES BD'!A:B,2,0)</f>
        <v>RAFAEL PARISE</v>
      </c>
      <c r="F2000" s="4" t="str">
        <f t="shared" si="159"/>
        <v>2025-04-2</v>
      </c>
      <c r="G2000" t="str">
        <f t="shared" si="155"/>
        <v>RAFAEL PARISE</v>
      </c>
      <c r="H2000" t="str">
        <f t="shared" si="156"/>
        <v>ORNELAS TRANSPORTE E LOGISTICA LTDA</v>
      </c>
      <c r="I2000">
        <f t="shared" si="157"/>
        <v>1</v>
      </c>
      <c r="J2000">
        <f t="shared" si="158"/>
        <v>0</v>
      </c>
    </row>
    <row r="2001" spans="1:10" x14ac:dyDescent="0.25">
      <c r="A2001" t="s">
        <v>401</v>
      </c>
      <c r="B2001" t="s">
        <v>149</v>
      </c>
      <c r="C2001" t="s">
        <v>56</v>
      </c>
      <c r="D2001" s="3">
        <v>45765</v>
      </c>
      <c r="E2001" t="str">
        <f>VLOOKUP(B2001,'PROCV GERENTES BD'!A:B,2,0)</f>
        <v>THIAGO THEODORO</v>
      </c>
      <c r="F2001" s="4" t="str">
        <f t="shared" si="159"/>
        <v>2025-04-2</v>
      </c>
      <c r="G2001" t="str">
        <f t="shared" si="155"/>
        <v>THIAGO THEODORO</v>
      </c>
      <c r="H2001" t="str">
        <f t="shared" si="156"/>
        <v>MONTAGEM MINAS GERAIS LTDA ME</v>
      </c>
      <c r="I2001">
        <f t="shared" si="157"/>
        <v>0</v>
      </c>
      <c r="J2001">
        <f t="shared" si="158"/>
        <v>1</v>
      </c>
    </row>
    <row r="2002" spans="1:10" x14ac:dyDescent="0.25">
      <c r="A2002" t="s">
        <v>502</v>
      </c>
      <c r="B2002" t="s">
        <v>260</v>
      </c>
      <c r="C2002" t="s">
        <v>72</v>
      </c>
      <c r="D2002" s="3">
        <v>45765</v>
      </c>
      <c r="E2002" t="str">
        <f>VLOOKUP(B2002,'PROCV GERENTES BD'!A:B,2,0)</f>
        <v>RAFAEL PARISE</v>
      </c>
      <c r="F2002" s="4" t="str">
        <f t="shared" si="159"/>
        <v>2025-04-2</v>
      </c>
      <c r="G2002" t="str">
        <f t="shared" si="155"/>
        <v>RAFAEL PARISE</v>
      </c>
      <c r="H2002" t="str">
        <f t="shared" si="156"/>
        <v>CLAUDINEA GOMES DA SILVA VIANA 04007455694</v>
      </c>
      <c r="I2002">
        <f t="shared" si="157"/>
        <v>1</v>
      </c>
      <c r="J2002">
        <f t="shared" si="158"/>
        <v>0</v>
      </c>
    </row>
    <row r="2003" spans="1:10" x14ac:dyDescent="0.25">
      <c r="A2003" t="s">
        <v>509</v>
      </c>
      <c r="B2003" t="s">
        <v>267</v>
      </c>
      <c r="C2003" t="s">
        <v>72</v>
      </c>
      <c r="D2003" s="3">
        <v>45765</v>
      </c>
      <c r="E2003" t="str">
        <f>VLOOKUP(B2003,'PROCV GERENTES BD'!A:B,2,0)</f>
        <v>SEM GERENTE</v>
      </c>
      <c r="F2003" s="4" t="str">
        <f t="shared" si="159"/>
        <v>2025-04-2</v>
      </c>
      <c r="G2003" t="str">
        <f t="shared" si="155"/>
        <v>SEM GERENTE</v>
      </c>
      <c r="H2003" t="str">
        <f t="shared" si="156"/>
        <v>ENGREMAT ENG PROJETO MANUTENCAO INSPECAO MONTAGENS</v>
      </c>
      <c r="I2003">
        <f t="shared" si="157"/>
        <v>1</v>
      </c>
      <c r="J2003">
        <f t="shared" si="158"/>
        <v>0</v>
      </c>
    </row>
    <row r="2004" spans="1:10" x14ac:dyDescent="0.25">
      <c r="A2004" t="s">
        <v>70</v>
      </c>
      <c r="B2004" t="s">
        <v>71</v>
      </c>
      <c r="C2004" t="s">
        <v>56</v>
      </c>
      <c r="D2004" s="3">
        <v>45765</v>
      </c>
      <c r="E2004" t="str">
        <f>VLOOKUP(B2004,'PROCV GERENTES BD'!A:B,2,0)</f>
        <v>SEM GERENTE</v>
      </c>
      <c r="F2004" s="4" t="str">
        <f t="shared" si="159"/>
        <v>2025-04-2</v>
      </c>
      <c r="G2004" t="str">
        <f t="shared" si="155"/>
        <v>SEM GERENTE</v>
      </c>
      <c r="H2004" t="str">
        <f t="shared" si="156"/>
        <v>SOCIAL S/A</v>
      </c>
      <c r="I2004">
        <f t="shared" si="157"/>
        <v>0</v>
      </c>
      <c r="J2004">
        <f t="shared" si="158"/>
        <v>1</v>
      </c>
    </row>
    <row r="2005" spans="1:10" x14ac:dyDescent="0.25">
      <c r="A2005" t="s">
        <v>339</v>
      </c>
      <c r="B2005" t="s">
        <v>151</v>
      </c>
      <c r="C2005" t="s">
        <v>56</v>
      </c>
      <c r="D2005" s="3">
        <v>45770</v>
      </c>
      <c r="E2005" t="str">
        <f>VLOOKUP(B2005,'PROCV GERENTES BD'!A:B,2,0)</f>
        <v>ADMINISTRAÇÃO</v>
      </c>
      <c r="F2005" s="4" t="str">
        <f t="shared" si="159"/>
        <v>2025-04-2</v>
      </c>
      <c r="G2005" t="str">
        <f t="shared" si="155"/>
        <v>ADMINISTRAÇÃO</v>
      </c>
      <c r="H2005" t="str">
        <f t="shared" si="156"/>
        <v>BOM PASTOR PAPEIS LTDA EM RECUPERACAO JUDICIAL</v>
      </c>
      <c r="I2005">
        <f t="shared" si="157"/>
        <v>0</v>
      </c>
      <c r="J2005">
        <f t="shared" si="158"/>
        <v>1</v>
      </c>
    </row>
    <row r="2006" spans="1:10" x14ac:dyDescent="0.25">
      <c r="A2006" t="s">
        <v>380</v>
      </c>
      <c r="B2006" t="s">
        <v>123</v>
      </c>
      <c r="C2006" t="s">
        <v>56</v>
      </c>
      <c r="D2006" s="3">
        <v>45770</v>
      </c>
      <c r="E2006" t="str">
        <f>VLOOKUP(B2006,'PROCV GERENTES BD'!A:B,2,0)</f>
        <v>ANTONIO CARLOS</v>
      </c>
      <c r="F2006" s="4" t="str">
        <f t="shared" si="159"/>
        <v>2025-04-2</v>
      </c>
      <c r="G2006" t="str">
        <f t="shared" si="155"/>
        <v>ANTONIO CARLOS</v>
      </c>
      <c r="H2006" t="str">
        <f t="shared" si="156"/>
        <v>PREMOLDADOS MATOSINHOS LTDA EPP</v>
      </c>
      <c r="I2006">
        <f t="shared" si="157"/>
        <v>0</v>
      </c>
      <c r="J2006">
        <f t="shared" si="158"/>
        <v>1</v>
      </c>
    </row>
    <row r="2007" spans="1:10" x14ac:dyDescent="0.25">
      <c r="A2007" t="s">
        <v>318</v>
      </c>
      <c r="B2007" t="s">
        <v>87</v>
      </c>
      <c r="C2007" t="s">
        <v>72</v>
      </c>
      <c r="D2007" s="3">
        <v>45770</v>
      </c>
      <c r="E2007" t="str">
        <f>VLOOKUP(B2007,'PROCV GERENTES BD'!A:B,2,0)</f>
        <v>CELIO PIMENTA</v>
      </c>
      <c r="F2007" s="4" t="str">
        <f t="shared" si="159"/>
        <v>2025-04-2</v>
      </c>
      <c r="G2007" t="str">
        <f t="shared" si="155"/>
        <v>CELIO PIMENTA</v>
      </c>
      <c r="H2007" t="str">
        <f t="shared" si="156"/>
        <v>MBIOLOG DIAGNOSTICOS LTDA</v>
      </c>
      <c r="I2007">
        <f t="shared" si="157"/>
        <v>1</v>
      </c>
      <c r="J2007">
        <f t="shared" si="158"/>
        <v>0</v>
      </c>
    </row>
    <row r="2008" spans="1:10" x14ac:dyDescent="0.25">
      <c r="A2008" t="s">
        <v>410</v>
      </c>
      <c r="B2008" t="s">
        <v>159</v>
      </c>
      <c r="C2008" t="s">
        <v>56</v>
      </c>
      <c r="D2008" s="3">
        <v>45770</v>
      </c>
      <c r="E2008" t="str">
        <f>VLOOKUP(B2008,'PROCV GERENTES BD'!A:B,2,0)</f>
        <v>FITZ</v>
      </c>
      <c r="F2008" s="4" t="str">
        <f t="shared" si="159"/>
        <v>2025-04-2</v>
      </c>
      <c r="G2008" t="str">
        <f t="shared" si="155"/>
        <v>FITZ</v>
      </c>
      <c r="H2008" t="str">
        <f t="shared" si="156"/>
        <v>MOINHO DE TRIGO JM LTDA</v>
      </c>
      <c r="I2008">
        <f t="shared" si="157"/>
        <v>0</v>
      </c>
      <c r="J2008">
        <f t="shared" si="158"/>
        <v>1</v>
      </c>
    </row>
    <row r="2009" spans="1:10" x14ac:dyDescent="0.25">
      <c r="A2009" t="s">
        <v>423</v>
      </c>
      <c r="B2009" t="s">
        <v>172</v>
      </c>
      <c r="C2009" t="s">
        <v>56</v>
      </c>
      <c r="D2009" s="3">
        <v>45770</v>
      </c>
      <c r="E2009" t="str">
        <f>VLOOKUP(B2009,'PROCV GERENTES BD'!A:B,2,0)</f>
        <v>FITZ</v>
      </c>
      <c r="F2009" s="4" t="str">
        <f t="shared" si="159"/>
        <v>2025-04-2</v>
      </c>
      <c r="G2009" t="str">
        <f t="shared" si="155"/>
        <v>FITZ</v>
      </c>
      <c r="H2009" t="str">
        <f t="shared" si="156"/>
        <v>STA SERVICOS LTDA</v>
      </c>
      <c r="I2009">
        <f t="shared" si="157"/>
        <v>0</v>
      </c>
      <c r="J2009">
        <f t="shared" si="158"/>
        <v>1</v>
      </c>
    </row>
    <row r="2010" spans="1:10" x14ac:dyDescent="0.25">
      <c r="A2010" t="s">
        <v>331</v>
      </c>
      <c r="B2010" t="s">
        <v>126</v>
      </c>
      <c r="C2010" t="s">
        <v>56</v>
      </c>
      <c r="D2010" s="3">
        <v>45770</v>
      </c>
      <c r="E2010" t="str">
        <f>VLOOKUP(B2010,'PROCV GERENTES BD'!A:B,2,0)</f>
        <v>FITZ</v>
      </c>
      <c r="F2010" s="4" t="str">
        <f t="shared" si="159"/>
        <v>2025-04-2</v>
      </c>
      <c r="G2010" t="str">
        <f t="shared" si="155"/>
        <v>FITZ</v>
      </c>
      <c r="H2010" t="str">
        <f t="shared" si="156"/>
        <v>TRANSHENRY TRANSPORTES LTDA</v>
      </c>
      <c r="I2010">
        <f t="shared" si="157"/>
        <v>0</v>
      </c>
      <c r="J2010">
        <f t="shared" si="158"/>
        <v>1</v>
      </c>
    </row>
    <row r="2011" spans="1:10" x14ac:dyDescent="0.25">
      <c r="A2011" t="s">
        <v>420</v>
      </c>
      <c r="B2011" t="s">
        <v>169</v>
      </c>
      <c r="C2011" t="s">
        <v>56</v>
      </c>
      <c r="D2011" s="3">
        <v>45770</v>
      </c>
      <c r="E2011" t="str">
        <f>VLOOKUP(B2011,'PROCV GERENTES BD'!A:B,2,0)</f>
        <v>FITZ</v>
      </c>
      <c r="F2011" s="4" t="str">
        <f t="shared" si="159"/>
        <v>2025-04-2</v>
      </c>
      <c r="G2011" t="str">
        <f t="shared" si="155"/>
        <v>FITZ</v>
      </c>
      <c r="H2011" t="str">
        <f t="shared" si="156"/>
        <v>MORIA PRESTACAO DE SERVICOS LTDA ME</v>
      </c>
      <c r="I2011">
        <f t="shared" si="157"/>
        <v>0</v>
      </c>
      <c r="J2011">
        <f t="shared" si="158"/>
        <v>1</v>
      </c>
    </row>
    <row r="2012" spans="1:10" x14ac:dyDescent="0.25">
      <c r="A2012" t="s">
        <v>68</v>
      </c>
      <c r="B2012" t="s">
        <v>69</v>
      </c>
      <c r="C2012" t="s">
        <v>56</v>
      </c>
      <c r="D2012" s="3">
        <v>45770</v>
      </c>
      <c r="E2012" t="str">
        <f>VLOOKUP(B2012,'PROCV GERENTES BD'!A:B,2,0)</f>
        <v>FITZ</v>
      </c>
      <c r="F2012" s="4" t="str">
        <f t="shared" si="159"/>
        <v>2025-04-2</v>
      </c>
      <c r="G2012" t="str">
        <f t="shared" si="155"/>
        <v>FITZ</v>
      </c>
      <c r="H2012" t="str">
        <f t="shared" si="156"/>
        <v>MAPP COM IMPORTACAO EXPORTACAO IND PRODUTOS ALIMEN</v>
      </c>
      <c r="I2012">
        <f t="shared" si="157"/>
        <v>0</v>
      </c>
      <c r="J2012">
        <f t="shared" si="158"/>
        <v>1</v>
      </c>
    </row>
    <row r="2013" spans="1:10" x14ac:dyDescent="0.25">
      <c r="A2013" t="s">
        <v>451</v>
      </c>
      <c r="B2013" t="s">
        <v>201</v>
      </c>
      <c r="C2013" t="s">
        <v>56</v>
      </c>
      <c r="D2013" s="3">
        <v>45770</v>
      </c>
      <c r="E2013" t="str">
        <f>VLOOKUP(B2013,'PROCV GERENTES BD'!A:B,2,0)</f>
        <v>FITZ</v>
      </c>
      <c r="F2013" s="4" t="str">
        <f t="shared" si="159"/>
        <v>2025-04-2</v>
      </c>
      <c r="G2013" t="str">
        <f t="shared" si="155"/>
        <v>FITZ</v>
      </c>
      <c r="H2013" t="str">
        <f t="shared" si="156"/>
        <v>ALPLAST ATACADISTA E APOIO ADMINISTRATIVO LTDA EPP</v>
      </c>
      <c r="I2013">
        <f t="shared" si="157"/>
        <v>0</v>
      </c>
      <c r="J2013">
        <f t="shared" si="158"/>
        <v>1</v>
      </c>
    </row>
    <row r="2014" spans="1:10" x14ac:dyDescent="0.25">
      <c r="A2014" t="s">
        <v>403</v>
      </c>
      <c r="B2014" t="s">
        <v>152</v>
      </c>
      <c r="C2014" t="s">
        <v>56</v>
      </c>
      <c r="D2014" s="3">
        <v>45770</v>
      </c>
      <c r="E2014" t="str">
        <f>VLOOKUP(B2014,'PROCV GERENTES BD'!A:B,2,0)</f>
        <v>MARCIO LEONEL</v>
      </c>
      <c r="F2014" s="4" t="str">
        <f t="shared" si="159"/>
        <v>2025-04-2</v>
      </c>
      <c r="G2014" t="str">
        <f t="shared" si="155"/>
        <v>MARCIO LEONEL</v>
      </c>
      <c r="H2014" t="str">
        <f t="shared" si="156"/>
        <v>MEDICAL PRIME IMP EXPORT DISTRIB PRODUTOS MEDICOS</v>
      </c>
      <c r="I2014">
        <f t="shared" si="157"/>
        <v>0</v>
      </c>
      <c r="J2014">
        <f t="shared" si="158"/>
        <v>1</v>
      </c>
    </row>
    <row r="2015" spans="1:10" x14ac:dyDescent="0.25">
      <c r="A2015" t="s">
        <v>405</v>
      </c>
      <c r="B2015" t="s">
        <v>154</v>
      </c>
      <c r="C2015" t="s">
        <v>72</v>
      </c>
      <c r="D2015" s="3">
        <v>45770</v>
      </c>
      <c r="E2015" t="str">
        <f>VLOOKUP(B2015,'PROCV GERENTES BD'!A:B,2,0)</f>
        <v xml:space="preserve">MARCUS VINICIUS </v>
      </c>
      <c r="F2015" s="4" t="str">
        <f t="shared" si="159"/>
        <v>2025-04-2</v>
      </c>
      <c r="G2015" t="str">
        <f t="shared" si="155"/>
        <v xml:space="preserve">MARCUS VINICIUS </v>
      </c>
      <c r="H2015" t="str">
        <f t="shared" si="156"/>
        <v>UNIVERSO INOX INDUSTRIA E COMERCIO LTDA EPP</v>
      </c>
      <c r="I2015">
        <f t="shared" si="157"/>
        <v>1</v>
      </c>
      <c r="J2015">
        <f t="shared" si="158"/>
        <v>0</v>
      </c>
    </row>
    <row r="2016" spans="1:10" x14ac:dyDescent="0.25">
      <c r="A2016" t="s">
        <v>393</v>
      </c>
      <c r="B2016" t="s">
        <v>139</v>
      </c>
      <c r="C2016" t="s">
        <v>56</v>
      </c>
      <c r="D2016" s="3">
        <v>45770</v>
      </c>
      <c r="E2016" t="str">
        <f>VLOOKUP(B2016,'PROCV GERENTES BD'!A:B,2,0)</f>
        <v xml:space="preserve">MARCUS VINICIUS </v>
      </c>
      <c r="F2016" s="4" t="str">
        <f t="shared" si="159"/>
        <v>2025-04-2</v>
      </c>
      <c r="G2016" t="str">
        <f t="shared" si="155"/>
        <v xml:space="preserve">MARCUS VINICIUS </v>
      </c>
      <c r="H2016" t="str">
        <f t="shared" si="156"/>
        <v>RODOANEL REFORMADORA DE IMPLEMENTOS RODOVIARIOS LT</v>
      </c>
      <c r="I2016">
        <f t="shared" si="157"/>
        <v>0</v>
      </c>
      <c r="J2016">
        <f t="shared" si="158"/>
        <v>1</v>
      </c>
    </row>
    <row r="2017" spans="1:10" x14ac:dyDescent="0.25">
      <c r="A2017" t="s">
        <v>383</v>
      </c>
      <c r="B2017" t="s">
        <v>127</v>
      </c>
      <c r="C2017" t="s">
        <v>59</v>
      </c>
      <c r="D2017" s="3">
        <v>45770</v>
      </c>
      <c r="E2017" t="str">
        <f>VLOOKUP(B2017,'PROCV GERENTES BD'!A:B,2,0)</f>
        <v>NATALIA NUBIA</v>
      </c>
      <c r="F2017" s="4" t="str">
        <f t="shared" si="159"/>
        <v>2025-04-2</v>
      </c>
      <c r="G2017" t="str">
        <f t="shared" si="155"/>
        <v>NATALIA NUBIA</v>
      </c>
      <c r="H2017" t="str">
        <f t="shared" si="156"/>
        <v>FARINELLI NUTRIMENTOS LTDA</v>
      </c>
      <c r="I2017">
        <f t="shared" si="157"/>
        <v>0</v>
      </c>
      <c r="J2017">
        <f t="shared" si="158"/>
        <v>0</v>
      </c>
    </row>
    <row r="2018" spans="1:10" x14ac:dyDescent="0.25">
      <c r="A2018" t="s">
        <v>427</v>
      </c>
      <c r="B2018" t="s">
        <v>206</v>
      </c>
      <c r="C2018" t="s">
        <v>56</v>
      </c>
      <c r="D2018" s="3">
        <v>45770</v>
      </c>
      <c r="E2018" t="str">
        <f>VLOOKUP(B2018,'PROCV GERENTES BD'!A:B,2,0)</f>
        <v>NOELI SALETE</v>
      </c>
      <c r="F2018" s="4" t="str">
        <f t="shared" si="159"/>
        <v>2025-04-2</v>
      </c>
      <c r="G2018" t="str">
        <f t="shared" si="155"/>
        <v>NOELI SALETE</v>
      </c>
      <c r="H2018" t="str">
        <f t="shared" si="156"/>
        <v>GLOBAL ACO SERV PRODUTOS SIDERURGICOS LTDA RECUPER</v>
      </c>
      <c r="I2018">
        <f t="shared" si="157"/>
        <v>0</v>
      </c>
      <c r="J2018">
        <f t="shared" si="158"/>
        <v>1</v>
      </c>
    </row>
    <row r="2019" spans="1:10" x14ac:dyDescent="0.25">
      <c r="A2019" t="s">
        <v>78</v>
      </c>
      <c r="B2019" t="s">
        <v>79</v>
      </c>
      <c r="C2019" t="s">
        <v>56</v>
      </c>
      <c r="D2019" s="3">
        <v>45770</v>
      </c>
      <c r="E2019" t="str">
        <f>VLOOKUP(B2019,'PROCV GERENTES BD'!A:B,2,0)</f>
        <v>NOELI SALETE</v>
      </c>
      <c r="F2019" s="4" t="str">
        <f t="shared" si="159"/>
        <v>2025-04-2</v>
      </c>
      <c r="G2019" t="str">
        <f t="shared" si="155"/>
        <v>NOELI SALETE</v>
      </c>
      <c r="H2019" t="str">
        <f t="shared" si="156"/>
        <v>SMARTCENTER SOLUCOES INTELIGENTES LTDA ME</v>
      </c>
      <c r="I2019">
        <f t="shared" si="157"/>
        <v>0</v>
      </c>
      <c r="J2019">
        <f t="shared" si="158"/>
        <v>1</v>
      </c>
    </row>
    <row r="2020" spans="1:10" x14ac:dyDescent="0.25">
      <c r="A2020" t="s">
        <v>408</v>
      </c>
      <c r="B2020" t="s">
        <v>157</v>
      </c>
      <c r="C2020" t="s">
        <v>56</v>
      </c>
      <c r="D2020" s="3">
        <v>45770</v>
      </c>
      <c r="E2020" t="str">
        <f>VLOOKUP(B2020,'PROCV GERENTES BD'!A:B,2,0)</f>
        <v>NOELI SALETE</v>
      </c>
      <c r="F2020" s="4" t="str">
        <f t="shared" si="159"/>
        <v>2025-04-2</v>
      </c>
      <c r="G2020" t="str">
        <f t="shared" si="155"/>
        <v>NOELI SALETE</v>
      </c>
      <c r="H2020" t="str">
        <f t="shared" si="156"/>
        <v>POOLMAK SISTEMAS ESTRUTURAIS LTDA</v>
      </c>
      <c r="I2020">
        <f t="shared" si="157"/>
        <v>0</v>
      </c>
      <c r="J2020">
        <f t="shared" si="158"/>
        <v>1</v>
      </c>
    </row>
    <row r="2021" spans="1:10" x14ac:dyDescent="0.25">
      <c r="A2021" t="s">
        <v>494</v>
      </c>
      <c r="B2021" t="s">
        <v>250</v>
      </c>
      <c r="C2021" t="s">
        <v>56</v>
      </c>
      <c r="D2021" s="3">
        <v>45770</v>
      </c>
      <c r="E2021" t="str">
        <f>VLOOKUP(B2021,'PROCV GERENTES BD'!A:B,2,0)</f>
        <v>NOELI SALETE</v>
      </c>
      <c r="F2021" s="4" t="str">
        <f t="shared" si="159"/>
        <v>2025-04-2</v>
      </c>
      <c r="G2021" t="str">
        <f t="shared" si="155"/>
        <v>NOELI SALETE</v>
      </c>
      <c r="H2021" t="str">
        <f t="shared" si="156"/>
        <v>SMARTCENTERGROUP COMERCIO DE EQUIPAMENTOS DE INFOR</v>
      </c>
      <c r="I2021">
        <f t="shared" si="157"/>
        <v>0</v>
      </c>
      <c r="J2021">
        <f t="shared" si="158"/>
        <v>1</v>
      </c>
    </row>
    <row r="2022" spans="1:10" x14ac:dyDescent="0.25">
      <c r="A2022" t="s">
        <v>483</v>
      </c>
      <c r="B2022" t="s">
        <v>239</v>
      </c>
      <c r="C2022" t="s">
        <v>72</v>
      </c>
      <c r="D2022" s="3">
        <v>45770</v>
      </c>
      <c r="E2022" t="str">
        <f>VLOOKUP(B2022,'PROCV GERENTES BD'!A:B,2,0)</f>
        <v>POENATELA</v>
      </c>
      <c r="F2022" s="4" t="str">
        <f t="shared" si="159"/>
        <v>2025-04-2</v>
      </c>
      <c r="G2022" t="str">
        <f t="shared" si="155"/>
        <v>POENATELA</v>
      </c>
      <c r="H2022" t="str">
        <f t="shared" si="156"/>
        <v>JUATUBA MOVEIS E EMBALAGENS LTDA</v>
      </c>
      <c r="I2022">
        <f t="shared" si="157"/>
        <v>1</v>
      </c>
      <c r="J2022">
        <f t="shared" si="158"/>
        <v>0</v>
      </c>
    </row>
    <row r="2023" spans="1:10" x14ac:dyDescent="0.25">
      <c r="A2023" t="s">
        <v>428</v>
      </c>
      <c r="B2023" t="s">
        <v>177</v>
      </c>
      <c r="C2023" t="s">
        <v>56</v>
      </c>
      <c r="D2023" s="3">
        <v>45770</v>
      </c>
      <c r="E2023" t="str">
        <f>VLOOKUP(B2023,'PROCV GERENTES BD'!A:B,2,0)</f>
        <v>POENATELA</v>
      </c>
      <c r="F2023" s="4" t="str">
        <f t="shared" si="159"/>
        <v>2025-04-2</v>
      </c>
      <c r="G2023" t="str">
        <f t="shared" si="155"/>
        <v>POENATELA</v>
      </c>
      <c r="H2023" t="str">
        <f t="shared" si="156"/>
        <v>SAVIXX COMERCIO INTERNACIONAL S/A</v>
      </c>
      <c r="I2023">
        <f t="shared" si="157"/>
        <v>0</v>
      </c>
      <c r="J2023">
        <f t="shared" si="158"/>
        <v>1</v>
      </c>
    </row>
    <row r="2024" spans="1:10" x14ac:dyDescent="0.25">
      <c r="A2024" t="s">
        <v>378</v>
      </c>
      <c r="B2024" t="s">
        <v>121</v>
      </c>
      <c r="C2024" t="s">
        <v>72</v>
      </c>
      <c r="D2024" s="3">
        <v>45770</v>
      </c>
      <c r="E2024" t="str">
        <f>VLOOKUP(B2024,'PROCV GERENTES BD'!A:B,2,0)</f>
        <v>POENATELA</v>
      </c>
      <c r="F2024" s="4" t="str">
        <f t="shared" si="159"/>
        <v>2025-04-2</v>
      </c>
      <c r="G2024" t="str">
        <f t="shared" si="155"/>
        <v>POENATELA</v>
      </c>
      <c r="H2024" t="str">
        <f t="shared" si="156"/>
        <v>COOPERATIVA TRANSP AUTON CARGAS PASSAG SERVICOS LO</v>
      </c>
      <c r="I2024">
        <f t="shared" si="157"/>
        <v>1</v>
      </c>
      <c r="J2024">
        <f t="shared" si="158"/>
        <v>0</v>
      </c>
    </row>
    <row r="2025" spans="1:10" x14ac:dyDescent="0.25">
      <c r="A2025" t="s">
        <v>361</v>
      </c>
      <c r="B2025" t="s">
        <v>103</v>
      </c>
      <c r="C2025" t="s">
        <v>56</v>
      </c>
      <c r="D2025" s="3">
        <v>45770</v>
      </c>
      <c r="E2025" t="str">
        <f>VLOOKUP(B2025,'PROCV GERENTES BD'!A:B,2,0)</f>
        <v>PRISCILA METZ</v>
      </c>
      <c r="F2025" s="4" t="str">
        <f t="shared" si="159"/>
        <v>2025-04-2</v>
      </c>
      <c r="G2025" t="str">
        <f t="shared" si="155"/>
        <v>PRISCILA METZ</v>
      </c>
      <c r="H2025" t="str">
        <f t="shared" si="156"/>
        <v>ESSENZA INDUSTRIA QUIMICA LTDA</v>
      </c>
      <c r="I2025">
        <f t="shared" si="157"/>
        <v>0</v>
      </c>
      <c r="J2025">
        <f t="shared" si="158"/>
        <v>1</v>
      </c>
    </row>
    <row r="2026" spans="1:10" x14ac:dyDescent="0.25">
      <c r="A2026" t="s">
        <v>57</v>
      </c>
      <c r="B2026" t="s">
        <v>58</v>
      </c>
      <c r="C2026" t="s">
        <v>56</v>
      </c>
      <c r="D2026" s="3">
        <v>45770</v>
      </c>
      <c r="E2026" t="str">
        <f>VLOOKUP(B2026,'PROCV GERENTES BD'!A:B,2,0)</f>
        <v>RAFAEL PARISE</v>
      </c>
      <c r="F2026" s="4" t="str">
        <f t="shared" si="159"/>
        <v>2025-04-2</v>
      </c>
      <c r="G2026" t="str">
        <f t="shared" si="155"/>
        <v>RAFAEL PARISE</v>
      </c>
      <c r="H2026" t="str">
        <f t="shared" si="156"/>
        <v>TDR TRANSPORTES LOGISTICA LTDA</v>
      </c>
      <c r="I2026">
        <f t="shared" si="157"/>
        <v>0</v>
      </c>
      <c r="J2026">
        <f t="shared" si="158"/>
        <v>1</v>
      </c>
    </row>
    <row r="2027" spans="1:10" x14ac:dyDescent="0.25">
      <c r="A2027" t="s">
        <v>73</v>
      </c>
      <c r="B2027" t="s">
        <v>74</v>
      </c>
      <c r="C2027" t="s">
        <v>56</v>
      </c>
      <c r="D2027" s="3">
        <v>45770</v>
      </c>
      <c r="E2027" t="s">
        <v>25</v>
      </c>
      <c r="F2027" s="4" t="str">
        <f t="shared" si="159"/>
        <v>2025-04-2</v>
      </c>
      <c r="G2027" t="str">
        <f t="shared" si="155"/>
        <v xml:space="preserve">ROGERIO </v>
      </c>
      <c r="H2027" t="str">
        <f t="shared" si="156"/>
        <v>DIOTTONI INDUSTRIA E COMERCIO DE ALIMENTOS LTDA ME</v>
      </c>
      <c r="I2027">
        <f t="shared" si="157"/>
        <v>0</v>
      </c>
      <c r="J2027">
        <f t="shared" si="158"/>
        <v>1</v>
      </c>
    </row>
    <row r="2028" spans="1:10" x14ac:dyDescent="0.25">
      <c r="A2028" t="s">
        <v>439</v>
      </c>
      <c r="B2028" t="s">
        <v>203</v>
      </c>
      <c r="C2028" t="s">
        <v>56</v>
      </c>
      <c r="D2028" s="3">
        <v>45770</v>
      </c>
      <c r="E2028" t="s">
        <v>25</v>
      </c>
      <c r="F2028" s="4" t="str">
        <f t="shared" si="159"/>
        <v>2025-04-2</v>
      </c>
      <c r="G2028" t="str">
        <f t="shared" si="155"/>
        <v xml:space="preserve">ROGERIO </v>
      </c>
      <c r="H2028" t="str">
        <f t="shared" si="156"/>
        <v>GRF JEANS WEAR LTDA EPP</v>
      </c>
      <c r="I2028">
        <f t="shared" si="157"/>
        <v>0</v>
      </c>
      <c r="J2028">
        <f t="shared" si="158"/>
        <v>1</v>
      </c>
    </row>
    <row r="2029" spans="1:10" x14ac:dyDescent="0.25">
      <c r="A2029" t="s">
        <v>510</v>
      </c>
      <c r="B2029" t="s">
        <v>269</v>
      </c>
      <c r="C2029" t="s">
        <v>56</v>
      </c>
      <c r="D2029" s="3">
        <v>45770</v>
      </c>
      <c r="E2029" t="str">
        <f>VLOOKUP(B2029,'PROCV GERENTES BD'!A:B,2,0)</f>
        <v>ANTECIPA</v>
      </c>
      <c r="F2029" s="4" t="str">
        <f t="shared" si="159"/>
        <v>2025-04-2</v>
      </c>
      <c r="G2029" t="str">
        <f t="shared" si="155"/>
        <v>ANTECIPA</v>
      </c>
      <c r="H2029" t="str">
        <f t="shared" si="156"/>
        <v>CONSTRUENGE ENGENHARIA E GERENCIAMENTO LTDA</v>
      </c>
      <c r="I2029">
        <f t="shared" si="157"/>
        <v>0</v>
      </c>
      <c r="J2029">
        <f t="shared" si="158"/>
        <v>1</v>
      </c>
    </row>
    <row r="2030" spans="1:10" x14ac:dyDescent="0.25">
      <c r="A2030" t="s">
        <v>492</v>
      </c>
      <c r="B2030" t="s">
        <v>252</v>
      </c>
      <c r="C2030" t="s">
        <v>56</v>
      </c>
      <c r="D2030" s="3">
        <v>45770</v>
      </c>
      <c r="E2030" t="str">
        <f>VLOOKUP(B2030,'PROCV GERENTES BD'!A:B,2,0)</f>
        <v>ADMINISTRAÇÃO</v>
      </c>
      <c r="F2030" s="4" t="str">
        <f t="shared" si="159"/>
        <v>2025-04-2</v>
      </c>
      <c r="G2030" t="str">
        <f t="shared" si="155"/>
        <v>ADMINISTRAÇÃO</v>
      </c>
      <c r="H2030" t="str">
        <f t="shared" si="156"/>
        <v>REAL FILTROS E ACESSORIOS AUTOMOTIVOS LTDA</v>
      </c>
      <c r="I2030">
        <f t="shared" si="157"/>
        <v>0</v>
      </c>
      <c r="J2030">
        <f t="shared" si="158"/>
        <v>1</v>
      </c>
    </row>
    <row r="2031" spans="1:10" x14ac:dyDescent="0.25">
      <c r="A2031" t="s">
        <v>62</v>
      </c>
      <c r="B2031" t="s">
        <v>63</v>
      </c>
      <c r="C2031" t="s">
        <v>56</v>
      </c>
      <c r="D2031" s="3">
        <v>45770</v>
      </c>
      <c r="E2031" t="str">
        <f>VLOOKUP(B2031,'PROCV GERENTES BD'!A:B,2,0)</f>
        <v xml:space="preserve">ROGERIO </v>
      </c>
      <c r="F2031" s="4" t="str">
        <f t="shared" si="159"/>
        <v>2025-04-2</v>
      </c>
      <c r="G2031" t="str">
        <f t="shared" si="155"/>
        <v xml:space="preserve">ROGERIO </v>
      </c>
      <c r="H2031" t="str">
        <f t="shared" si="156"/>
        <v>RODOVIEIRA TRANSPORTE LTDA</v>
      </c>
      <c r="I2031">
        <f t="shared" si="157"/>
        <v>0</v>
      </c>
      <c r="J2031">
        <f t="shared" si="158"/>
        <v>1</v>
      </c>
    </row>
    <row r="2032" spans="1:10" x14ac:dyDescent="0.25">
      <c r="A2032" t="s">
        <v>509</v>
      </c>
      <c r="B2032" t="s">
        <v>267</v>
      </c>
      <c r="C2032" t="s">
        <v>56</v>
      </c>
      <c r="D2032" s="3">
        <v>45770</v>
      </c>
      <c r="E2032" t="str">
        <f>VLOOKUP(B2032,'PROCV GERENTES BD'!A:B,2,0)</f>
        <v>SEM GERENTE</v>
      </c>
      <c r="F2032" s="4" t="str">
        <f t="shared" si="159"/>
        <v>2025-04-2</v>
      </c>
      <c r="G2032" t="str">
        <f t="shared" si="155"/>
        <v>SEM GERENTE</v>
      </c>
      <c r="H2032" t="str">
        <f t="shared" si="156"/>
        <v>ENGREMAT ENG PROJETO MANUTENCAO INSPECAO MONTAGENS</v>
      </c>
      <c r="I2032">
        <f t="shared" si="157"/>
        <v>0</v>
      </c>
      <c r="J2032">
        <f t="shared" si="158"/>
        <v>1</v>
      </c>
    </row>
    <row r="2033" spans="1:10" x14ac:dyDescent="0.25">
      <c r="A2033" t="s">
        <v>507</v>
      </c>
      <c r="B2033" t="s">
        <v>265</v>
      </c>
      <c r="C2033" t="s">
        <v>72</v>
      </c>
      <c r="D2033" s="3">
        <v>45770</v>
      </c>
      <c r="E2033" t="str">
        <f>VLOOKUP(B2033,'PROCV GERENTES BD'!A:B,2,0)</f>
        <v>SEM GERENTE</v>
      </c>
      <c r="F2033" s="4" t="str">
        <f t="shared" si="159"/>
        <v>2025-04-2</v>
      </c>
      <c r="G2033" t="str">
        <f t="shared" si="155"/>
        <v>SEM GERENTE</v>
      </c>
      <c r="H2033" t="str">
        <f t="shared" si="156"/>
        <v>PLATINUM INDUSTRIA DE CONFECCOES LTDA</v>
      </c>
      <c r="I2033">
        <f t="shared" si="157"/>
        <v>1</v>
      </c>
      <c r="J2033">
        <f t="shared" si="158"/>
        <v>0</v>
      </c>
    </row>
    <row r="2034" spans="1:10" x14ac:dyDescent="0.25">
      <c r="A2034" t="s">
        <v>70</v>
      </c>
      <c r="B2034" t="s">
        <v>71</v>
      </c>
      <c r="C2034" t="s">
        <v>56</v>
      </c>
      <c r="D2034" s="3">
        <v>45770</v>
      </c>
      <c r="E2034" t="str">
        <f>VLOOKUP(B2034,'PROCV GERENTES BD'!A:B,2,0)</f>
        <v>SEM GERENTE</v>
      </c>
      <c r="F2034" s="4" t="str">
        <f t="shared" si="159"/>
        <v>2025-04-2</v>
      </c>
      <c r="G2034" t="str">
        <f t="shared" si="155"/>
        <v>SEM GERENTE</v>
      </c>
      <c r="H2034" t="str">
        <f t="shared" si="156"/>
        <v>SOCIAL S/A</v>
      </c>
      <c r="I2034">
        <f t="shared" si="157"/>
        <v>0</v>
      </c>
      <c r="J2034">
        <f t="shared" si="158"/>
        <v>1</v>
      </c>
    </row>
    <row r="2035" spans="1:10" x14ac:dyDescent="0.25">
      <c r="A2035" t="s">
        <v>505</v>
      </c>
      <c r="B2035" t="s">
        <v>264</v>
      </c>
      <c r="C2035" t="s">
        <v>56</v>
      </c>
      <c r="D2035" s="3">
        <v>45770</v>
      </c>
      <c r="E2035" t="str">
        <f>VLOOKUP(B2035,'PROCV GERENTES BD'!A:B,2,0)</f>
        <v>SEM GERENTE</v>
      </c>
      <c r="F2035" s="4" t="str">
        <f t="shared" si="159"/>
        <v>2025-04-2</v>
      </c>
      <c r="G2035" t="str">
        <f t="shared" si="155"/>
        <v>SEM GERENTE</v>
      </c>
      <c r="H2035" t="str">
        <f t="shared" si="156"/>
        <v>OLIVEIRA E SILVA COMERCIO DE MADEIRAS E EMBALAGENS</v>
      </c>
      <c r="I2035">
        <f t="shared" si="157"/>
        <v>0</v>
      </c>
      <c r="J2035">
        <f t="shared" si="158"/>
        <v>1</v>
      </c>
    </row>
    <row r="2036" spans="1:10" x14ac:dyDescent="0.25">
      <c r="A2036" t="s">
        <v>321</v>
      </c>
      <c r="B2036" t="s">
        <v>253</v>
      </c>
      <c r="C2036" t="s">
        <v>56</v>
      </c>
      <c r="D2036" s="3">
        <v>45770</v>
      </c>
      <c r="E2036" t="str">
        <f>VLOOKUP(B2036,'PROCV GERENTES BD'!A:B,2,0)</f>
        <v>THAYNA/COMERCIAL</v>
      </c>
      <c r="F2036" s="4" t="str">
        <f t="shared" si="159"/>
        <v>2025-04-2</v>
      </c>
      <c r="G2036" t="str">
        <f t="shared" si="155"/>
        <v>THAYNA/COMERCIAL</v>
      </c>
      <c r="H2036" t="str">
        <f t="shared" si="156"/>
        <v>MUTCD CENTRO DE DISTRIBUICAO DE IND FABRICANTE DE</v>
      </c>
      <c r="I2036">
        <f t="shared" si="157"/>
        <v>0</v>
      </c>
      <c r="J2036">
        <f t="shared" si="158"/>
        <v>1</v>
      </c>
    </row>
    <row r="2037" spans="1:10" x14ac:dyDescent="0.25">
      <c r="A2037" t="s">
        <v>511</v>
      </c>
      <c r="B2037" t="s">
        <v>268</v>
      </c>
      <c r="C2037" t="s">
        <v>72</v>
      </c>
      <c r="D2037" s="3">
        <v>45770</v>
      </c>
      <c r="E2037" t="str">
        <f>VLOOKUP(B2037,'PROCV GERENTES BD'!A:B,2,0)</f>
        <v>PRISCILA METZ</v>
      </c>
      <c r="F2037" s="4" t="str">
        <f t="shared" si="159"/>
        <v>2025-04-2</v>
      </c>
      <c r="G2037" t="str">
        <f t="shared" si="155"/>
        <v>PRISCILA METZ</v>
      </c>
      <c r="H2037" t="str">
        <f t="shared" si="156"/>
        <v>ANDRADE ELETRO TECNICA LTDA EPP</v>
      </c>
      <c r="I2037">
        <f t="shared" si="157"/>
        <v>1</v>
      </c>
      <c r="J2037">
        <f t="shared" si="158"/>
        <v>0</v>
      </c>
    </row>
    <row r="2038" spans="1:10" x14ac:dyDescent="0.25">
      <c r="A2038" t="s">
        <v>339</v>
      </c>
      <c r="B2038" t="s">
        <v>151</v>
      </c>
      <c r="C2038" t="s">
        <v>56</v>
      </c>
      <c r="D2038" s="3">
        <v>45771</v>
      </c>
      <c r="E2038" t="str">
        <f>VLOOKUP(B2038,'PROCV GERENTES BD'!A:B,2,0)</f>
        <v>ADMINISTRAÇÃO</v>
      </c>
      <c r="F2038" s="4" t="str">
        <f t="shared" si="159"/>
        <v>2025-04-2</v>
      </c>
      <c r="G2038" t="str">
        <f t="shared" si="155"/>
        <v>ADMINISTRAÇÃO</v>
      </c>
      <c r="H2038" t="str">
        <f t="shared" si="156"/>
        <v>BOM PASTOR PAPEIS LTDA EM RECUPERACAO JUDICIAL</v>
      </c>
      <c r="I2038">
        <f t="shared" si="157"/>
        <v>0</v>
      </c>
      <c r="J2038">
        <f t="shared" si="158"/>
        <v>1</v>
      </c>
    </row>
    <row r="2039" spans="1:10" x14ac:dyDescent="0.25">
      <c r="A2039" t="s">
        <v>467</v>
      </c>
      <c r="B2039" t="s">
        <v>223</v>
      </c>
      <c r="C2039" t="s">
        <v>56</v>
      </c>
      <c r="D2039" s="3">
        <v>45771</v>
      </c>
      <c r="E2039" t="str">
        <f>VLOOKUP(B2039,'PROCV GERENTES BD'!A:B,2,0)</f>
        <v>ADMINISTRAÇÃO</v>
      </c>
      <c r="F2039" s="4" t="str">
        <f t="shared" si="159"/>
        <v>2025-04-2</v>
      </c>
      <c r="G2039" t="str">
        <f t="shared" si="155"/>
        <v>ADMINISTRAÇÃO</v>
      </c>
      <c r="H2039" t="str">
        <f t="shared" si="156"/>
        <v>JABEZ SERVICOS COMPARTILHADOS LTDA ME</v>
      </c>
      <c r="I2039">
        <f t="shared" si="157"/>
        <v>0</v>
      </c>
      <c r="J2039">
        <f t="shared" si="158"/>
        <v>1</v>
      </c>
    </row>
    <row r="2040" spans="1:10" x14ac:dyDescent="0.25">
      <c r="A2040" t="s">
        <v>387</v>
      </c>
      <c r="B2040" t="s">
        <v>133</v>
      </c>
      <c r="C2040" t="s">
        <v>56</v>
      </c>
      <c r="D2040" s="3">
        <v>45771</v>
      </c>
      <c r="E2040" t="str">
        <f>VLOOKUP(B2040,'PROCV GERENTES BD'!A:B,2,0)</f>
        <v>ADMINISTRAÇÃO</v>
      </c>
      <c r="F2040" s="4" t="str">
        <f t="shared" si="159"/>
        <v>2025-04-2</v>
      </c>
      <c r="G2040" t="str">
        <f t="shared" si="155"/>
        <v>ADMINISTRAÇÃO</v>
      </c>
      <c r="H2040" t="str">
        <f t="shared" si="156"/>
        <v>ENXOVAIS MINAS LTDA ME</v>
      </c>
      <c r="I2040">
        <f t="shared" si="157"/>
        <v>0</v>
      </c>
      <c r="J2040">
        <f t="shared" si="158"/>
        <v>1</v>
      </c>
    </row>
    <row r="2041" spans="1:10" x14ac:dyDescent="0.25">
      <c r="A2041" t="s">
        <v>474</v>
      </c>
      <c r="B2041" t="s">
        <v>230</v>
      </c>
      <c r="C2041" t="s">
        <v>72</v>
      </c>
      <c r="D2041" s="3">
        <v>45771</v>
      </c>
      <c r="E2041" t="str">
        <f>VLOOKUP(B2041,'PROCV GERENTES BD'!A:B,2,0)</f>
        <v>CELIO PIMENTA</v>
      </c>
      <c r="F2041" s="4" t="str">
        <f t="shared" si="159"/>
        <v>2025-04-2</v>
      </c>
      <c r="G2041" t="str">
        <f t="shared" si="155"/>
        <v>CELIO PIMENTA</v>
      </c>
      <c r="H2041" t="str">
        <f t="shared" si="156"/>
        <v>ACO X LTDA ME</v>
      </c>
      <c r="I2041">
        <f t="shared" si="157"/>
        <v>1</v>
      </c>
      <c r="J2041">
        <f t="shared" si="158"/>
        <v>0</v>
      </c>
    </row>
    <row r="2042" spans="1:10" x14ac:dyDescent="0.25">
      <c r="A2042" t="s">
        <v>391</v>
      </c>
      <c r="B2042" t="s">
        <v>137</v>
      </c>
      <c r="C2042" t="s">
        <v>72</v>
      </c>
      <c r="D2042" s="3">
        <v>45771</v>
      </c>
      <c r="E2042" t="str">
        <f>VLOOKUP(B2042,'PROCV GERENTES BD'!A:B,2,0)</f>
        <v>CELIO PIMENTA</v>
      </c>
      <c r="F2042" s="4" t="str">
        <f t="shared" si="159"/>
        <v>2025-04-2</v>
      </c>
      <c r="G2042" t="str">
        <f t="shared" si="155"/>
        <v>CELIO PIMENTA</v>
      </c>
      <c r="H2042" t="str">
        <f t="shared" si="156"/>
        <v>JR X IMPORT LTDA EPP</v>
      </c>
      <c r="I2042">
        <f t="shared" si="157"/>
        <v>1</v>
      </c>
      <c r="J2042">
        <f t="shared" si="158"/>
        <v>0</v>
      </c>
    </row>
    <row r="2043" spans="1:10" x14ac:dyDescent="0.25">
      <c r="A2043" t="s">
        <v>331</v>
      </c>
      <c r="B2043" t="s">
        <v>126</v>
      </c>
      <c r="C2043" t="s">
        <v>56</v>
      </c>
      <c r="D2043" s="3">
        <v>45771</v>
      </c>
      <c r="E2043" t="str">
        <f>VLOOKUP(B2043,'PROCV GERENTES BD'!A:B,2,0)</f>
        <v>FITZ</v>
      </c>
      <c r="F2043" s="4" t="str">
        <f t="shared" si="159"/>
        <v>2025-04-2</v>
      </c>
      <c r="G2043" t="str">
        <f t="shared" si="155"/>
        <v>FITZ</v>
      </c>
      <c r="H2043" t="str">
        <f t="shared" si="156"/>
        <v>TRANSHENRY TRANSPORTES LTDA</v>
      </c>
      <c r="I2043">
        <f t="shared" si="157"/>
        <v>0</v>
      </c>
      <c r="J2043">
        <f t="shared" si="158"/>
        <v>1</v>
      </c>
    </row>
    <row r="2044" spans="1:10" x14ac:dyDescent="0.25">
      <c r="A2044" t="s">
        <v>438</v>
      </c>
      <c r="B2044" t="s">
        <v>188</v>
      </c>
      <c r="C2044" t="s">
        <v>56</v>
      </c>
      <c r="D2044" s="3">
        <v>45771</v>
      </c>
      <c r="E2044" t="str">
        <f>VLOOKUP(B2044,'PROCV GERENTES BD'!A:B,2,0)</f>
        <v>FITZ</v>
      </c>
      <c r="F2044" s="4" t="str">
        <f t="shared" si="159"/>
        <v>2025-04-2</v>
      </c>
      <c r="G2044" t="str">
        <f t="shared" si="155"/>
        <v>FITZ</v>
      </c>
      <c r="H2044" t="str">
        <f t="shared" si="156"/>
        <v>SIQUEIRA E GAIPO INDUSTRIA E MATERIAIS ESPORTIVOS</v>
      </c>
      <c r="I2044">
        <f t="shared" si="157"/>
        <v>0</v>
      </c>
      <c r="J2044">
        <f t="shared" si="158"/>
        <v>1</v>
      </c>
    </row>
    <row r="2045" spans="1:10" x14ac:dyDescent="0.25">
      <c r="A2045" t="s">
        <v>377</v>
      </c>
      <c r="B2045" t="s">
        <v>120</v>
      </c>
      <c r="C2045" t="s">
        <v>72</v>
      </c>
      <c r="D2045" s="3">
        <v>45771</v>
      </c>
      <c r="E2045" t="str">
        <f>VLOOKUP(B2045,'PROCV GERENTES BD'!A:B,2,0)</f>
        <v xml:space="preserve">MARCUS VINICIUS </v>
      </c>
      <c r="F2045" s="4" t="str">
        <f t="shared" si="159"/>
        <v>2025-04-2</v>
      </c>
      <c r="G2045" t="str">
        <f t="shared" si="155"/>
        <v xml:space="preserve">MARCUS VINICIUS </v>
      </c>
      <c r="H2045" t="str">
        <f t="shared" si="156"/>
        <v>ISOBASE POLIESTIRENO LTDA EPP</v>
      </c>
      <c r="I2045">
        <f t="shared" si="157"/>
        <v>1</v>
      </c>
      <c r="J2045">
        <f t="shared" si="158"/>
        <v>0</v>
      </c>
    </row>
    <row r="2046" spans="1:10" x14ac:dyDescent="0.25">
      <c r="A2046" t="s">
        <v>408</v>
      </c>
      <c r="B2046" t="s">
        <v>157</v>
      </c>
      <c r="C2046" t="s">
        <v>72</v>
      </c>
      <c r="D2046" s="3">
        <v>45771</v>
      </c>
      <c r="E2046" t="str">
        <f>VLOOKUP(B2046,'PROCV GERENTES BD'!A:B,2,0)</f>
        <v>NOELI SALETE</v>
      </c>
      <c r="F2046" s="4" t="str">
        <f t="shared" si="159"/>
        <v>2025-04-2</v>
      </c>
      <c r="G2046" t="str">
        <f t="shared" si="155"/>
        <v>NOELI SALETE</v>
      </c>
      <c r="H2046" t="str">
        <f t="shared" si="156"/>
        <v>POOLMAK SISTEMAS ESTRUTURAIS LTDA</v>
      </c>
      <c r="I2046">
        <f t="shared" si="157"/>
        <v>1</v>
      </c>
      <c r="J2046">
        <f t="shared" si="158"/>
        <v>0</v>
      </c>
    </row>
    <row r="2047" spans="1:10" x14ac:dyDescent="0.25">
      <c r="A2047" t="s">
        <v>446</v>
      </c>
      <c r="B2047" t="s">
        <v>196</v>
      </c>
      <c r="C2047" t="s">
        <v>72</v>
      </c>
      <c r="D2047" s="3">
        <v>45771</v>
      </c>
      <c r="E2047" t="str">
        <f>VLOOKUP(B2047,'PROCV GERENTES BD'!A:B,2,0)</f>
        <v>NOELI SALETE</v>
      </c>
      <c r="F2047" s="4" t="str">
        <f t="shared" si="159"/>
        <v>2025-04-2</v>
      </c>
      <c r="G2047" t="str">
        <f t="shared" si="155"/>
        <v>NOELI SALETE</v>
      </c>
      <c r="H2047" t="str">
        <f t="shared" si="156"/>
        <v>AGRO INDUSTRIAL LAZZERI LTDA</v>
      </c>
      <c r="I2047">
        <f t="shared" si="157"/>
        <v>1</v>
      </c>
      <c r="J2047">
        <f t="shared" si="158"/>
        <v>0</v>
      </c>
    </row>
    <row r="2048" spans="1:10" x14ac:dyDescent="0.25">
      <c r="A2048" t="s">
        <v>314</v>
      </c>
      <c r="B2048" t="s">
        <v>108</v>
      </c>
      <c r="C2048" t="s">
        <v>77</v>
      </c>
      <c r="D2048" s="3">
        <v>45771</v>
      </c>
      <c r="E2048" t="str">
        <f>VLOOKUP(B2048,'PROCV GERENTES BD'!A:B,2,0)</f>
        <v>POENATELA</v>
      </c>
      <c r="F2048" s="4" t="str">
        <f t="shared" si="159"/>
        <v>2025-04-2</v>
      </c>
      <c r="G2048" t="str">
        <f t="shared" si="155"/>
        <v>POENATELA</v>
      </c>
      <c r="H2048" t="str">
        <f t="shared" si="156"/>
        <v>ECOPINUS INDUSTRIA E COMERCIO DE EMBALAGENS DE MAD</v>
      </c>
      <c r="I2048">
        <f t="shared" si="157"/>
        <v>0</v>
      </c>
      <c r="J2048">
        <f t="shared" si="158"/>
        <v>0</v>
      </c>
    </row>
    <row r="2049" spans="1:10" x14ac:dyDescent="0.25">
      <c r="A2049" t="s">
        <v>483</v>
      </c>
      <c r="B2049" t="s">
        <v>239</v>
      </c>
      <c r="C2049" t="s">
        <v>72</v>
      </c>
      <c r="D2049" s="3">
        <v>45771</v>
      </c>
      <c r="E2049" t="str">
        <f>VLOOKUP(B2049,'PROCV GERENTES BD'!A:B,2,0)</f>
        <v>POENATELA</v>
      </c>
      <c r="F2049" s="4" t="str">
        <f t="shared" si="159"/>
        <v>2025-04-2</v>
      </c>
      <c r="G2049" t="str">
        <f t="shared" si="155"/>
        <v>POENATELA</v>
      </c>
      <c r="H2049" t="str">
        <f t="shared" si="156"/>
        <v>JUATUBA MOVEIS E EMBALAGENS LTDA</v>
      </c>
      <c r="I2049">
        <f t="shared" si="157"/>
        <v>1</v>
      </c>
      <c r="J2049">
        <f t="shared" si="158"/>
        <v>0</v>
      </c>
    </row>
    <row r="2050" spans="1:10" x14ac:dyDescent="0.25">
      <c r="A2050" t="s">
        <v>428</v>
      </c>
      <c r="B2050" t="s">
        <v>177</v>
      </c>
      <c r="C2050" t="s">
        <v>72</v>
      </c>
      <c r="D2050" s="3">
        <v>45771</v>
      </c>
      <c r="E2050" t="str">
        <f>VLOOKUP(B2050,'PROCV GERENTES BD'!A:B,2,0)</f>
        <v>POENATELA</v>
      </c>
      <c r="F2050" s="4" t="str">
        <f t="shared" si="159"/>
        <v>2025-04-2</v>
      </c>
      <c r="G2050" t="str">
        <f t="shared" ref="G2050:G2113" si="160">E2050</f>
        <v>POENATELA</v>
      </c>
      <c r="H2050" t="str">
        <f t="shared" ref="H2050:H2113" si="161">B2050</f>
        <v>SAVIXX COMERCIO INTERNACIONAL S/A</v>
      </c>
      <c r="I2050">
        <f t="shared" ref="I2050:I2113" si="162">IF(C2050="EXCLUSAO  ANOT.INADIMPLENCIA",1,0)</f>
        <v>1</v>
      </c>
      <c r="J2050">
        <f t="shared" ref="J2050:J2113" si="163">IF(C2050="INCLUSAO  ANOT.INADIMPLENCIA",1,0)</f>
        <v>0</v>
      </c>
    </row>
    <row r="2051" spans="1:10" x14ac:dyDescent="0.25">
      <c r="A2051" t="s">
        <v>406</v>
      </c>
      <c r="B2051" t="s">
        <v>155</v>
      </c>
      <c r="C2051" t="s">
        <v>56</v>
      </c>
      <c r="D2051" s="3">
        <v>45771</v>
      </c>
      <c r="E2051" t="str">
        <f>VLOOKUP(B2051,'PROCV GERENTES BD'!A:B,2,0)</f>
        <v>PRISCILA METZ</v>
      </c>
      <c r="F2051" s="4" t="str">
        <f t="shared" ref="F2051:F2114" si="164">YEAR(D2051)&amp;"-"&amp;TEXT(MONTH(D2051),"00")&amp;"-"&amp;IF(DAY(D2051)&lt;=15,"1",IF(DAY(D2051)&gt;15,"2",""))</f>
        <v>2025-04-2</v>
      </c>
      <c r="G2051" t="str">
        <f t="shared" si="160"/>
        <v>PRISCILA METZ</v>
      </c>
      <c r="H2051" t="str">
        <f t="shared" si="161"/>
        <v>JF GOLD DISTRIBUIDORA LTDA EPP</v>
      </c>
      <c r="I2051">
        <f t="shared" si="162"/>
        <v>0</v>
      </c>
      <c r="J2051">
        <f t="shared" si="163"/>
        <v>1</v>
      </c>
    </row>
    <row r="2052" spans="1:10" x14ac:dyDescent="0.25">
      <c r="A2052" t="s">
        <v>462</v>
      </c>
      <c r="B2052" t="s">
        <v>218</v>
      </c>
      <c r="C2052" t="s">
        <v>56</v>
      </c>
      <c r="D2052" s="3">
        <v>45771</v>
      </c>
      <c r="E2052" t="str">
        <f>VLOOKUP(B2052,'PROCV GERENTES BD'!A:B,2,0)</f>
        <v>RAFAEL PARISE</v>
      </c>
      <c r="F2052" s="4" t="str">
        <f t="shared" si="164"/>
        <v>2025-04-2</v>
      </c>
      <c r="G2052" t="str">
        <f t="shared" si="160"/>
        <v>RAFAEL PARISE</v>
      </c>
      <c r="H2052" t="str">
        <f t="shared" si="161"/>
        <v>TREGA FILHOS EMPACOTAMENTO E DISTRIBUICAO LTDA ME</v>
      </c>
      <c r="I2052">
        <f t="shared" si="162"/>
        <v>0</v>
      </c>
      <c r="J2052">
        <f t="shared" si="163"/>
        <v>1</v>
      </c>
    </row>
    <row r="2053" spans="1:10" x14ac:dyDescent="0.25">
      <c r="A2053" t="s">
        <v>332</v>
      </c>
      <c r="B2053" t="s">
        <v>145</v>
      </c>
      <c r="C2053" t="s">
        <v>56</v>
      </c>
      <c r="D2053" s="3">
        <v>45771</v>
      </c>
      <c r="E2053" t="str">
        <f>VLOOKUP(B2053,'PROCV GERENTES BD'!A:B,2,0)</f>
        <v>SEM GERENTE</v>
      </c>
      <c r="F2053" s="4" t="str">
        <f t="shared" si="164"/>
        <v>2025-04-2</v>
      </c>
      <c r="G2053" t="str">
        <f t="shared" si="160"/>
        <v>SEM GERENTE</v>
      </c>
      <c r="H2053" t="str">
        <f t="shared" si="161"/>
        <v>ALLIAGE S A INDUSTRIAS MEDICO ODONTOLOGICA</v>
      </c>
      <c r="I2053">
        <f t="shared" si="162"/>
        <v>0</v>
      </c>
      <c r="J2053">
        <f t="shared" si="163"/>
        <v>1</v>
      </c>
    </row>
    <row r="2054" spans="1:10" x14ac:dyDescent="0.25">
      <c r="A2054" t="s">
        <v>62</v>
      </c>
      <c r="B2054" t="s">
        <v>63</v>
      </c>
      <c r="C2054" t="s">
        <v>72</v>
      </c>
      <c r="D2054" s="3">
        <v>45771</v>
      </c>
      <c r="E2054" t="str">
        <f>VLOOKUP(B2054,'PROCV GERENTES BD'!A:B,2,0)</f>
        <v xml:space="preserve">ROGERIO </v>
      </c>
      <c r="F2054" s="4" t="str">
        <f t="shared" si="164"/>
        <v>2025-04-2</v>
      </c>
      <c r="G2054" t="str">
        <f t="shared" si="160"/>
        <v xml:space="preserve">ROGERIO </v>
      </c>
      <c r="H2054" t="str">
        <f t="shared" si="161"/>
        <v>RODOVIEIRA TRANSPORTE LTDA</v>
      </c>
      <c r="I2054">
        <f t="shared" si="162"/>
        <v>1</v>
      </c>
      <c r="J2054">
        <f t="shared" si="163"/>
        <v>0</v>
      </c>
    </row>
    <row r="2055" spans="1:10" x14ac:dyDescent="0.25">
      <c r="A2055" t="s">
        <v>70</v>
      </c>
      <c r="B2055" t="s">
        <v>71</v>
      </c>
      <c r="C2055" t="s">
        <v>56</v>
      </c>
      <c r="D2055" s="3">
        <v>45771</v>
      </c>
      <c r="E2055" t="str">
        <f>VLOOKUP(B2055,'PROCV GERENTES BD'!A:B,2,0)</f>
        <v>SEM GERENTE</v>
      </c>
      <c r="F2055" s="4" t="str">
        <f t="shared" si="164"/>
        <v>2025-04-2</v>
      </c>
      <c r="G2055" t="str">
        <f t="shared" si="160"/>
        <v>SEM GERENTE</v>
      </c>
      <c r="H2055" t="str">
        <f t="shared" si="161"/>
        <v>SOCIAL S/A</v>
      </c>
      <c r="I2055">
        <f t="shared" si="162"/>
        <v>0</v>
      </c>
      <c r="J2055">
        <f t="shared" si="163"/>
        <v>1</v>
      </c>
    </row>
    <row r="2056" spans="1:10" x14ac:dyDescent="0.25">
      <c r="A2056" t="s">
        <v>505</v>
      </c>
      <c r="B2056" t="s">
        <v>264</v>
      </c>
      <c r="C2056" t="s">
        <v>56</v>
      </c>
      <c r="D2056" s="3">
        <v>45771</v>
      </c>
      <c r="E2056" t="str">
        <f>VLOOKUP(B2056,'PROCV GERENTES BD'!A:B,2,0)</f>
        <v>SEM GERENTE</v>
      </c>
      <c r="F2056" s="4" t="str">
        <f t="shared" si="164"/>
        <v>2025-04-2</v>
      </c>
      <c r="G2056" t="str">
        <f t="shared" si="160"/>
        <v>SEM GERENTE</v>
      </c>
      <c r="H2056" t="str">
        <f t="shared" si="161"/>
        <v>OLIVEIRA E SILVA COMERCIO DE MADEIRAS E EMBALAGENS</v>
      </c>
      <c r="I2056">
        <f t="shared" si="162"/>
        <v>0</v>
      </c>
      <c r="J2056">
        <f t="shared" si="163"/>
        <v>1</v>
      </c>
    </row>
    <row r="2057" spans="1:10" x14ac:dyDescent="0.25">
      <c r="A2057" t="s">
        <v>387</v>
      </c>
      <c r="B2057" t="s">
        <v>133</v>
      </c>
      <c r="C2057" t="s">
        <v>56</v>
      </c>
      <c r="D2057" s="3">
        <v>45772</v>
      </c>
      <c r="E2057" t="str">
        <f>VLOOKUP(B2057,'PROCV GERENTES BD'!A:B,2,0)</f>
        <v>ADMINISTRAÇÃO</v>
      </c>
      <c r="F2057" s="4" t="str">
        <f t="shared" si="164"/>
        <v>2025-04-2</v>
      </c>
      <c r="G2057" t="str">
        <f t="shared" si="160"/>
        <v>ADMINISTRAÇÃO</v>
      </c>
      <c r="H2057" t="str">
        <f t="shared" si="161"/>
        <v>ENXOVAIS MINAS LTDA ME</v>
      </c>
      <c r="I2057">
        <f t="shared" si="162"/>
        <v>0</v>
      </c>
      <c r="J2057">
        <f t="shared" si="163"/>
        <v>1</v>
      </c>
    </row>
    <row r="2058" spans="1:10" x14ac:dyDescent="0.25">
      <c r="A2058" t="s">
        <v>457</v>
      </c>
      <c r="B2058" t="s">
        <v>213</v>
      </c>
      <c r="C2058" t="s">
        <v>72</v>
      </c>
      <c r="D2058" s="3">
        <v>45772</v>
      </c>
      <c r="E2058" t="str">
        <f>VLOOKUP(B2058,'PROCV GERENTES BD'!A:B,2,0)</f>
        <v>ANTONIO CARLOS</v>
      </c>
      <c r="F2058" s="4" t="str">
        <f t="shared" si="164"/>
        <v>2025-04-2</v>
      </c>
      <c r="G2058" t="str">
        <f t="shared" si="160"/>
        <v>ANTONIO CARLOS</v>
      </c>
      <c r="H2058" t="str">
        <f t="shared" si="161"/>
        <v>P P DISTRIBUIDORA LTDA</v>
      </c>
      <c r="I2058">
        <f t="shared" si="162"/>
        <v>1</v>
      </c>
      <c r="J2058">
        <f t="shared" si="163"/>
        <v>0</v>
      </c>
    </row>
    <row r="2059" spans="1:10" x14ac:dyDescent="0.25">
      <c r="A2059" t="s">
        <v>326</v>
      </c>
      <c r="B2059" t="s">
        <v>86</v>
      </c>
      <c r="C2059" t="s">
        <v>72</v>
      </c>
      <c r="D2059" s="3">
        <v>45772</v>
      </c>
      <c r="E2059" t="str">
        <f>VLOOKUP(B2059,'PROCV GERENTES BD'!A:B,2,0)</f>
        <v>CELIO PIMENTA</v>
      </c>
      <c r="F2059" s="4" t="str">
        <f t="shared" si="164"/>
        <v>2025-04-2</v>
      </c>
      <c r="G2059" t="str">
        <f t="shared" si="160"/>
        <v>CELIO PIMENTA</v>
      </c>
      <c r="H2059" t="str">
        <f t="shared" si="161"/>
        <v>IMPORTEXTIL COMERCIO DE TECIDOS LTDA</v>
      </c>
      <c r="I2059">
        <f t="shared" si="162"/>
        <v>1</v>
      </c>
      <c r="J2059">
        <f t="shared" si="163"/>
        <v>0</v>
      </c>
    </row>
    <row r="2060" spans="1:10" x14ac:dyDescent="0.25">
      <c r="A2060" t="s">
        <v>331</v>
      </c>
      <c r="B2060" t="s">
        <v>126</v>
      </c>
      <c r="C2060" t="s">
        <v>72</v>
      </c>
      <c r="D2060" s="3">
        <v>45772</v>
      </c>
      <c r="E2060" t="str">
        <f>VLOOKUP(B2060,'PROCV GERENTES BD'!A:B,2,0)</f>
        <v>FITZ</v>
      </c>
      <c r="F2060" s="4" t="str">
        <f t="shared" si="164"/>
        <v>2025-04-2</v>
      </c>
      <c r="G2060" t="str">
        <f t="shared" si="160"/>
        <v>FITZ</v>
      </c>
      <c r="H2060" t="str">
        <f t="shared" si="161"/>
        <v>TRANSHENRY TRANSPORTES LTDA</v>
      </c>
      <c r="I2060">
        <f t="shared" si="162"/>
        <v>1</v>
      </c>
      <c r="J2060">
        <f t="shared" si="163"/>
        <v>0</v>
      </c>
    </row>
    <row r="2061" spans="1:10" x14ac:dyDescent="0.25">
      <c r="A2061" t="s">
        <v>325</v>
      </c>
      <c r="B2061" t="s">
        <v>210</v>
      </c>
      <c r="C2061" t="s">
        <v>72</v>
      </c>
      <c r="D2061" s="3">
        <v>45772</v>
      </c>
      <c r="E2061" t="str">
        <f>VLOOKUP(B2061,'PROCV GERENTES BD'!A:B,2,0)</f>
        <v>JOSE ROBERTO</v>
      </c>
      <c r="F2061" s="4" t="str">
        <f t="shared" si="164"/>
        <v>2025-04-2</v>
      </c>
      <c r="G2061" t="str">
        <f t="shared" si="160"/>
        <v>JOSE ROBERTO</v>
      </c>
      <c r="H2061" t="str">
        <f t="shared" si="161"/>
        <v>FUNDACAO DE ENSINO E PESQUISA DO SUL DE MINAS FEPE</v>
      </c>
      <c r="I2061">
        <f t="shared" si="162"/>
        <v>1</v>
      </c>
      <c r="J2061">
        <f t="shared" si="163"/>
        <v>0</v>
      </c>
    </row>
    <row r="2062" spans="1:10" x14ac:dyDescent="0.25">
      <c r="A2062" t="s">
        <v>403</v>
      </c>
      <c r="B2062" t="s">
        <v>152</v>
      </c>
      <c r="C2062" t="s">
        <v>56</v>
      </c>
      <c r="D2062" s="3">
        <v>45772</v>
      </c>
      <c r="E2062" t="str">
        <f>VLOOKUP(B2062,'PROCV GERENTES BD'!A:B,2,0)</f>
        <v>MARCIO LEONEL</v>
      </c>
      <c r="F2062" s="4" t="str">
        <f t="shared" si="164"/>
        <v>2025-04-2</v>
      </c>
      <c r="G2062" t="str">
        <f t="shared" si="160"/>
        <v>MARCIO LEONEL</v>
      </c>
      <c r="H2062" t="str">
        <f t="shared" si="161"/>
        <v>MEDICAL PRIME IMP EXPORT DISTRIB PRODUTOS MEDICOS</v>
      </c>
      <c r="I2062">
        <f t="shared" si="162"/>
        <v>0</v>
      </c>
      <c r="J2062">
        <f t="shared" si="163"/>
        <v>1</v>
      </c>
    </row>
    <row r="2063" spans="1:10" x14ac:dyDescent="0.25">
      <c r="A2063" t="s">
        <v>66</v>
      </c>
      <c r="B2063" t="s">
        <v>67</v>
      </c>
      <c r="C2063" t="s">
        <v>56</v>
      </c>
      <c r="D2063" s="3">
        <v>45772</v>
      </c>
      <c r="E2063" t="str">
        <f>VLOOKUP(B2063,'PROCV GERENTES BD'!A:B,2,0)</f>
        <v xml:space="preserve">MARCUS VINICIUS </v>
      </c>
      <c r="F2063" s="4" t="str">
        <f t="shared" si="164"/>
        <v>2025-04-2</v>
      </c>
      <c r="G2063" t="str">
        <f t="shared" si="160"/>
        <v xml:space="preserve">MARCUS VINICIUS </v>
      </c>
      <c r="H2063" t="str">
        <f t="shared" si="161"/>
        <v>COM IND DE CEREAIS E TRANSPORTES MACIEL LTDA</v>
      </c>
      <c r="I2063">
        <f t="shared" si="162"/>
        <v>0</v>
      </c>
      <c r="J2063">
        <f t="shared" si="163"/>
        <v>1</v>
      </c>
    </row>
    <row r="2064" spans="1:10" x14ac:dyDescent="0.25">
      <c r="A2064" t="s">
        <v>436</v>
      </c>
      <c r="B2064" t="s">
        <v>186</v>
      </c>
      <c r="C2064" t="s">
        <v>72</v>
      </c>
      <c r="D2064" s="3">
        <v>45772</v>
      </c>
      <c r="E2064" t="str">
        <f>VLOOKUP(B2064,'PROCV GERENTES BD'!A:B,2,0)</f>
        <v xml:space="preserve">MARCUS VINICIUS </v>
      </c>
      <c r="F2064" s="4" t="str">
        <f t="shared" si="164"/>
        <v>2025-04-2</v>
      </c>
      <c r="G2064" t="str">
        <f t="shared" si="160"/>
        <v xml:space="preserve">MARCUS VINICIUS </v>
      </c>
      <c r="H2064" t="str">
        <f t="shared" si="161"/>
        <v>LABOR ELETRIC INDUSTRIA E COMERCIO UNIPESSOAL LTDA</v>
      </c>
      <c r="I2064">
        <f t="shared" si="162"/>
        <v>1</v>
      </c>
      <c r="J2064">
        <f t="shared" si="163"/>
        <v>0</v>
      </c>
    </row>
    <row r="2065" spans="1:10" x14ac:dyDescent="0.25">
      <c r="A2065" t="s">
        <v>446</v>
      </c>
      <c r="B2065" t="s">
        <v>196</v>
      </c>
      <c r="C2065" t="s">
        <v>56</v>
      </c>
      <c r="D2065" s="3">
        <v>45772</v>
      </c>
      <c r="E2065" t="str">
        <f>VLOOKUP(B2065,'PROCV GERENTES BD'!A:B,2,0)</f>
        <v>NOELI SALETE</v>
      </c>
      <c r="F2065" s="4" t="str">
        <f t="shared" si="164"/>
        <v>2025-04-2</v>
      </c>
      <c r="G2065" t="str">
        <f t="shared" si="160"/>
        <v>NOELI SALETE</v>
      </c>
      <c r="H2065" t="str">
        <f t="shared" si="161"/>
        <v>AGRO INDUSTRIAL LAZZERI LTDA</v>
      </c>
      <c r="I2065">
        <f t="shared" si="162"/>
        <v>0</v>
      </c>
      <c r="J2065">
        <f t="shared" si="163"/>
        <v>1</v>
      </c>
    </row>
    <row r="2066" spans="1:10" x14ac:dyDescent="0.25">
      <c r="A2066" t="s">
        <v>314</v>
      </c>
      <c r="B2066" t="s">
        <v>108</v>
      </c>
      <c r="C2066" t="s">
        <v>72</v>
      </c>
      <c r="D2066" s="3">
        <v>45772</v>
      </c>
      <c r="E2066" t="str">
        <f>VLOOKUP(B2066,'PROCV GERENTES BD'!A:B,2,0)</f>
        <v>POENATELA</v>
      </c>
      <c r="F2066" s="4" t="str">
        <f t="shared" si="164"/>
        <v>2025-04-2</v>
      </c>
      <c r="G2066" t="str">
        <f t="shared" si="160"/>
        <v>POENATELA</v>
      </c>
      <c r="H2066" t="str">
        <f t="shared" si="161"/>
        <v>ECOPINUS INDUSTRIA E COMERCIO DE EMBALAGENS DE MAD</v>
      </c>
      <c r="I2066">
        <f t="shared" si="162"/>
        <v>1</v>
      </c>
      <c r="J2066">
        <f t="shared" si="163"/>
        <v>0</v>
      </c>
    </row>
    <row r="2067" spans="1:10" x14ac:dyDescent="0.25">
      <c r="A2067" t="s">
        <v>428</v>
      </c>
      <c r="B2067" t="s">
        <v>177</v>
      </c>
      <c r="C2067" t="s">
        <v>72</v>
      </c>
      <c r="D2067" s="3">
        <v>45772</v>
      </c>
      <c r="E2067" t="str">
        <f>VLOOKUP(B2067,'PROCV GERENTES BD'!A:B,2,0)</f>
        <v>POENATELA</v>
      </c>
      <c r="F2067" s="4" t="str">
        <f t="shared" si="164"/>
        <v>2025-04-2</v>
      </c>
      <c r="G2067" t="str">
        <f t="shared" si="160"/>
        <v>POENATELA</v>
      </c>
      <c r="H2067" t="str">
        <f t="shared" si="161"/>
        <v>SAVIXX COMERCIO INTERNACIONAL S/A</v>
      </c>
      <c r="I2067">
        <f t="shared" si="162"/>
        <v>1</v>
      </c>
      <c r="J2067">
        <f t="shared" si="163"/>
        <v>0</v>
      </c>
    </row>
    <row r="2068" spans="1:10" x14ac:dyDescent="0.25">
      <c r="A2068" t="s">
        <v>57</v>
      </c>
      <c r="B2068" t="s">
        <v>58</v>
      </c>
      <c r="C2068" t="s">
        <v>56</v>
      </c>
      <c r="D2068" s="3">
        <v>45772</v>
      </c>
      <c r="E2068" t="str">
        <f>VLOOKUP(B2068,'PROCV GERENTES BD'!A:B,2,0)</f>
        <v>RAFAEL PARISE</v>
      </c>
      <c r="F2068" s="4" t="str">
        <f t="shared" si="164"/>
        <v>2025-04-2</v>
      </c>
      <c r="G2068" t="str">
        <f t="shared" si="160"/>
        <v>RAFAEL PARISE</v>
      </c>
      <c r="H2068" t="str">
        <f t="shared" si="161"/>
        <v>TDR TRANSPORTES LOGISTICA LTDA</v>
      </c>
      <c r="I2068">
        <f t="shared" si="162"/>
        <v>0</v>
      </c>
      <c r="J2068">
        <f t="shared" si="163"/>
        <v>1</v>
      </c>
    </row>
    <row r="2069" spans="1:10" x14ac:dyDescent="0.25">
      <c r="A2069" t="s">
        <v>465</v>
      </c>
      <c r="B2069" t="s">
        <v>221</v>
      </c>
      <c r="C2069" t="s">
        <v>72</v>
      </c>
      <c r="D2069" s="3">
        <v>45772</v>
      </c>
      <c r="E2069" t="s">
        <v>25</v>
      </c>
      <c r="F2069" s="4" t="str">
        <f t="shared" si="164"/>
        <v>2025-04-2</v>
      </c>
      <c r="G2069" t="str">
        <f t="shared" si="160"/>
        <v xml:space="preserve">ROGERIO </v>
      </c>
      <c r="H2069" t="str">
        <f t="shared" si="161"/>
        <v>METAL STAMP INDUSTRIA E COMERCIO LTDA</v>
      </c>
      <c r="I2069">
        <f t="shared" si="162"/>
        <v>1</v>
      </c>
      <c r="J2069">
        <f t="shared" si="163"/>
        <v>0</v>
      </c>
    </row>
    <row r="2070" spans="1:10" x14ac:dyDescent="0.25">
      <c r="A2070" t="s">
        <v>469</v>
      </c>
      <c r="B2070" t="s">
        <v>225</v>
      </c>
      <c r="C2070" t="s">
        <v>56</v>
      </c>
      <c r="D2070" s="3">
        <v>45772</v>
      </c>
      <c r="E2070" t="str">
        <f>VLOOKUP(B2070,'PROCV GERENTES BD'!A:B,2,0)</f>
        <v>SEM GERENTE</v>
      </c>
      <c r="F2070" s="4" t="str">
        <f t="shared" si="164"/>
        <v>2025-04-2</v>
      </c>
      <c r="G2070" t="str">
        <f t="shared" si="160"/>
        <v>SEM GERENTE</v>
      </c>
      <c r="H2070" t="str">
        <f t="shared" si="161"/>
        <v>KUARA COMERCIAL E EXPORTADORA DE FRUTAS LTDA</v>
      </c>
      <c r="I2070">
        <f t="shared" si="162"/>
        <v>0</v>
      </c>
      <c r="J2070">
        <f t="shared" si="163"/>
        <v>1</v>
      </c>
    </row>
    <row r="2071" spans="1:10" x14ac:dyDescent="0.25">
      <c r="A2071" t="s">
        <v>492</v>
      </c>
      <c r="B2071" t="s">
        <v>252</v>
      </c>
      <c r="C2071" t="s">
        <v>77</v>
      </c>
      <c r="D2071" s="3">
        <v>45772</v>
      </c>
      <c r="E2071" t="str">
        <f>VLOOKUP(B2071,'PROCV GERENTES BD'!A:B,2,0)</f>
        <v>ADMINISTRAÇÃO</v>
      </c>
      <c r="F2071" s="4" t="str">
        <f t="shared" si="164"/>
        <v>2025-04-2</v>
      </c>
      <c r="G2071" t="str">
        <f t="shared" si="160"/>
        <v>ADMINISTRAÇÃO</v>
      </c>
      <c r="H2071" t="str">
        <f t="shared" si="161"/>
        <v>REAL FILTROS E ACESSORIOS AUTOMOTIVOS LTDA</v>
      </c>
      <c r="I2071">
        <f t="shared" si="162"/>
        <v>0</v>
      </c>
      <c r="J2071">
        <f t="shared" si="163"/>
        <v>0</v>
      </c>
    </row>
    <row r="2072" spans="1:10" x14ac:dyDescent="0.25">
      <c r="A2072" t="s">
        <v>397</v>
      </c>
      <c r="B2072" t="s">
        <v>270</v>
      </c>
      <c r="C2072" t="s">
        <v>336</v>
      </c>
      <c r="D2072" s="3">
        <v>45772</v>
      </c>
      <c r="E2072" t="str">
        <f>VLOOKUP(B2072,'PROCV GERENTES BD'!A:B,2,0)</f>
        <v>POENATELA</v>
      </c>
      <c r="F2072" s="4" t="str">
        <f t="shared" si="164"/>
        <v>2025-04-2</v>
      </c>
      <c r="G2072" t="str">
        <f t="shared" si="160"/>
        <v>POENATELA</v>
      </c>
      <c r="H2072" t="str">
        <f t="shared" si="161"/>
        <v>CONQUISTA INDUSTRIA DE MOVEIS S A EM RECUPERACAO J</v>
      </c>
      <c r="I2072">
        <f t="shared" si="162"/>
        <v>0</v>
      </c>
      <c r="J2072">
        <f t="shared" si="163"/>
        <v>0</v>
      </c>
    </row>
    <row r="2073" spans="1:10" x14ac:dyDescent="0.25">
      <c r="A2073" t="s">
        <v>328</v>
      </c>
      <c r="B2073" t="s">
        <v>271</v>
      </c>
      <c r="C2073" t="s">
        <v>72</v>
      </c>
      <c r="D2073" s="3">
        <v>45772</v>
      </c>
      <c r="E2073" t="str">
        <f>VLOOKUP(B2073,'PROCV GERENTES BD'!A:B,2,0)</f>
        <v>RAFAEL PARISE</v>
      </c>
      <c r="F2073" s="4" t="str">
        <f t="shared" si="164"/>
        <v>2025-04-2</v>
      </c>
      <c r="G2073" t="str">
        <f t="shared" si="160"/>
        <v>RAFAEL PARISE</v>
      </c>
      <c r="H2073" t="str">
        <f t="shared" si="161"/>
        <v>METALCROMO METALIZACAO E CROMO DURO INDUSTRIAL LTD</v>
      </c>
      <c r="I2073">
        <f t="shared" si="162"/>
        <v>1</v>
      </c>
      <c r="J2073">
        <f t="shared" si="163"/>
        <v>0</v>
      </c>
    </row>
    <row r="2074" spans="1:10" x14ac:dyDescent="0.25">
      <c r="A2074" t="s">
        <v>62</v>
      </c>
      <c r="B2074" t="s">
        <v>63</v>
      </c>
      <c r="C2074" t="s">
        <v>72</v>
      </c>
      <c r="D2074" s="3">
        <v>45772</v>
      </c>
      <c r="E2074" t="str">
        <f>VLOOKUP(B2074,'PROCV GERENTES BD'!A:B,2,0)</f>
        <v xml:space="preserve">ROGERIO </v>
      </c>
      <c r="F2074" s="4" t="str">
        <f t="shared" si="164"/>
        <v>2025-04-2</v>
      </c>
      <c r="G2074" t="str">
        <f t="shared" si="160"/>
        <v xml:space="preserve">ROGERIO </v>
      </c>
      <c r="H2074" t="str">
        <f t="shared" si="161"/>
        <v>RODOVIEIRA TRANSPORTE LTDA</v>
      </c>
      <c r="I2074">
        <f t="shared" si="162"/>
        <v>1</v>
      </c>
      <c r="J2074">
        <f t="shared" si="163"/>
        <v>0</v>
      </c>
    </row>
    <row r="2075" spans="1:10" x14ac:dyDescent="0.25">
      <c r="A2075" t="s">
        <v>507</v>
      </c>
      <c r="B2075" t="s">
        <v>265</v>
      </c>
      <c r="C2075" t="s">
        <v>72</v>
      </c>
      <c r="D2075" s="3">
        <v>45772</v>
      </c>
      <c r="E2075" t="str">
        <f>VLOOKUP(B2075,'PROCV GERENTES BD'!A:B,2,0)</f>
        <v>SEM GERENTE</v>
      </c>
      <c r="F2075" s="4" t="str">
        <f t="shared" si="164"/>
        <v>2025-04-2</v>
      </c>
      <c r="G2075" t="str">
        <f t="shared" si="160"/>
        <v>SEM GERENTE</v>
      </c>
      <c r="H2075" t="str">
        <f t="shared" si="161"/>
        <v>PLATINUM INDUSTRIA DE CONFECCOES LTDA</v>
      </c>
      <c r="I2075">
        <f t="shared" si="162"/>
        <v>1</v>
      </c>
      <c r="J2075">
        <f t="shared" si="163"/>
        <v>0</v>
      </c>
    </row>
    <row r="2076" spans="1:10" x14ac:dyDescent="0.25">
      <c r="A2076" t="s">
        <v>70</v>
      </c>
      <c r="B2076" t="s">
        <v>71</v>
      </c>
      <c r="C2076" t="s">
        <v>59</v>
      </c>
      <c r="D2076" s="3">
        <v>45772</v>
      </c>
      <c r="E2076" t="str">
        <f>VLOOKUP(B2076,'PROCV GERENTES BD'!A:B,2,0)</f>
        <v>SEM GERENTE</v>
      </c>
      <c r="F2076" s="4" t="str">
        <f t="shared" si="164"/>
        <v>2025-04-2</v>
      </c>
      <c r="G2076" t="str">
        <f t="shared" si="160"/>
        <v>SEM GERENTE</v>
      </c>
      <c r="H2076" t="str">
        <f t="shared" si="161"/>
        <v>SOCIAL S/A</v>
      </c>
      <c r="I2076">
        <f t="shared" si="162"/>
        <v>0</v>
      </c>
      <c r="J2076">
        <f t="shared" si="163"/>
        <v>0</v>
      </c>
    </row>
    <row r="2077" spans="1:10" x14ac:dyDescent="0.25">
      <c r="A2077" t="s">
        <v>391</v>
      </c>
      <c r="B2077" t="s">
        <v>137</v>
      </c>
      <c r="C2077" t="s">
        <v>56</v>
      </c>
      <c r="D2077" s="3">
        <v>45773</v>
      </c>
      <c r="E2077" t="str">
        <f>VLOOKUP(B2077,'PROCV GERENTES BD'!A:B,2,0)</f>
        <v>CELIO PIMENTA</v>
      </c>
      <c r="F2077" s="4" t="str">
        <f t="shared" si="164"/>
        <v>2025-04-2</v>
      </c>
      <c r="G2077" t="str">
        <f t="shared" si="160"/>
        <v>CELIO PIMENTA</v>
      </c>
      <c r="H2077" t="str">
        <f t="shared" si="161"/>
        <v>JR X IMPORT LTDA EPP</v>
      </c>
      <c r="I2077">
        <f t="shared" si="162"/>
        <v>0</v>
      </c>
      <c r="J2077">
        <f t="shared" si="163"/>
        <v>1</v>
      </c>
    </row>
    <row r="2078" spans="1:10" x14ac:dyDescent="0.25">
      <c r="A2078" t="s">
        <v>458</v>
      </c>
      <c r="B2078" t="s">
        <v>214</v>
      </c>
      <c r="C2078" t="s">
        <v>56</v>
      </c>
      <c r="D2078" s="3">
        <v>45773</v>
      </c>
      <c r="E2078" t="str">
        <f>VLOOKUP(B2078,'PROCV GERENTES BD'!A:B,2,0)</f>
        <v>CELIO PIMENTA</v>
      </c>
      <c r="F2078" s="4" t="str">
        <f t="shared" si="164"/>
        <v>2025-04-2</v>
      </c>
      <c r="G2078" t="str">
        <f t="shared" si="160"/>
        <v>CELIO PIMENTA</v>
      </c>
      <c r="H2078" t="str">
        <f t="shared" si="161"/>
        <v>LIDER COMERCIO DE UNIFORMES E EPI S LTDA ME</v>
      </c>
      <c r="I2078">
        <f t="shared" si="162"/>
        <v>0</v>
      </c>
      <c r="J2078">
        <f t="shared" si="163"/>
        <v>1</v>
      </c>
    </row>
    <row r="2079" spans="1:10" x14ac:dyDescent="0.25">
      <c r="A2079" t="s">
        <v>366</v>
      </c>
      <c r="B2079" t="s">
        <v>111</v>
      </c>
      <c r="C2079" t="s">
        <v>56</v>
      </c>
      <c r="D2079" s="3">
        <v>45773</v>
      </c>
      <c r="E2079" t="str">
        <f>VLOOKUP(B2079,'PROCV GERENTES BD'!A:B,2,0)</f>
        <v>DIOGO AZEVEDO</v>
      </c>
      <c r="F2079" s="4" t="str">
        <f t="shared" si="164"/>
        <v>2025-04-2</v>
      </c>
      <c r="G2079" t="str">
        <f t="shared" si="160"/>
        <v>DIOGO AZEVEDO</v>
      </c>
      <c r="H2079" t="str">
        <f t="shared" si="161"/>
        <v>INDUSTRIA E CERVEJARIA ARTESANAL DE MINAS GERAIS L</v>
      </c>
      <c r="I2079">
        <f t="shared" si="162"/>
        <v>0</v>
      </c>
      <c r="J2079">
        <f t="shared" si="163"/>
        <v>1</v>
      </c>
    </row>
    <row r="2080" spans="1:10" x14ac:dyDescent="0.25">
      <c r="A2080" t="s">
        <v>410</v>
      </c>
      <c r="B2080" t="s">
        <v>159</v>
      </c>
      <c r="C2080" t="s">
        <v>56</v>
      </c>
      <c r="D2080" s="3">
        <v>45773</v>
      </c>
      <c r="E2080" t="str">
        <f>VLOOKUP(B2080,'PROCV GERENTES BD'!A:B,2,0)</f>
        <v>FITZ</v>
      </c>
      <c r="F2080" s="4" t="str">
        <f t="shared" si="164"/>
        <v>2025-04-2</v>
      </c>
      <c r="G2080" t="str">
        <f t="shared" si="160"/>
        <v>FITZ</v>
      </c>
      <c r="H2080" t="str">
        <f t="shared" si="161"/>
        <v>MOINHO DE TRIGO JM LTDA</v>
      </c>
      <c r="I2080">
        <f t="shared" si="162"/>
        <v>0</v>
      </c>
      <c r="J2080">
        <f t="shared" si="163"/>
        <v>1</v>
      </c>
    </row>
    <row r="2081" spans="1:10" x14ac:dyDescent="0.25">
      <c r="A2081" t="s">
        <v>331</v>
      </c>
      <c r="B2081" t="s">
        <v>126</v>
      </c>
      <c r="C2081" t="s">
        <v>56</v>
      </c>
      <c r="D2081" s="3">
        <v>45773</v>
      </c>
      <c r="E2081" t="str">
        <f>VLOOKUP(B2081,'PROCV GERENTES BD'!A:B,2,0)</f>
        <v>FITZ</v>
      </c>
      <c r="F2081" s="4" t="str">
        <f t="shared" si="164"/>
        <v>2025-04-2</v>
      </c>
      <c r="G2081" t="str">
        <f t="shared" si="160"/>
        <v>FITZ</v>
      </c>
      <c r="H2081" t="str">
        <f t="shared" si="161"/>
        <v>TRANSHENRY TRANSPORTES LTDA</v>
      </c>
      <c r="I2081">
        <f t="shared" si="162"/>
        <v>0</v>
      </c>
      <c r="J2081">
        <f t="shared" si="163"/>
        <v>1</v>
      </c>
    </row>
    <row r="2082" spans="1:10" x14ac:dyDescent="0.25">
      <c r="A2082" t="s">
        <v>330</v>
      </c>
      <c r="B2082" t="s">
        <v>116</v>
      </c>
      <c r="C2082" t="s">
        <v>72</v>
      </c>
      <c r="D2082" s="3">
        <v>45773</v>
      </c>
      <c r="E2082" t="str">
        <f>VLOOKUP(B2082,'PROCV GERENTES BD'!A:B,2,0)</f>
        <v>FITZ</v>
      </c>
      <c r="F2082" s="4" t="str">
        <f t="shared" si="164"/>
        <v>2025-04-2</v>
      </c>
      <c r="G2082" t="str">
        <f t="shared" si="160"/>
        <v>FITZ</v>
      </c>
      <c r="H2082" t="str">
        <f t="shared" si="161"/>
        <v>SIAP COMERCIO DE PRODUTOS AGROPECUARIOS LTDA</v>
      </c>
      <c r="I2082">
        <f t="shared" si="162"/>
        <v>1</v>
      </c>
      <c r="J2082">
        <f t="shared" si="163"/>
        <v>0</v>
      </c>
    </row>
    <row r="2083" spans="1:10" x14ac:dyDescent="0.25">
      <c r="A2083" t="s">
        <v>68</v>
      </c>
      <c r="B2083" t="s">
        <v>69</v>
      </c>
      <c r="C2083" t="s">
        <v>56</v>
      </c>
      <c r="D2083" s="3">
        <v>45773</v>
      </c>
      <c r="E2083" t="str">
        <f>VLOOKUP(B2083,'PROCV GERENTES BD'!A:B,2,0)</f>
        <v>FITZ</v>
      </c>
      <c r="F2083" s="4" t="str">
        <f t="shared" si="164"/>
        <v>2025-04-2</v>
      </c>
      <c r="G2083" t="str">
        <f t="shared" si="160"/>
        <v>FITZ</v>
      </c>
      <c r="H2083" t="str">
        <f t="shared" si="161"/>
        <v>MAPP COM IMPORTACAO EXPORTACAO IND PRODUTOS ALIMEN</v>
      </c>
      <c r="I2083">
        <f t="shared" si="162"/>
        <v>0</v>
      </c>
      <c r="J2083">
        <f t="shared" si="163"/>
        <v>1</v>
      </c>
    </row>
    <row r="2084" spans="1:10" x14ac:dyDescent="0.25">
      <c r="A2084" t="s">
        <v>325</v>
      </c>
      <c r="B2084" t="s">
        <v>210</v>
      </c>
      <c r="C2084" t="s">
        <v>56</v>
      </c>
      <c r="D2084" s="3">
        <v>45773</v>
      </c>
      <c r="E2084" t="str">
        <f>VLOOKUP(B2084,'PROCV GERENTES BD'!A:B,2,0)</f>
        <v>JOSE ROBERTO</v>
      </c>
      <c r="F2084" s="4" t="str">
        <f t="shared" si="164"/>
        <v>2025-04-2</v>
      </c>
      <c r="G2084" t="str">
        <f t="shared" si="160"/>
        <v>JOSE ROBERTO</v>
      </c>
      <c r="H2084" t="str">
        <f t="shared" si="161"/>
        <v>FUNDACAO DE ENSINO E PESQUISA DO SUL DE MINAS FEPE</v>
      </c>
      <c r="I2084">
        <f t="shared" si="162"/>
        <v>0</v>
      </c>
      <c r="J2084">
        <f t="shared" si="163"/>
        <v>1</v>
      </c>
    </row>
    <row r="2085" spans="1:10" x14ac:dyDescent="0.25">
      <c r="A2085" t="s">
        <v>436</v>
      </c>
      <c r="B2085" t="s">
        <v>186</v>
      </c>
      <c r="C2085" t="s">
        <v>56</v>
      </c>
      <c r="D2085" s="3">
        <v>45773</v>
      </c>
      <c r="E2085" t="str">
        <f>VLOOKUP(B2085,'PROCV GERENTES BD'!A:B,2,0)</f>
        <v xml:space="preserve">MARCUS VINICIUS </v>
      </c>
      <c r="F2085" s="4" t="str">
        <f t="shared" si="164"/>
        <v>2025-04-2</v>
      </c>
      <c r="G2085" t="str">
        <f t="shared" si="160"/>
        <v xml:space="preserve">MARCUS VINICIUS </v>
      </c>
      <c r="H2085" t="str">
        <f t="shared" si="161"/>
        <v>LABOR ELETRIC INDUSTRIA E COMERCIO UNIPESSOAL LTDA</v>
      </c>
      <c r="I2085">
        <f t="shared" si="162"/>
        <v>0</v>
      </c>
      <c r="J2085">
        <f t="shared" si="163"/>
        <v>1</v>
      </c>
    </row>
    <row r="2086" spans="1:10" x14ac:dyDescent="0.25">
      <c r="A2086" t="s">
        <v>383</v>
      </c>
      <c r="B2086" t="s">
        <v>127</v>
      </c>
      <c r="C2086" t="s">
        <v>56</v>
      </c>
      <c r="D2086" s="3">
        <v>45773</v>
      </c>
      <c r="E2086" t="str">
        <f>VLOOKUP(B2086,'PROCV GERENTES BD'!A:B,2,0)</f>
        <v>NATALIA NUBIA</v>
      </c>
      <c r="F2086" s="4" t="str">
        <f t="shared" si="164"/>
        <v>2025-04-2</v>
      </c>
      <c r="G2086" t="str">
        <f t="shared" si="160"/>
        <v>NATALIA NUBIA</v>
      </c>
      <c r="H2086" t="str">
        <f t="shared" si="161"/>
        <v>FARINELLI NUTRIMENTOS LTDA</v>
      </c>
      <c r="I2086">
        <f t="shared" si="162"/>
        <v>0</v>
      </c>
      <c r="J2086">
        <f t="shared" si="163"/>
        <v>1</v>
      </c>
    </row>
    <row r="2087" spans="1:10" x14ac:dyDescent="0.25">
      <c r="A2087" t="s">
        <v>78</v>
      </c>
      <c r="B2087" t="s">
        <v>79</v>
      </c>
      <c r="C2087" t="s">
        <v>56</v>
      </c>
      <c r="D2087" s="3">
        <v>45773</v>
      </c>
      <c r="E2087" t="str">
        <f>VLOOKUP(B2087,'PROCV GERENTES BD'!A:B,2,0)</f>
        <v>NOELI SALETE</v>
      </c>
      <c r="F2087" s="4" t="str">
        <f t="shared" si="164"/>
        <v>2025-04-2</v>
      </c>
      <c r="G2087" t="str">
        <f t="shared" si="160"/>
        <v>NOELI SALETE</v>
      </c>
      <c r="H2087" t="str">
        <f t="shared" si="161"/>
        <v>SMARTCENTER SOLUCOES INTELIGENTES LTDA ME</v>
      </c>
      <c r="I2087">
        <f t="shared" si="162"/>
        <v>0</v>
      </c>
      <c r="J2087">
        <f t="shared" si="163"/>
        <v>1</v>
      </c>
    </row>
    <row r="2088" spans="1:10" x14ac:dyDescent="0.25">
      <c r="A2088" t="s">
        <v>494</v>
      </c>
      <c r="B2088" t="s">
        <v>250</v>
      </c>
      <c r="C2088" t="s">
        <v>56</v>
      </c>
      <c r="D2088" s="3">
        <v>45773</v>
      </c>
      <c r="E2088" t="str">
        <f>VLOOKUP(B2088,'PROCV GERENTES BD'!A:B,2,0)</f>
        <v>NOELI SALETE</v>
      </c>
      <c r="F2088" s="4" t="str">
        <f t="shared" si="164"/>
        <v>2025-04-2</v>
      </c>
      <c r="G2088" t="str">
        <f t="shared" si="160"/>
        <v>NOELI SALETE</v>
      </c>
      <c r="H2088" t="str">
        <f t="shared" si="161"/>
        <v>SMARTCENTERGROUP COMERCIO DE EQUIPAMENTOS DE INFOR</v>
      </c>
      <c r="I2088">
        <f t="shared" si="162"/>
        <v>0</v>
      </c>
      <c r="J2088">
        <f t="shared" si="163"/>
        <v>1</v>
      </c>
    </row>
    <row r="2089" spans="1:10" x14ac:dyDescent="0.25">
      <c r="A2089" t="s">
        <v>446</v>
      </c>
      <c r="B2089" t="s">
        <v>196</v>
      </c>
      <c r="C2089" t="s">
        <v>56</v>
      </c>
      <c r="D2089" s="3">
        <v>45773</v>
      </c>
      <c r="E2089" t="str">
        <f>VLOOKUP(B2089,'PROCV GERENTES BD'!A:B,2,0)</f>
        <v>NOELI SALETE</v>
      </c>
      <c r="F2089" s="4" t="str">
        <f t="shared" si="164"/>
        <v>2025-04-2</v>
      </c>
      <c r="G2089" t="str">
        <f t="shared" si="160"/>
        <v>NOELI SALETE</v>
      </c>
      <c r="H2089" t="str">
        <f t="shared" si="161"/>
        <v>AGRO INDUSTRIAL LAZZERI LTDA</v>
      </c>
      <c r="I2089">
        <f t="shared" si="162"/>
        <v>0</v>
      </c>
      <c r="J2089">
        <f t="shared" si="163"/>
        <v>1</v>
      </c>
    </row>
    <row r="2090" spans="1:10" x14ac:dyDescent="0.25">
      <c r="A2090" t="s">
        <v>491</v>
      </c>
      <c r="B2090" t="s">
        <v>247</v>
      </c>
      <c r="C2090" t="s">
        <v>56</v>
      </c>
      <c r="D2090" s="3">
        <v>45773</v>
      </c>
      <c r="E2090" t="str">
        <f>VLOOKUP(B2090,'PROCV GERENTES BD'!A:B,2,0)</f>
        <v>PRISCILA METZ</v>
      </c>
      <c r="F2090" s="4" t="str">
        <f t="shared" si="164"/>
        <v>2025-04-2</v>
      </c>
      <c r="G2090" t="str">
        <f t="shared" si="160"/>
        <v>PRISCILA METZ</v>
      </c>
      <c r="H2090" t="str">
        <f t="shared" si="161"/>
        <v>A 8 ENGENHARIA LTDA ME</v>
      </c>
      <c r="I2090">
        <f t="shared" si="162"/>
        <v>0</v>
      </c>
      <c r="J2090">
        <f t="shared" si="163"/>
        <v>1</v>
      </c>
    </row>
    <row r="2091" spans="1:10" x14ac:dyDescent="0.25">
      <c r="A2091" t="s">
        <v>57</v>
      </c>
      <c r="B2091" t="s">
        <v>58</v>
      </c>
      <c r="C2091" t="s">
        <v>56</v>
      </c>
      <c r="D2091" s="3">
        <v>45773</v>
      </c>
      <c r="E2091" t="str">
        <f>VLOOKUP(B2091,'PROCV GERENTES BD'!A:B,2,0)</f>
        <v>RAFAEL PARISE</v>
      </c>
      <c r="F2091" s="4" t="str">
        <f t="shared" si="164"/>
        <v>2025-04-2</v>
      </c>
      <c r="G2091" t="str">
        <f t="shared" si="160"/>
        <v>RAFAEL PARISE</v>
      </c>
      <c r="H2091" t="str">
        <f t="shared" si="161"/>
        <v>TDR TRANSPORTES LOGISTICA LTDA</v>
      </c>
      <c r="I2091">
        <f t="shared" si="162"/>
        <v>0</v>
      </c>
      <c r="J2091">
        <f t="shared" si="163"/>
        <v>1</v>
      </c>
    </row>
    <row r="2092" spans="1:10" x14ac:dyDescent="0.25">
      <c r="A2092" t="s">
        <v>462</v>
      </c>
      <c r="B2092" t="s">
        <v>218</v>
      </c>
      <c r="C2092" t="s">
        <v>56</v>
      </c>
      <c r="D2092" s="3">
        <v>45773</v>
      </c>
      <c r="E2092" t="str">
        <f>VLOOKUP(B2092,'PROCV GERENTES BD'!A:B,2,0)</f>
        <v>RAFAEL PARISE</v>
      </c>
      <c r="F2092" s="4" t="str">
        <f t="shared" si="164"/>
        <v>2025-04-2</v>
      </c>
      <c r="G2092" t="str">
        <f t="shared" si="160"/>
        <v>RAFAEL PARISE</v>
      </c>
      <c r="H2092" t="str">
        <f t="shared" si="161"/>
        <v>TREGA FILHOS EMPACOTAMENTO E DISTRIBUICAO LTDA ME</v>
      </c>
      <c r="I2092">
        <f t="shared" si="162"/>
        <v>0</v>
      </c>
      <c r="J2092">
        <f t="shared" si="163"/>
        <v>1</v>
      </c>
    </row>
    <row r="2093" spans="1:10" x14ac:dyDescent="0.25">
      <c r="A2093" t="s">
        <v>73</v>
      </c>
      <c r="B2093" t="s">
        <v>74</v>
      </c>
      <c r="C2093" t="s">
        <v>56</v>
      </c>
      <c r="D2093" s="3">
        <v>45773</v>
      </c>
      <c r="E2093" t="s">
        <v>25</v>
      </c>
      <c r="F2093" s="4" t="str">
        <f t="shared" si="164"/>
        <v>2025-04-2</v>
      </c>
      <c r="G2093" t="str">
        <f t="shared" si="160"/>
        <v xml:space="preserve">ROGERIO </v>
      </c>
      <c r="H2093" t="str">
        <f t="shared" si="161"/>
        <v>DIOTTONI INDUSTRIA E COMERCIO DE ALIMENTOS LTDA ME</v>
      </c>
      <c r="I2093">
        <f t="shared" si="162"/>
        <v>0</v>
      </c>
      <c r="J2093">
        <f t="shared" si="163"/>
        <v>1</v>
      </c>
    </row>
    <row r="2094" spans="1:10" x14ac:dyDescent="0.25">
      <c r="A2094" t="s">
        <v>455</v>
      </c>
      <c r="B2094" t="s">
        <v>207</v>
      </c>
      <c r="C2094" t="s">
        <v>56</v>
      </c>
      <c r="D2094" s="3">
        <v>45773</v>
      </c>
      <c r="E2094" t="s">
        <v>25</v>
      </c>
      <c r="F2094" s="4" t="str">
        <f t="shared" si="164"/>
        <v>2025-04-2</v>
      </c>
      <c r="G2094" t="str">
        <f t="shared" si="160"/>
        <v xml:space="preserve">ROGERIO </v>
      </c>
      <c r="H2094" t="str">
        <f t="shared" si="161"/>
        <v>ORTHOSIDE INDUSTRIA E COMERCIO LTDA EPP</v>
      </c>
      <c r="I2094">
        <f t="shared" si="162"/>
        <v>0</v>
      </c>
      <c r="J2094">
        <f t="shared" si="163"/>
        <v>1</v>
      </c>
    </row>
    <row r="2095" spans="1:10" x14ac:dyDescent="0.25">
      <c r="A2095" t="s">
        <v>370</v>
      </c>
      <c r="B2095" t="s">
        <v>114</v>
      </c>
      <c r="C2095" t="s">
        <v>56</v>
      </c>
      <c r="D2095" s="3">
        <v>45773</v>
      </c>
      <c r="E2095" t="s">
        <v>25</v>
      </c>
      <c r="F2095" s="4" t="str">
        <f t="shared" si="164"/>
        <v>2025-04-2</v>
      </c>
      <c r="G2095" t="str">
        <f t="shared" si="160"/>
        <v xml:space="preserve">ROGERIO </v>
      </c>
      <c r="H2095" t="str">
        <f t="shared" si="161"/>
        <v>EVOLUTION MACHINES LTDA ME</v>
      </c>
      <c r="I2095">
        <f t="shared" si="162"/>
        <v>0</v>
      </c>
      <c r="J2095">
        <f t="shared" si="163"/>
        <v>1</v>
      </c>
    </row>
    <row r="2096" spans="1:10" x14ac:dyDescent="0.25">
      <c r="A2096" t="s">
        <v>70</v>
      </c>
      <c r="B2096" t="s">
        <v>71</v>
      </c>
      <c r="C2096" t="s">
        <v>56</v>
      </c>
      <c r="D2096" s="3">
        <v>45773</v>
      </c>
      <c r="E2096" t="str">
        <f>VLOOKUP(B2096,'PROCV GERENTES BD'!A:B,2,0)</f>
        <v>SEM GERENTE</v>
      </c>
      <c r="F2096" s="4" t="str">
        <f t="shared" si="164"/>
        <v>2025-04-2</v>
      </c>
      <c r="G2096" t="str">
        <f t="shared" si="160"/>
        <v>SEM GERENTE</v>
      </c>
      <c r="H2096" t="str">
        <f t="shared" si="161"/>
        <v>SOCIAL S/A</v>
      </c>
      <c r="I2096">
        <f t="shared" si="162"/>
        <v>0</v>
      </c>
      <c r="J2096">
        <f t="shared" si="163"/>
        <v>1</v>
      </c>
    </row>
    <row r="2097" spans="1:10" x14ac:dyDescent="0.25">
      <c r="A2097" t="s">
        <v>505</v>
      </c>
      <c r="B2097" t="s">
        <v>264</v>
      </c>
      <c r="C2097" t="s">
        <v>56</v>
      </c>
      <c r="D2097" s="3">
        <v>45773</v>
      </c>
      <c r="E2097" t="str">
        <f>VLOOKUP(B2097,'PROCV GERENTES BD'!A:B,2,0)</f>
        <v>SEM GERENTE</v>
      </c>
      <c r="F2097" s="4" t="str">
        <f t="shared" si="164"/>
        <v>2025-04-2</v>
      </c>
      <c r="G2097" t="str">
        <f t="shared" si="160"/>
        <v>SEM GERENTE</v>
      </c>
      <c r="H2097" t="str">
        <f t="shared" si="161"/>
        <v>OLIVEIRA E SILVA COMERCIO DE MADEIRAS E EMBALAGENS</v>
      </c>
      <c r="I2097">
        <f t="shared" si="162"/>
        <v>0</v>
      </c>
      <c r="J2097">
        <f t="shared" si="163"/>
        <v>1</v>
      </c>
    </row>
    <row r="2098" spans="1:10" x14ac:dyDescent="0.25">
      <c r="A2098" t="s">
        <v>311</v>
      </c>
      <c r="B2098" t="s">
        <v>130</v>
      </c>
      <c r="C2098" t="s">
        <v>72</v>
      </c>
      <c r="D2098" s="3">
        <v>45776</v>
      </c>
      <c r="E2098" t="str">
        <f>VLOOKUP(B2098,'PROCV GERENTES BD'!A:B,2,0)</f>
        <v>ANTONIO CARLOS</v>
      </c>
      <c r="F2098" s="4" t="str">
        <f t="shared" si="164"/>
        <v>2025-04-2</v>
      </c>
      <c r="G2098" t="str">
        <f t="shared" si="160"/>
        <v>ANTONIO CARLOS</v>
      </c>
      <c r="H2098" t="str">
        <f t="shared" si="161"/>
        <v>VIC LOGISTICA LTDA EM RECUPERACAO JUDICIAL</v>
      </c>
      <c r="I2098">
        <f t="shared" si="162"/>
        <v>1</v>
      </c>
      <c r="J2098">
        <f t="shared" si="163"/>
        <v>0</v>
      </c>
    </row>
    <row r="2099" spans="1:10" x14ac:dyDescent="0.25">
      <c r="A2099" t="s">
        <v>380</v>
      </c>
      <c r="B2099" t="s">
        <v>123</v>
      </c>
      <c r="C2099" t="s">
        <v>56</v>
      </c>
      <c r="D2099" s="3">
        <v>45776</v>
      </c>
      <c r="E2099" t="str">
        <f>VLOOKUP(B2099,'PROCV GERENTES BD'!A:B,2,0)</f>
        <v>ANTONIO CARLOS</v>
      </c>
      <c r="F2099" s="4" t="str">
        <f t="shared" si="164"/>
        <v>2025-04-2</v>
      </c>
      <c r="G2099" t="str">
        <f t="shared" si="160"/>
        <v>ANTONIO CARLOS</v>
      </c>
      <c r="H2099" t="str">
        <f t="shared" si="161"/>
        <v>PREMOLDADOS MATOSINHOS LTDA EPP</v>
      </c>
      <c r="I2099">
        <f t="shared" si="162"/>
        <v>0</v>
      </c>
      <c r="J2099">
        <f t="shared" si="163"/>
        <v>1</v>
      </c>
    </row>
    <row r="2100" spans="1:10" x14ac:dyDescent="0.25">
      <c r="A2100" t="s">
        <v>318</v>
      </c>
      <c r="B2100" t="s">
        <v>87</v>
      </c>
      <c r="C2100" t="s">
        <v>56</v>
      </c>
      <c r="D2100" s="3">
        <v>45776</v>
      </c>
      <c r="E2100" t="str">
        <f>VLOOKUP(B2100,'PROCV GERENTES BD'!A:B,2,0)</f>
        <v>CELIO PIMENTA</v>
      </c>
      <c r="F2100" s="4" t="str">
        <f t="shared" si="164"/>
        <v>2025-04-2</v>
      </c>
      <c r="G2100" t="str">
        <f t="shared" si="160"/>
        <v>CELIO PIMENTA</v>
      </c>
      <c r="H2100" t="str">
        <f t="shared" si="161"/>
        <v>MBIOLOG DIAGNOSTICOS LTDA</v>
      </c>
      <c r="I2100">
        <f t="shared" si="162"/>
        <v>0</v>
      </c>
      <c r="J2100">
        <f t="shared" si="163"/>
        <v>1</v>
      </c>
    </row>
    <row r="2101" spans="1:10" x14ac:dyDescent="0.25">
      <c r="A2101" t="s">
        <v>366</v>
      </c>
      <c r="B2101" t="s">
        <v>111</v>
      </c>
      <c r="C2101" t="s">
        <v>56</v>
      </c>
      <c r="D2101" s="3">
        <v>45776</v>
      </c>
      <c r="E2101" t="str">
        <f>VLOOKUP(B2101,'PROCV GERENTES BD'!A:B,2,0)</f>
        <v>DIOGO AZEVEDO</v>
      </c>
      <c r="F2101" s="4" t="str">
        <f t="shared" si="164"/>
        <v>2025-04-2</v>
      </c>
      <c r="G2101" t="str">
        <f t="shared" si="160"/>
        <v>DIOGO AZEVEDO</v>
      </c>
      <c r="H2101" t="str">
        <f t="shared" si="161"/>
        <v>INDUSTRIA E CERVEJARIA ARTESANAL DE MINAS GERAIS L</v>
      </c>
      <c r="I2101">
        <f t="shared" si="162"/>
        <v>0</v>
      </c>
      <c r="J2101">
        <f t="shared" si="163"/>
        <v>1</v>
      </c>
    </row>
    <row r="2102" spans="1:10" x14ac:dyDescent="0.25">
      <c r="A2102" t="s">
        <v>475</v>
      </c>
      <c r="B2102" t="s">
        <v>231</v>
      </c>
      <c r="C2102" t="s">
        <v>56</v>
      </c>
      <c r="D2102" s="3">
        <v>45776</v>
      </c>
      <c r="E2102" t="str">
        <f>VLOOKUP(B2102,'PROCV GERENTES BD'!A:B,2,0)</f>
        <v>DIOGO AZEVEDO</v>
      </c>
      <c r="F2102" s="4" t="str">
        <f t="shared" si="164"/>
        <v>2025-04-2</v>
      </c>
      <c r="G2102" t="str">
        <f t="shared" si="160"/>
        <v>DIOGO AZEVEDO</v>
      </c>
      <c r="H2102" t="str">
        <f t="shared" si="161"/>
        <v>VGS COMERCIO DE EMBALAGENS DE MADEIRAS LTDA ME</v>
      </c>
      <c r="I2102">
        <f t="shared" si="162"/>
        <v>0</v>
      </c>
      <c r="J2102">
        <f t="shared" si="163"/>
        <v>1</v>
      </c>
    </row>
    <row r="2103" spans="1:10" x14ac:dyDescent="0.25">
      <c r="A2103" t="s">
        <v>419</v>
      </c>
      <c r="B2103" t="s">
        <v>168</v>
      </c>
      <c r="C2103" t="s">
        <v>56</v>
      </c>
      <c r="D2103" s="3">
        <v>45776</v>
      </c>
      <c r="E2103" t="str">
        <f>VLOOKUP(B2103,'PROCV GERENTES BD'!A:B,2,0)</f>
        <v>FITZ</v>
      </c>
      <c r="F2103" s="4" t="str">
        <f t="shared" si="164"/>
        <v>2025-04-2</v>
      </c>
      <c r="G2103" t="str">
        <f t="shared" si="160"/>
        <v>FITZ</v>
      </c>
      <c r="H2103" t="str">
        <f t="shared" si="161"/>
        <v>ESCUDO VIGILANCIA E SEGURANCA LTDA EM RECUPERACAO</v>
      </c>
      <c r="I2103">
        <f t="shared" si="162"/>
        <v>0</v>
      </c>
      <c r="J2103">
        <f t="shared" si="163"/>
        <v>1</v>
      </c>
    </row>
    <row r="2104" spans="1:10" x14ac:dyDescent="0.25">
      <c r="A2104" t="s">
        <v>418</v>
      </c>
      <c r="B2104" t="s">
        <v>167</v>
      </c>
      <c r="C2104" t="s">
        <v>56</v>
      </c>
      <c r="D2104" s="3">
        <v>45776</v>
      </c>
      <c r="E2104" t="str">
        <f>VLOOKUP(B2104,'PROCV GERENTES BD'!A:B,2,0)</f>
        <v>FITZ</v>
      </c>
      <c r="F2104" s="4" t="str">
        <f t="shared" si="164"/>
        <v>2025-04-2</v>
      </c>
      <c r="G2104" t="str">
        <f t="shared" si="160"/>
        <v>FITZ</v>
      </c>
      <c r="H2104" t="str">
        <f t="shared" si="161"/>
        <v>ESCUDO ADMINISTRACAO E SERVICOS LTDA EM RECUPERACA</v>
      </c>
      <c r="I2104">
        <f t="shared" si="162"/>
        <v>0</v>
      </c>
      <c r="J2104">
        <f t="shared" si="163"/>
        <v>1</v>
      </c>
    </row>
    <row r="2105" spans="1:10" x14ac:dyDescent="0.25">
      <c r="A2105" t="s">
        <v>331</v>
      </c>
      <c r="B2105" t="s">
        <v>126</v>
      </c>
      <c r="C2105" t="s">
        <v>56</v>
      </c>
      <c r="D2105" s="3">
        <v>45776</v>
      </c>
      <c r="E2105" t="str">
        <f>VLOOKUP(B2105,'PROCV GERENTES BD'!A:B,2,0)</f>
        <v>FITZ</v>
      </c>
      <c r="F2105" s="4" t="str">
        <f t="shared" si="164"/>
        <v>2025-04-2</v>
      </c>
      <c r="G2105" t="str">
        <f t="shared" si="160"/>
        <v>FITZ</v>
      </c>
      <c r="H2105" t="str">
        <f t="shared" si="161"/>
        <v>TRANSHENRY TRANSPORTES LTDA</v>
      </c>
      <c r="I2105">
        <f t="shared" si="162"/>
        <v>0</v>
      </c>
      <c r="J2105">
        <f t="shared" si="163"/>
        <v>1</v>
      </c>
    </row>
    <row r="2106" spans="1:10" x14ac:dyDescent="0.25">
      <c r="A2106" t="s">
        <v>330</v>
      </c>
      <c r="B2106" t="s">
        <v>116</v>
      </c>
      <c r="C2106" t="s">
        <v>56</v>
      </c>
      <c r="D2106" s="3">
        <v>45776</v>
      </c>
      <c r="E2106" t="str">
        <f>VLOOKUP(B2106,'PROCV GERENTES BD'!A:B,2,0)</f>
        <v>FITZ</v>
      </c>
      <c r="F2106" s="4" t="str">
        <f t="shared" si="164"/>
        <v>2025-04-2</v>
      </c>
      <c r="G2106" t="str">
        <f t="shared" si="160"/>
        <v>FITZ</v>
      </c>
      <c r="H2106" t="str">
        <f t="shared" si="161"/>
        <v>SIAP COMERCIO DE PRODUTOS AGROPECUARIOS LTDA</v>
      </c>
      <c r="I2106">
        <f t="shared" si="162"/>
        <v>0</v>
      </c>
      <c r="J2106">
        <f t="shared" si="163"/>
        <v>1</v>
      </c>
    </row>
    <row r="2107" spans="1:10" x14ac:dyDescent="0.25">
      <c r="A2107" t="s">
        <v>420</v>
      </c>
      <c r="B2107" t="s">
        <v>169</v>
      </c>
      <c r="C2107" t="s">
        <v>56</v>
      </c>
      <c r="D2107" s="3">
        <v>45776</v>
      </c>
      <c r="E2107" t="str">
        <f>VLOOKUP(B2107,'PROCV GERENTES BD'!A:B,2,0)</f>
        <v>FITZ</v>
      </c>
      <c r="F2107" s="4" t="str">
        <f t="shared" si="164"/>
        <v>2025-04-2</v>
      </c>
      <c r="G2107" t="str">
        <f t="shared" si="160"/>
        <v>FITZ</v>
      </c>
      <c r="H2107" t="str">
        <f t="shared" si="161"/>
        <v>MORIA PRESTACAO DE SERVICOS LTDA ME</v>
      </c>
      <c r="I2107">
        <f t="shared" si="162"/>
        <v>0</v>
      </c>
      <c r="J2107">
        <f t="shared" si="163"/>
        <v>1</v>
      </c>
    </row>
    <row r="2108" spans="1:10" x14ac:dyDescent="0.25">
      <c r="A2108" t="s">
        <v>68</v>
      </c>
      <c r="B2108" t="s">
        <v>69</v>
      </c>
      <c r="C2108" t="s">
        <v>56</v>
      </c>
      <c r="D2108" s="3">
        <v>45776</v>
      </c>
      <c r="E2108" t="str">
        <f>VLOOKUP(B2108,'PROCV GERENTES BD'!A:B,2,0)</f>
        <v>FITZ</v>
      </c>
      <c r="F2108" s="4" t="str">
        <f t="shared" si="164"/>
        <v>2025-04-2</v>
      </c>
      <c r="G2108" t="str">
        <f t="shared" si="160"/>
        <v>FITZ</v>
      </c>
      <c r="H2108" t="str">
        <f t="shared" si="161"/>
        <v>MAPP COM IMPORTACAO EXPORTACAO IND PRODUTOS ALIMEN</v>
      </c>
      <c r="I2108">
        <f t="shared" si="162"/>
        <v>0</v>
      </c>
      <c r="J2108">
        <f t="shared" si="163"/>
        <v>1</v>
      </c>
    </row>
    <row r="2109" spans="1:10" x14ac:dyDescent="0.25">
      <c r="A2109" t="s">
        <v>393</v>
      </c>
      <c r="B2109" t="s">
        <v>139</v>
      </c>
      <c r="C2109" t="s">
        <v>56</v>
      </c>
      <c r="D2109" s="3">
        <v>45776</v>
      </c>
      <c r="E2109" t="str">
        <f>VLOOKUP(B2109,'PROCV GERENTES BD'!A:B,2,0)</f>
        <v xml:space="preserve">MARCUS VINICIUS </v>
      </c>
      <c r="F2109" s="4" t="str">
        <f t="shared" si="164"/>
        <v>2025-04-2</v>
      </c>
      <c r="G2109" t="str">
        <f t="shared" si="160"/>
        <v xml:space="preserve">MARCUS VINICIUS </v>
      </c>
      <c r="H2109" t="str">
        <f t="shared" si="161"/>
        <v>RODOANEL REFORMADORA DE IMPLEMENTOS RODOVIARIOS LT</v>
      </c>
      <c r="I2109">
        <f t="shared" si="162"/>
        <v>0</v>
      </c>
      <c r="J2109">
        <f t="shared" si="163"/>
        <v>1</v>
      </c>
    </row>
    <row r="2110" spans="1:10" x14ac:dyDescent="0.25">
      <c r="A2110" t="s">
        <v>377</v>
      </c>
      <c r="B2110" t="s">
        <v>120</v>
      </c>
      <c r="C2110" t="s">
        <v>56</v>
      </c>
      <c r="D2110" s="3">
        <v>45776</v>
      </c>
      <c r="E2110" t="str">
        <f>VLOOKUP(B2110,'PROCV GERENTES BD'!A:B,2,0)</f>
        <v xml:space="preserve">MARCUS VINICIUS </v>
      </c>
      <c r="F2110" s="4" t="str">
        <f t="shared" si="164"/>
        <v>2025-04-2</v>
      </c>
      <c r="G2110" t="str">
        <f t="shared" si="160"/>
        <v xml:space="preserve">MARCUS VINICIUS </v>
      </c>
      <c r="H2110" t="str">
        <f t="shared" si="161"/>
        <v>ISOBASE POLIESTIRENO LTDA EPP</v>
      </c>
      <c r="I2110">
        <f t="shared" si="162"/>
        <v>0</v>
      </c>
      <c r="J2110">
        <f t="shared" si="163"/>
        <v>1</v>
      </c>
    </row>
    <row r="2111" spans="1:10" x14ac:dyDescent="0.25">
      <c r="A2111" t="s">
        <v>436</v>
      </c>
      <c r="B2111" t="s">
        <v>186</v>
      </c>
      <c r="C2111" t="s">
        <v>56</v>
      </c>
      <c r="D2111" s="3">
        <v>45776</v>
      </c>
      <c r="E2111" t="str">
        <f>VLOOKUP(B2111,'PROCV GERENTES BD'!A:B,2,0)</f>
        <v xml:space="preserve">MARCUS VINICIUS </v>
      </c>
      <c r="F2111" s="4" t="str">
        <f t="shared" si="164"/>
        <v>2025-04-2</v>
      </c>
      <c r="G2111" t="str">
        <f t="shared" si="160"/>
        <v xml:space="preserve">MARCUS VINICIUS </v>
      </c>
      <c r="H2111" t="str">
        <f t="shared" si="161"/>
        <v>LABOR ELETRIC INDUSTRIA E COMERCIO UNIPESSOAL LTDA</v>
      </c>
      <c r="I2111">
        <f t="shared" si="162"/>
        <v>0</v>
      </c>
      <c r="J2111">
        <f t="shared" si="163"/>
        <v>1</v>
      </c>
    </row>
    <row r="2112" spans="1:10" x14ac:dyDescent="0.25">
      <c r="A2112" t="s">
        <v>383</v>
      </c>
      <c r="B2112" t="s">
        <v>127</v>
      </c>
      <c r="C2112" t="s">
        <v>72</v>
      </c>
      <c r="D2112" s="3">
        <v>45776</v>
      </c>
      <c r="E2112" t="str">
        <f>VLOOKUP(B2112,'PROCV GERENTES BD'!A:B,2,0)</f>
        <v>NATALIA NUBIA</v>
      </c>
      <c r="F2112" s="4" t="str">
        <f t="shared" si="164"/>
        <v>2025-04-2</v>
      </c>
      <c r="G2112" t="str">
        <f t="shared" si="160"/>
        <v>NATALIA NUBIA</v>
      </c>
      <c r="H2112" t="str">
        <f t="shared" si="161"/>
        <v>FARINELLI NUTRIMENTOS LTDA</v>
      </c>
      <c r="I2112">
        <f t="shared" si="162"/>
        <v>1</v>
      </c>
      <c r="J2112">
        <f t="shared" si="163"/>
        <v>0</v>
      </c>
    </row>
    <row r="2113" spans="1:10" x14ac:dyDescent="0.25">
      <c r="A2113" t="s">
        <v>78</v>
      </c>
      <c r="B2113" t="s">
        <v>79</v>
      </c>
      <c r="C2113" t="s">
        <v>56</v>
      </c>
      <c r="D2113" s="3">
        <v>45776</v>
      </c>
      <c r="E2113" t="str">
        <f>VLOOKUP(B2113,'PROCV GERENTES BD'!A:B,2,0)</f>
        <v>NOELI SALETE</v>
      </c>
      <c r="F2113" s="4" t="str">
        <f t="shared" si="164"/>
        <v>2025-04-2</v>
      </c>
      <c r="G2113" t="str">
        <f t="shared" si="160"/>
        <v>NOELI SALETE</v>
      </c>
      <c r="H2113" t="str">
        <f t="shared" si="161"/>
        <v>SMARTCENTER SOLUCOES INTELIGENTES LTDA ME</v>
      </c>
      <c r="I2113">
        <f t="shared" si="162"/>
        <v>0</v>
      </c>
      <c r="J2113">
        <f t="shared" si="163"/>
        <v>1</v>
      </c>
    </row>
    <row r="2114" spans="1:10" x14ac:dyDescent="0.25">
      <c r="A2114" t="s">
        <v>494</v>
      </c>
      <c r="B2114" t="s">
        <v>250</v>
      </c>
      <c r="C2114" t="s">
        <v>56</v>
      </c>
      <c r="D2114" s="3">
        <v>45776</v>
      </c>
      <c r="E2114" t="str">
        <f>VLOOKUP(B2114,'PROCV GERENTES BD'!A:B,2,0)</f>
        <v>NOELI SALETE</v>
      </c>
      <c r="F2114" s="4" t="str">
        <f t="shared" si="164"/>
        <v>2025-04-2</v>
      </c>
      <c r="G2114" t="str">
        <f t="shared" ref="G2114:G2177" si="165">E2114</f>
        <v>NOELI SALETE</v>
      </c>
      <c r="H2114" t="str">
        <f t="shared" ref="H2114:H2177" si="166">B2114</f>
        <v>SMARTCENTERGROUP COMERCIO DE EQUIPAMENTOS DE INFOR</v>
      </c>
      <c r="I2114">
        <f t="shared" ref="I2114:I2177" si="167">IF(C2114="EXCLUSAO  ANOT.INADIMPLENCIA",1,0)</f>
        <v>0</v>
      </c>
      <c r="J2114">
        <f t="shared" ref="J2114:J2177" si="168">IF(C2114="INCLUSAO  ANOT.INADIMPLENCIA",1,0)</f>
        <v>1</v>
      </c>
    </row>
    <row r="2115" spans="1:10" x14ac:dyDescent="0.25">
      <c r="A2115" t="s">
        <v>57</v>
      </c>
      <c r="B2115" t="s">
        <v>58</v>
      </c>
      <c r="C2115" t="s">
        <v>72</v>
      </c>
      <c r="D2115" s="3">
        <v>45776</v>
      </c>
      <c r="E2115" t="str">
        <f>VLOOKUP(B2115,'PROCV GERENTES BD'!A:B,2,0)</f>
        <v>RAFAEL PARISE</v>
      </c>
      <c r="F2115" s="4" t="str">
        <f t="shared" ref="F2115:F2178" si="169">YEAR(D2115)&amp;"-"&amp;TEXT(MONTH(D2115),"00")&amp;"-"&amp;IF(DAY(D2115)&lt;=15,"1",IF(DAY(D2115)&gt;15,"2",""))</f>
        <v>2025-04-2</v>
      </c>
      <c r="G2115" t="str">
        <f t="shared" si="165"/>
        <v>RAFAEL PARISE</v>
      </c>
      <c r="H2115" t="str">
        <f t="shared" si="166"/>
        <v>TDR TRANSPORTES LOGISTICA LTDA</v>
      </c>
      <c r="I2115">
        <f t="shared" si="167"/>
        <v>1</v>
      </c>
      <c r="J2115">
        <f t="shared" si="168"/>
        <v>0</v>
      </c>
    </row>
    <row r="2116" spans="1:10" x14ac:dyDescent="0.25">
      <c r="A2116" t="s">
        <v>82</v>
      </c>
      <c r="B2116" t="s">
        <v>83</v>
      </c>
      <c r="C2116" t="s">
        <v>56</v>
      </c>
      <c r="D2116" s="3">
        <v>45776</v>
      </c>
      <c r="E2116" t="str">
        <f>VLOOKUP(B2116,'PROCV GERENTES BD'!A:B,2,0)</f>
        <v>RAFAEL PARISE</v>
      </c>
      <c r="F2116" s="4" t="str">
        <f t="shared" si="169"/>
        <v>2025-04-2</v>
      </c>
      <c r="G2116" t="str">
        <f t="shared" si="165"/>
        <v>RAFAEL PARISE</v>
      </c>
      <c r="H2116" t="str">
        <f t="shared" si="166"/>
        <v>UNITA AUTO PECAS LTDA EPP</v>
      </c>
      <c r="I2116">
        <f t="shared" si="167"/>
        <v>0</v>
      </c>
      <c r="J2116">
        <f t="shared" si="168"/>
        <v>1</v>
      </c>
    </row>
    <row r="2117" spans="1:10" x14ac:dyDescent="0.25">
      <c r="A2117" t="s">
        <v>73</v>
      </c>
      <c r="B2117" t="s">
        <v>74</v>
      </c>
      <c r="C2117" t="s">
        <v>56</v>
      </c>
      <c r="D2117" s="3">
        <v>45776</v>
      </c>
      <c r="E2117" t="s">
        <v>25</v>
      </c>
      <c r="F2117" s="4" t="str">
        <f t="shared" si="169"/>
        <v>2025-04-2</v>
      </c>
      <c r="G2117" t="str">
        <f t="shared" si="165"/>
        <v xml:space="preserve">ROGERIO </v>
      </c>
      <c r="H2117" t="str">
        <f t="shared" si="166"/>
        <v>DIOTTONI INDUSTRIA E COMERCIO DE ALIMENTOS LTDA ME</v>
      </c>
      <c r="I2117">
        <f t="shared" si="167"/>
        <v>0</v>
      </c>
      <c r="J2117">
        <f t="shared" si="168"/>
        <v>1</v>
      </c>
    </row>
    <row r="2118" spans="1:10" x14ac:dyDescent="0.25">
      <c r="A2118" t="s">
        <v>455</v>
      </c>
      <c r="B2118" t="s">
        <v>207</v>
      </c>
      <c r="C2118" t="s">
        <v>59</v>
      </c>
      <c r="D2118" s="3">
        <v>45776</v>
      </c>
      <c r="E2118" t="s">
        <v>25</v>
      </c>
      <c r="F2118" s="4" t="str">
        <f t="shared" si="169"/>
        <v>2025-04-2</v>
      </c>
      <c r="G2118" t="str">
        <f t="shared" si="165"/>
        <v xml:space="preserve">ROGERIO </v>
      </c>
      <c r="H2118" t="str">
        <f t="shared" si="166"/>
        <v>ORTHOSIDE INDUSTRIA E COMERCIO LTDA EPP</v>
      </c>
      <c r="I2118">
        <f t="shared" si="167"/>
        <v>0</v>
      </c>
      <c r="J2118">
        <f t="shared" si="168"/>
        <v>0</v>
      </c>
    </row>
    <row r="2119" spans="1:10" x14ac:dyDescent="0.25">
      <c r="A2119" t="s">
        <v>62</v>
      </c>
      <c r="B2119" t="s">
        <v>63</v>
      </c>
      <c r="C2119" t="s">
        <v>56</v>
      </c>
      <c r="D2119" s="3">
        <v>45776</v>
      </c>
      <c r="E2119" t="str">
        <f>VLOOKUP(B2119,'PROCV GERENTES BD'!A:B,2,0)</f>
        <v xml:space="preserve">ROGERIO </v>
      </c>
      <c r="F2119" s="4" t="str">
        <f t="shared" si="169"/>
        <v>2025-04-2</v>
      </c>
      <c r="G2119" t="str">
        <f t="shared" si="165"/>
        <v xml:space="preserve">ROGERIO </v>
      </c>
      <c r="H2119" t="str">
        <f t="shared" si="166"/>
        <v>RODOVIEIRA TRANSPORTE LTDA</v>
      </c>
      <c r="I2119">
        <f t="shared" si="167"/>
        <v>0</v>
      </c>
      <c r="J2119">
        <f t="shared" si="168"/>
        <v>1</v>
      </c>
    </row>
    <row r="2120" spans="1:10" x14ac:dyDescent="0.25">
      <c r="A2120" t="s">
        <v>321</v>
      </c>
      <c r="B2120" t="s">
        <v>253</v>
      </c>
      <c r="C2120" t="s">
        <v>56</v>
      </c>
      <c r="D2120" s="3">
        <v>45776</v>
      </c>
      <c r="E2120" t="str">
        <f>VLOOKUP(B2120,'PROCV GERENTES BD'!A:B,2,0)</f>
        <v>THAYNA/COMERCIAL</v>
      </c>
      <c r="F2120" s="4" t="str">
        <f t="shared" si="169"/>
        <v>2025-04-2</v>
      </c>
      <c r="G2120" t="str">
        <f t="shared" si="165"/>
        <v>THAYNA/COMERCIAL</v>
      </c>
      <c r="H2120" t="str">
        <f t="shared" si="166"/>
        <v>MUTCD CENTRO DE DISTRIBUICAO DE IND FABRICANTE DE</v>
      </c>
      <c r="I2120">
        <f t="shared" si="167"/>
        <v>0</v>
      </c>
      <c r="J2120">
        <f t="shared" si="168"/>
        <v>1</v>
      </c>
    </row>
    <row r="2121" spans="1:10" x14ac:dyDescent="0.25">
      <c r="A2121" t="s">
        <v>506</v>
      </c>
      <c r="B2121" t="s">
        <v>263</v>
      </c>
      <c r="C2121" t="s">
        <v>56</v>
      </c>
      <c r="D2121" s="3">
        <v>45776</v>
      </c>
      <c r="E2121" t="str">
        <f>VLOOKUP(B2121,'PROCV GERENTES BD'!A:B,2,0)</f>
        <v>CELIO PIMENTA</v>
      </c>
      <c r="F2121" s="4" t="str">
        <f t="shared" si="169"/>
        <v>2025-04-2</v>
      </c>
      <c r="G2121" t="str">
        <f t="shared" si="165"/>
        <v>CELIO PIMENTA</v>
      </c>
      <c r="H2121" t="str">
        <f t="shared" si="166"/>
        <v>SEU TRATOR LTDA EPP</v>
      </c>
      <c r="I2121">
        <f t="shared" si="167"/>
        <v>0</v>
      </c>
      <c r="J2121">
        <f t="shared" si="168"/>
        <v>1</v>
      </c>
    </row>
    <row r="2122" spans="1:10" x14ac:dyDescent="0.25">
      <c r="A2122" t="s">
        <v>511</v>
      </c>
      <c r="B2122" t="s">
        <v>268</v>
      </c>
      <c r="C2122" t="s">
        <v>56</v>
      </c>
      <c r="D2122" s="3">
        <v>45776</v>
      </c>
      <c r="E2122" t="str">
        <f>VLOOKUP(B2122,'PROCV GERENTES BD'!A:B,2,0)</f>
        <v>PRISCILA METZ</v>
      </c>
      <c r="F2122" s="4" t="str">
        <f t="shared" si="169"/>
        <v>2025-04-2</v>
      </c>
      <c r="G2122" t="str">
        <f t="shared" si="165"/>
        <v>PRISCILA METZ</v>
      </c>
      <c r="H2122" t="str">
        <f t="shared" si="166"/>
        <v>ANDRADE ELETRO TECNICA LTDA EPP</v>
      </c>
      <c r="I2122">
        <f t="shared" si="167"/>
        <v>0</v>
      </c>
      <c r="J2122">
        <f t="shared" si="168"/>
        <v>1</v>
      </c>
    </row>
    <row r="2123" spans="1:10" x14ac:dyDescent="0.25">
      <c r="A2123" t="s">
        <v>512</v>
      </c>
      <c r="B2123" t="s">
        <v>272</v>
      </c>
      <c r="C2123" t="s">
        <v>56</v>
      </c>
      <c r="D2123" s="3">
        <v>45776</v>
      </c>
      <c r="E2123" t="str">
        <f>VLOOKUP(B2123,'PROCV GERENTES BD'!A:B,2,0)</f>
        <v>NOELI SALETE</v>
      </c>
      <c r="F2123" s="4" t="str">
        <f t="shared" si="169"/>
        <v>2025-04-2</v>
      </c>
      <c r="G2123" t="str">
        <f t="shared" si="165"/>
        <v>NOELI SALETE</v>
      </c>
      <c r="H2123" t="str">
        <f t="shared" si="166"/>
        <v>TRANSPORTES TRANS BERTIN LTDA</v>
      </c>
      <c r="I2123">
        <f t="shared" si="167"/>
        <v>0</v>
      </c>
      <c r="J2123">
        <f t="shared" si="168"/>
        <v>1</v>
      </c>
    </row>
    <row r="2124" spans="1:10" x14ac:dyDescent="0.25">
      <c r="A2124" t="s">
        <v>60</v>
      </c>
      <c r="B2124" t="s">
        <v>61</v>
      </c>
      <c r="C2124" t="s">
        <v>56</v>
      </c>
      <c r="D2124" s="3">
        <v>45777</v>
      </c>
      <c r="E2124" t="str">
        <f>VLOOKUP(B2124,'PROCV GERENTES BD'!A:B,2,0)</f>
        <v>CELIO PIMENTA</v>
      </c>
      <c r="F2124" s="4" t="str">
        <f t="shared" si="169"/>
        <v>2025-04-2</v>
      </c>
      <c r="G2124" t="str">
        <f t="shared" si="165"/>
        <v>CELIO PIMENTA</v>
      </c>
      <c r="H2124" t="str">
        <f t="shared" si="166"/>
        <v>WJ CALDEIRARIA INDUSTRIA E COMERCIO LTDA ME</v>
      </c>
      <c r="I2124">
        <f t="shared" si="167"/>
        <v>0</v>
      </c>
      <c r="J2124">
        <f t="shared" si="168"/>
        <v>1</v>
      </c>
    </row>
    <row r="2125" spans="1:10" x14ac:dyDescent="0.25">
      <c r="A2125" t="s">
        <v>366</v>
      </c>
      <c r="B2125" t="s">
        <v>111</v>
      </c>
      <c r="C2125" t="s">
        <v>72</v>
      </c>
      <c r="D2125" s="3">
        <v>45777</v>
      </c>
      <c r="E2125" t="str">
        <f>VLOOKUP(B2125,'PROCV GERENTES BD'!A:B,2,0)</f>
        <v>DIOGO AZEVEDO</v>
      </c>
      <c r="F2125" s="4" t="str">
        <f t="shared" si="169"/>
        <v>2025-04-2</v>
      </c>
      <c r="G2125" t="str">
        <f t="shared" si="165"/>
        <v>DIOGO AZEVEDO</v>
      </c>
      <c r="H2125" t="str">
        <f t="shared" si="166"/>
        <v>INDUSTRIA E CERVEJARIA ARTESANAL DE MINAS GERAIS L</v>
      </c>
      <c r="I2125">
        <f t="shared" si="167"/>
        <v>1</v>
      </c>
      <c r="J2125">
        <f t="shared" si="168"/>
        <v>0</v>
      </c>
    </row>
    <row r="2126" spans="1:10" x14ac:dyDescent="0.25">
      <c r="A2126" t="s">
        <v>423</v>
      </c>
      <c r="B2126" t="s">
        <v>172</v>
      </c>
      <c r="C2126" t="s">
        <v>72</v>
      </c>
      <c r="D2126" s="3">
        <v>45777</v>
      </c>
      <c r="E2126" t="str">
        <f>VLOOKUP(B2126,'PROCV GERENTES BD'!A:B,2,0)</f>
        <v>FITZ</v>
      </c>
      <c r="F2126" s="4" t="str">
        <f t="shared" si="169"/>
        <v>2025-04-2</v>
      </c>
      <c r="G2126" t="str">
        <f t="shared" si="165"/>
        <v>FITZ</v>
      </c>
      <c r="H2126" t="str">
        <f t="shared" si="166"/>
        <v>STA SERVICOS LTDA</v>
      </c>
      <c r="I2126">
        <f t="shared" si="167"/>
        <v>1</v>
      </c>
      <c r="J2126">
        <f t="shared" si="168"/>
        <v>0</v>
      </c>
    </row>
    <row r="2127" spans="1:10" x14ac:dyDescent="0.25">
      <c r="A2127" t="s">
        <v>330</v>
      </c>
      <c r="B2127" t="s">
        <v>116</v>
      </c>
      <c r="C2127" t="s">
        <v>72</v>
      </c>
      <c r="D2127" s="3">
        <v>45777</v>
      </c>
      <c r="E2127" t="str">
        <f>VLOOKUP(B2127,'PROCV GERENTES BD'!A:B,2,0)</f>
        <v>FITZ</v>
      </c>
      <c r="F2127" s="4" t="str">
        <f t="shared" si="169"/>
        <v>2025-04-2</v>
      </c>
      <c r="G2127" t="str">
        <f t="shared" si="165"/>
        <v>FITZ</v>
      </c>
      <c r="H2127" t="str">
        <f t="shared" si="166"/>
        <v>SIAP COMERCIO DE PRODUTOS AGROPECUARIOS LTDA</v>
      </c>
      <c r="I2127">
        <f t="shared" si="167"/>
        <v>1</v>
      </c>
      <c r="J2127">
        <f t="shared" si="168"/>
        <v>0</v>
      </c>
    </row>
    <row r="2128" spans="1:10" x14ac:dyDescent="0.25">
      <c r="A2128" t="s">
        <v>420</v>
      </c>
      <c r="B2128" t="s">
        <v>169</v>
      </c>
      <c r="C2128" t="s">
        <v>56</v>
      </c>
      <c r="D2128" s="3">
        <v>45777</v>
      </c>
      <c r="E2128" t="str">
        <f>VLOOKUP(B2128,'PROCV GERENTES BD'!A:B,2,0)</f>
        <v>FITZ</v>
      </c>
      <c r="F2128" s="4" t="str">
        <f t="shared" si="169"/>
        <v>2025-04-2</v>
      </c>
      <c r="G2128" t="str">
        <f t="shared" si="165"/>
        <v>FITZ</v>
      </c>
      <c r="H2128" t="str">
        <f t="shared" si="166"/>
        <v>MORIA PRESTACAO DE SERVICOS LTDA ME</v>
      </c>
      <c r="I2128">
        <f t="shared" si="167"/>
        <v>0</v>
      </c>
      <c r="J2128">
        <f t="shared" si="168"/>
        <v>1</v>
      </c>
    </row>
    <row r="2129" spans="1:10" x14ac:dyDescent="0.25">
      <c r="A2129" t="s">
        <v>78</v>
      </c>
      <c r="B2129" t="s">
        <v>79</v>
      </c>
      <c r="C2129" t="s">
        <v>59</v>
      </c>
      <c r="D2129" s="3">
        <v>45777</v>
      </c>
      <c r="E2129" t="str">
        <f>VLOOKUP(B2129,'PROCV GERENTES BD'!A:B,2,0)</f>
        <v>NOELI SALETE</v>
      </c>
      <c r="F2129" s="4" t="str">
        <f t="shared" si="169"/>
        <v>2025-04-2</v>
      </c>
      <c r="G2129" t="str">
        <f t="shared" si="165"/>
        <v>NOELI SALETE</v>
      </c>
      <c r="H2129" t="str">
        <f t="shared" si="166"/>
        <v>SMARTCENTER SOLUCOES INTELIGENTES LTDA ME</v>
      </c>
      <c r="I2129">
        <f t="shared" si="167"/>
        <v>0</v>
      </c>
      <c r="J2129">
        <f t="shared" si="168"/>
        <v>0</v>
      </c>
    </row>
    <row r="2130" spans="1:10" x14ac:dyDescent="0.25">
      <c r="A2130" t="s">
        <v>494</v>
      </c>
      <c r="B2130" t="s">
        <v>250</v>
      </c>
      <c r="C2130" t="s">
        <v>56</v>
      </c>
      <c r="D2130" s="3">
        <v>45777</v>
      </c>
      <c r="E2130" t="str">
        <f>VLOOKUP(B2130,'PROCV GERENTES BD'!A:B,2,0)</f>
        <v>NOELI SALETE</v>
      </c>
      <c r="F2130" s="4" t="str">
        <f t="shared" si="169"/>
        <v>2025-04-2</v>
      </c>
      <c r="G2130" t="str">
        <f t="shared" si="165"/>
        <v>NOELI SALETE</v>
      </c>
      <c r="H2130" t="str">
        <f t="shared" si="166"/>
        <v>SMARTCENTERGROUP COMERCIO DE EQUIPAMENTOS DE INFOR</v>
      </c>
      <c r="I2130">
        <f t="shared" si="167"/>
        <v>0</v>
      </c>
      <c r="J2130">
        <f t="shared" si="168"/>
        <v>1</v>
      </c>
    </row>
    <row r="2131" spans="1:10" x14ac:dyDescent="0.25">
      <c r="A2131" t="s">
        <v>483</v>
      </c>
      <c r="B2131" t="s">
        <v>239</v>
      </c>
      <c r="C2131" t="s">
        <v>72</v>
      </c>
      <c r="D2131" s="3">
        <v>45777</v>
      </c>
      <c r="E2131" t="str">
        <f>VLOOKUP(B2131,'PROCV GERENTES BD'!A:B,2,0)</f>
        <v>POENATELA</v>
      </c>
      <c r="F2131" s="4" t="str">
        <f t="shared" si="169"/>
        <v>2025-04-2</v>
      </c>
      <c r="G2131" t="str">
        <f t="shared" si="165"/>
        <v>POENATELA</v>
      </c>
      <c r="H2131" t="str">
        <f t="shared" si="166"/>
        <v>JUATUBA MOVEIS E EMBALAGENS LTDA</v>
      </c>
      <c r="I2131">
        <f t="shared" si="167"/>
        <v>1</v>
      </c>
      <c r="J2131">
        <f t="shared" si="168"/>
        <v>0</v>
      </c>
    </row>
    <row r="2132" spans="1:10" x14ac:dyDescent="0.25">
      <c r="A2132" t="s">
        <v>378</v>
      </c>
      <c r="B2132" t="s">
        <v>121</v>
      </c>
      <c r="C2132" t="s">
        <v>72</v>
      </c>
      <c r="D2132" s="3">
        <v>45777</v>
      </c>
      <c r="E2132" t="str">
        <f>VLOOKUP(B2132,'PROCV GERENTES BD'!A:B,2,0)</f>
        <v>POENATELA</v>
      </c>
      <c r="F2132" s="4" t="str">
        <f t="shared" si="169"/>
        <v>2025-04-2</v>
      </c>
      <c r="G2132" t="str">
        <f t="shared" si="165"/>
        <v>POENATELA</v>
      </c>
      <c r="H2132" t="str">
        <f t="shared" si="166"/>
        <v>COOPERATIVA TRANSP AUTON CARGAS PASSAG SERVICOS LO</v>
      </c>
      <c r="I2132">
        <f t="shared" si="167"/>
        <v>1</v>
      </c>
      <c r="J2132">
        <f t="shared" si="168"/>
        <v>0</v>
      </c>
    </row>
    <row r="2133" spans="1:10" x14ac:dyDescent="0.25">
      <c r="A2133" t="s">
        <v>361</v>
      </c>
      <c r="B2133" t="s">
        <v>103</v>
      </c>
      <c r="C2133" t="s">
        <v>56</v>
      </c>
      <c r="D2133" s="3">
        <v>45777</v>
      </c>
      <c r="E2133" t="str">
        <f>VLOOKUP(B2133,'PROCV GERENTES BD'!A:B,2,0)</f>
        <v>PRISCILA METZ</v>
      </c>
      <c r="F2133" s="4" t="str">
        <f t="shared" si="169"/>
        <v>2025-04-2</v>
      </c>
      <c r="G2133" t="str">
        <f t="shared" si="165"/>
        <v>PRISCILA METZ</v>
      </c>
      <c r="H2133" t="str">
        <f t="shared" si="166"/>
        <v>ESSENZA INDUSTRIA QUIMICA LTDA</v>
      </c>
      <c r="I2133">
        <f t="shared" si="167"/>
        <v>0</v>
      </c>
      <c r="J2133">
        <f t="shared" si="168"/>
        <v>1</v>
      </c>
    </row>
    <row r="2134" spans="1:10" x14ac:dyDescent="0.25">
      <c r="A2134" t="s">
        <v>73</v>
      </c>
      <c r="B2134" t="s">
        <v>74</v>
      </c>
      <c r="C2134" t="s">
        <v>56</v>
      </c>
      <c r="D2134" s="3">
        <v>45777</v>
      </c>
      <c r="E2134" t="s">
        <v>25</v>
      </c>
      <c r="F2134" s="4" t="str">
        <f t="shared" si="169"/>
        <v>2025-04-2</v>
      </c>
      <c r="G2134" t="str">
        <f t="shared" si="165"/>
        <v xml:space="preserve">ROGERIO </v>
      </c>
      <c r="H2134" t="str">
        <f t="shared" si="166"/>
        <v>DIOTTONI INDUSTRIA E COMERCIO DE ALIMENTOS LTDA ME</v>
      </c>
      <c r="I2134">
        <f t="shared" si="167"/>
        <v>0</v>
      </c>
      <c r="J2134">
        <f t="shared" si="168"/>
        <v>1</v>
      </c>
    </row>
    <row r="2135" spans="1:10" x14ac:dyDescent="0.25">
      <c r="A2135" t="s">
        <v>313</v>
      </c>
      <c r="B2135" t="s">
        <v>273</v>
      </c>
      <c r="C2135" t="s">
        <v>72</v>
      </c>
      <c r="D2135" s="3">
        <v>45777</v>
      </c>
      <c r="E2135" t="str">
        <f>VLOOKUP(B2135,'PROCV GERENTES BD'!A:B,2,0)</f>
        <v>CAIO</v>
      </c>
      <c r="F2135" s="4" t="str">
        <f t="shared" si="169"/>
        <v>2025-04-2</v>
      </c>
      <c r="G2135" t="str">
        <f t="shared" si="165"/>
        <v>CAIO</v>
      </c>
      <c r="H2135" t="str">
        <f t="shared" si="166"/>
        <v>MECALD MECANICA E CALDEIRARIA LTDA EPP</v>
      </c>
      <c r="I2135">
        <f t="shared" si="167"/>
        <v>1</v>
      </c>
      <c r="J2135">
        <f t="shared" si="168"/>
        <v>0</v>
      </c>
    </row>
    <row r="2136" spans="1:10" x14ac:dyDescent="0.25">
      <c r="A2136" t="s">
        <v>507</v>
      </c>
      <c r="B2136" t="s">
        <v>265</v>
      </c>
      <c r="C2136" t="s">
        <v>72</v>
      </c>
      <c r="D2136" s="3">
        <v>45777</v>
      </c>
      <c r="E2136" t="str">
        <f>VLOOKUP(B2136,'PROCV GERENTES BD'!A:B,2,0)</f>
        <v>SEM GERENTE</v>
      </c>
      <c r="F2136" s="4" t="str">
        <f t="shared" si="169"/>
        <v>2025-04-2</v>
      </c>
      <c r="G2136" t="str">
        <f t="shared" si="165"/>
        <v>SEM GERENTE</v>
      </c>
      <c r="H2136" t="str">
        <f t="shared" si="166"/>
        <v>PLATINUM INDUSTRIA DE CONFECCOES LTDA</v>
      </c>
      <c r="I2136">
        <f t="shared" si="167"/>
        <v>1</v>
      </c>
      <c r="J2136">
        <f t="shared" si="168"/>
        <v>0</v>
      </c>
    </row>
    <row r="2137" spans="1:10" x14ac:dyDescent="0.25">
      <c r="A2137" t="s">
        <v>70</v>
      </c>
      <c r="B2137" t="s">
        <v>71</v>
      </c>
      <c r="C2137" t="s">
        <v>59</v>
      </c>
      <c r="D2137" s="3">
        <v>45777</v>
      </c>
      <c r="E2137" t="str">
        <f>VLOOKUP(B2137,'PROCV GERENTES BD'!A:B,2,0)</f>
        <v>SEM GERENTE</v>
      </c>
      <c r="F2137" s="4" t="str">
        <f t="shared" si="169"/>
        <v>2025-04-2</v>
      </c>
      <c r="G2137" t="str">
        <f t="shared" si="165"/>
        <v>SEM GERENTE</v>
      </c>
      <c r="H2137" t="str">
        <f t="shared" si="166"/>
        <v>SOCIAL S/A</v>
      </c>
      <c r="I2137">
        <f t="shared" si="167"/>
        <v>0</v>
      </c>
      <c r="J2137">
        <f t="shared" si="168"/>
        <v>0</v>
      </c>
    </row>
    <row r="2138" spans="1:10" x14ac:dyDescent="0.25">
      <c r="A2138" t="s">
        <v>513</v>
      </c>
      <c r="B2138" t="s">
        <v>274</v>
      </c>
      <c r="C2138" t="s">
        <v>56</v>
      </c>
      <c r="D2138" s="3">
        <v>45777</v>
      </c>
      <c r="E2138" t="str">
        <f>VLOOKUP(B2138,'PROCV GERENTES BD'!A:B,2,0)</f>
        <v>PRISCILA METZ</v>
      </c>
      <c r="F2138" s="4" t="str">
        <f t="shared" si="169"/>
        <v>2025-04-2</v>
      </c>
      <c r="G2138" t="str">
        <f t="shared" si="165"/>
        <v>PRISCILA METZ</v>
      </c>
      <c r="H2138" t="str">
        <f t="shared" si="166"/>
        <v>REAL DISTRIBUIDORA DE PRODUTOS PARA MARMORARIA LTD</v>
      </c>
      <c r="I2138">
        <f t="shared" si="167"/>
        <v>0</v>
      </c>
      <c r="J2138">
        <f t="shared" si="168"/>
        <v>1</v>
      </c>
    </row>
    <row r="2139" spans="1:10" x14ac:dyDescent="0.25">
      <c r="A2139" t="s">
        <v>496</v>
      </c>
      <c r="B2139" t="s">
        <v>254</v>
      </c>
      <c r="C2139" t="s">
        <v>56</v>
      </c>
      <c r="D2139" s="3">
        <v>45777</v>
      </c>
      <c r="E2139" t="str">
        <f>VLOOKUP(B2139,'PROCV GERENTES BD'!A:B,2,0)</f>
        <v>CELIO PIMENTA</v>
      </c>
      <c r="F2139" s="4" t="str">
        <f t="shared" si="169"/>
        <v>2025-04-2</v>
      </c>
      <c r="G2139" t="str">
        <f t="shared" si="165"/>
        <v>CELIO PIMENTA</v>
      </c>
      <c r="H2139" t="str">
        <f t="shared" si="166"/>
        <v>AZ HIDRAULICA USINAGEM LTDA EPP</v>
      </c>
      <c r="I2139">
        <f t="shared" si="167"/>
        <v>0</v>
      </c>
      <c r="J2139">
        <f t="shared" si="168"/>
        <v>1</v>
      </c>
    </row>
    <row r="2140" spans="1:10" x14ac:dyDescent="0.25">
      <c r="A2140" t="s">
        <v>512</v>
      </c>
      <c r="B2140" t="s">
        <v>272</v>
      </c>
      <c r="C2140" t="s">
        <v>72</v>
      </c>
      <c r="D2140" s="3">
        <v>45777</v>
      </c>
      <c r="E2140" t="str">
        <f>VLOOKUP(B2140,'PROCV GERENTES BD'!A:B,2,0)</f>
        <v>NOELI SALETE</v>
      </c>
      <c r="F2140" s="4" t="str">
        <f t="shared" si="169"/>
        <v>2025-04-2</v>
      </c>
      <c r="G2140" t="str">
        <f t="shared" si="165"/>
        <v>NOELI SALETE</v>
      </c>
      <c r="H2140" t="str">
        <f t="shared" si="166"/>
        <v>TRANSPORTES TRANS BERTIN LTDA</v>
      </c>
      <c r="I2140">
        <f t="shared" si="167"/>
        <v>1</v>
      </c>
      <c r="J2140">
        <f t="shared" si="168"/>
        <v>0</v>
      </c>
    </row>
    <row r="2141" spans="1:10" x14ac:dyDescent="0.25">
      <c r="A2141" t="s">
        <v>328</v>
      </c>
      <c r="B2141" t="s">
        <v>271</v>
      </c>
      <c r="C2141" t="s">
        <v>335</v>
      </c>
      <c r="D2141" s="6">
        <v>45778</v>
      </c>
      <c r="E2141" t="str">
        <f>VLOOKUP(B2141,'PROCV GERENTES BD'!A:B,2,0)</f>
        <v>RAFAEL PARISE</v>
      </c>
      <c r="F2141" s="4" t="str">
        <f t="shared" si="169"/>
        <v>2025-05-1</v>
      </c>
      <c r="G2141" t="str">
        <f t="shared" si="165"/>
        <v>RAFAEL PARISE</v>
      </c>
      <c r="H2141" t="str">
        <f t="shared" si="166"/>
        <v>METALCROMO METALIZACAO E CROMO DURO INDUSTRIAL LTD</v>
      </c>
      <c r="I2141">
        <f t="shared" si="167"/>
        <v>0</v>
      </c>
      <c r="J2141">
        <f t="shared" si="168"/>
        <v>0</v>
      </c>
    </row>
    <row r="2142" spans="1:10" x14ac:dyDescent="0.25">
      <c r="A2142" t="s">
        <v>328</v>
      </c>
      <c r="B2142" t="s">
        <v>271</v>
      </c>
      <c r="C2142" t="s">
        <v>337</v>
      </c>
      <c r="D2142" s="6">
        <v>45778</v>
      </c>
      <c r="E2142" t="str">
        <f>VLOOKUP(B2142,'PROCV GERENTES BD'!A:B,2,0)</f>
        <v>RAFAEL PARISE</v>
      </c>
      <c r="F2142" s="4" t="str">
        <f t="shared" si="169"/>
        <v>2025-05-1</v>
      </c>
      <c r="G2142" t="str">
        <f t="shared" si="165"/>
        <v>RAFAEL PARISE</v>
      </c>
      <c r="H2142" t="str">
        <f t="shared" si="166"/>
        <v>METALCROMO METALIZACAO E CROMO DURO INDUSTRIAL LTD</v>
      </c>
      <c r="I2142">
        <f t="shared" si="167"/>
        <v>0</v>
      </c>
      <c r="J2142">
        <f t="shared" si="168"/>
        <v>0</v>
      </c>
    </row>
    <row r="2143" spans="1:10" x14ac:dyDescent="0.25">
      <c r="A2143" t="s">
        <v>361</v>
      </c>
      <c r="B2143" t="s">
        <v>103</v>
      </c>
      <c r="C2143" t="s">
        <v>337</v>
      </c>
      <c r="D2143" s="6">
        <v>45778</v>
      </c>
      <c r="E2143" t="str">
        <f>VLOOKUP(B2143,'PROCV GERENTES BD'!A:B,2,0)</f>
        <v>PRISCILA METZ</v>
      </c>
      <c r="F2143" s="4" t="str">
        <f t="shared" si="169"/>
        <v>2025-05-1</v>
      </c>
      <c r="G2143" t="str">
        <f t="shared" si="165"/>
        <v>PRISCILA METZ</v>
      </c>
      <c r="H2143" t="str">
        <f t="shared" si="166"/>
        <v>ESSENZA INDUSTRIA QUIMICA LTDA</v>
      </c>
      <c r="I2143">
        <f t="shared" si="167"/>
        <v>0</v>
      </c>
      <c r="J2143">
        <f t="shared" si="168"/>
        <v>0</v>
      </c>
    </row>
    <row r="2144" spans="1:10" x14ac:dyDescent="0.25">
      <c r="A2144" t="s">
        <v>510</v>
      </c>
      <c r="B2144" t="s">
        <v>269</v>
      </c>
      <c r="C2144" t="s">
        <v>56</v>
      </c>
      <c r="D2144" s="6">
        <v>45780</v>
      </c>
      <c r="E2144" t="str">
        <f>VLOOKUP(B2144,'PROCV GERENTES BD'!A:B,2,0)</f>
        <v>ANTECIPA</v>
      </c>
      <c r="F2144" s="4" t="str">
        <f t="shared" si="169"/>
        <v>2025-05-1</v>
      </c>
      <c r="G2144" t="str">
        <f t="shared" si="165"/>
        <v>ANTECIPA</v>
      </c>
      <c r="H2144" t="str">
        <f t="shared" si="166"/>
        <v>CONSTRUENGE ENGENHARIA E GERENCIAMENTO LTDA</v>
      </c>
      <c r="I2144">
        <f t="shared" si="167"/>
        <v>0</v>
      </c>
      <c r="J2144">
        <f t="shared" si="168"/>
        <v>1</v>
      </c>
    </row>
    <row r="2145" spans="1:10" x14ac:dyDescent="0.25">
      <c r="A2145" t="s">
        <v>318</v>
      </c>
      <c r="B2145" t="s">
        <v>87</v>
      </c>
      <c r="C2145" t="s">
        <v>72</v>
      </c>
      <c r="D2145" s="6">
        <v>45780</v>
      </c>
      <c r="E2145" t="str">
        <f>VLOOKUP(B2145,'PROCV GERENTES BD'!A:B,2,0)</f>
        <v>CELIO PIMENTA</v>
      </c>
      <c r="F2145" s="4" t="str">
        <f t="shared" si="169"/>
        <v>2025-05-1</v>
      </c>
      <c r="G2145" t="str">
        <f t="shared" si="165"/>
        <v>CELIO PIMENTA</v>
      </c>
      <c r="H2145" t="str">
        <f t="shared" si="166"/>
        <v>MBIOLOG DIAGNOSTICOS LTDA</v>
      </c>
      <c r="I2145">
        <f t="shared" si="167"/>
        <v>1</v>
      </c>
      <c r="J2145">
        <f t="shared" si="168"/>
        <v>0</v>
      </c>
    </row>
    <row r="2146" spans="1:10" x14ac:dyDescent="0.25">
      <c r="A2146" t="s">
        <v>331</v>
      </c>
      <c r="B2146" t="s">
        <v>126</v>
      </c>
      <c r="C2146" t="s">
        <v>72</v>
      </c>
      <c r="D2146" s="6">
        <v>45780</v>
      </c>
      <c r="E2146" t="str">
        <f>VLOOKUP(B2146,'PROCV GERENTES BD'!A:B,2,0)</f>
        <v>FITZ</v>
      </c>
      <c r="F2146" s="4" t="str">
        <f t="shared" si="169"/>
        <v>2025-05-1</v>
      </c>
      <c r="G2146" t="str">
        <f t="shared" si="165"/>
        <v>FITZ</v>
      </c>
      <c r="H2146" t="str">
        <f t="shared" si="166"/>
        <v>TRANSHENRY TRANSPORTES LTDA</v>
      </c>
      <c r="I2146">
        <f t="shared" si="167"/>
        <v>1</v>
      </c>
      <c r="J2146">
        <f t="shared" si="168"/>
        <v>0</v>
      </c>
    </row>
    <row r="2147" spans="1:10" x14ac:dyDescent="0.25">
      <c r="A2147" t="s">
        <v>60</v>
      </c>
      <c r="B2147" t="s">
        <v>61</v>
      </c>
      <c r="C2147" t="s">
        <v>56</v>
      </c>
      <c r="D2147" s="6">
        <v>45780</v>
      </c>
      <c r="E2147" t="str">
        <f>VLOOKUP(B2147,'PROCV GERENTES BD'!A:B,2,0)</f>
        <v>CELIO PIMENTA</v>
      </c>
      <c r="F2147" s="4" t="str">
        <f t="shared" si="169"/>
        <v>2025-05-1</v>
      </c>
      <c r="G2147" t="str">
        <f t="shared" si="165"/>
        <v>CELIO PIMENTA</v>
      </c>
      <c r="H2147" t="str">
        <f t="shared" si="166"/>
        <v>WJ CALDEIRARIA INDUSTRIA E COMERCIO LTDA ME</v>
      </c>
      <c r="I2147">
        <f t="shared" si="167"/>
        <v>0</v>
      </c>
      <c r="J2147">
        <f t="shared" si="168"/>
        <v>1</v>
      </c>
    </row>
    <row r="2148" spans="1:10" x14ac:dyDescent="0.25">
      <c r="A2148" t="s">
        <v>514</v>
      </c>
      <c r="B2148" t="s">
        <v>275</v>
      </c>
      <c r="C2148" t="s">
        <v>72</v>
      </c>
      <c r="D2148" s="6">
        <v>45780</v>
      </c>
      <c r="E2148" t="str">
        <f>VLOOKUP(B2148,'PROCV GERENTES BD'!A:B,2,0)</f>
        <v>CAIO</v>
      </c>
      <c r="F2148" s="4" t="str">
        <f t="shared" si="169"/>
        <v>2025-05-1</v>
      </c>
      <c r="G2148" t="str">
        <f t="shared" si="165"/>
        <v>CAIO</v>
      </c>
      <c r="H2148" t="str">
        <f t="shared" si="166"/>
        <v>BEECORP BEM ESTAR CORPORATIVO LTDA ME</v>
      </c>
      <c r="I2148">
        <f t="shared" si="167"/>
        <v>1</v>
      </c>
      <c r="J2148">
        <f t="shared" si="168"/>
        <v>0</v>
      </c>
    </row>
    <row r="2149" spans="1:10" x14ac:dyDescent="0.25">
      <c r="A2149" t="s">
        <v>515</v>
      </c>
      <c r="B2149" t="s">
        <v>276</v>
      </c>
      <c r="C2149" t="s">
        <v>337</v>
      </c>
      <c r="D2149" s="6">
        <v>45780</v>
      </c>
      <c r="E2149" t="str">
        <f>VLOOKUP(B2149,'PROCV GERENTES BD'!A:B,2,0)</f>
        <v>LIBER</v>
      </c>
      <c r="F2149" s="4" t="str">
        <f t="shared" si="169"/>
        <v>2025-05-1</v>
      </c>
      <c r="G2149" t="str">
        <f t="shared" si="165"/>
        <v>LIBER</v>
      </c>
      <c r="H2149" t="str">
        <f t="shared" si="166"/>
        <v>ALPHA DISTRIBUIDORA DE PECAS LTDA ME</v>
      </c>
      <c r="I2149">
        <f t="shared" si="167"/>
        <v>0</v>
      </c>
      <c r="J2149">
        <f t="shared" si="168"/>
        <v>0</v>
      </c>
    </row>
    <row r="2150" spans="1:10" x14ac:dyDescent="0.25">
      <c r="A2150" t="s">
        <v>366</v>
      </c>
      <c r="B2150" t="s">
        <v>111</v>
      </c>
      <c r="C2150" t="s">
        <v>72</v>
      </c>
      <c r="D2150" s="6">
        <v>45780</v>
      </c>
      <c r="E2150" t="str">
        <f>VLOOKUP(B2150,'PROCV GERENTES BD'!A:B,2,0)</f>
        <v>DIOGO AZEVEDO</v>
      </c>
      <c r="F2150" s="4" t="str">
        <f t="shared" si="169"/>
        <v>2025-05-1</v>
      </c>
      <c r="G2150" t="str">
        <f t="shared" si="165"/>
        <v>DIOGO AZEVEDO</v>
      </c>
      <c r="H2150" t="str">
        <f t="shared" si="166"/>
        <v>INDUSTRIA E CERVEJARIA ARTESANAL DE MINAS GERAIS L</v>
      </c>
      <c r="I2150">
        <f t="shared" si="167"/>
        <v>1</v>
      </c>
      <c r="J2150">
        <f t="shared" si="168"/>
        <v>0</v>
      </c>
    </row>
    <row r="2151" spans="1:10" x14ac:dyDescent="0.25">
      <c r="A2151" t="s">
        <v>62</v>
      </c>
      <c r="B2151" t="s">
        <v>63</v>
      </c>
      <c r="C2151" t="s">
        <v>72</v>
      </c>
      <c r="D2151" s="6">
        <v>45780</v>
      </c>
      <c r="E2151" t="str">
        <f>VLOOKUP(B2151,'PROCV GERENTES BD'!A:B,2,0)</f>
        <v xml:space="preserve">ROGERIO </v>
      </c>
      <c r="F2151" s="4" t="str">
        <f t="shared" si="169"/>
        <v>2025-05-1</v>
      </c>
      <c r="G2151" t="str">
        <f t="shared" si="165"/>
        <v xml:space="preserve">ROGERIO </v>
      </c>
      <c r="H2151" t="str">
        <f t="shared" si="166"/>
        <v>RODOVIEIRA TRANSPORTE LTDA</v>
      </c>
      <c r="I2151">
        <f t="shared" si="167"/>
        <v>1</v>
      </c>
      <c r="J2151">
        <f t="shared" si="168"/>
        <v>0</v>
      </c>
    </row>
    <row r="2152" spans="1:10" x14ac:dyDescent="0.25">
      <c r="A2152" t="s">
        <v>326</v>
      </c>
      <c r="B2152" t="s">
        <v>86</v>
      </c>
      <c r="C2152" t="s">
        <v>56</v>
      </c>
      <c r="D2152" s="6">
        <v>45780</v>
      </c>
      <c r="E2152" t="str">
        <f>VLOOKUP(B2152,'PROCV GERENTES BD'!A:B,2,0)</f>
        <v>CELIO PIMENTA</v>
      </c>
      <c r="F2152" s="4" t="str">
        <f t="shared" si="169"/>
        <v>2025-05-1</v>
      </c>
      <c r="G2152" t="str">
        <f t="shared" si="165"/>
        <v>CELIO PIMENTA</v>
      </c>
      <c r="H2152" t="str">
        <f t="shared" si="166"/>
        <v>IMPORTEXTIL COMERCIO DE TECIDOS LTDA</v>
      </c>
      <c r="I2152">
        <f t="shared" si="167"/>
        <v>0</v>
      </c>
      <c r="J2152">
        <f t="shared" si="168"/>
        <v>1</v>
      </c>
    </row>
    <row r="2153" spans="1:10" x14ac:dyDescent="0.25">
      <c r="A2153" t="s">
        <v>325</v>
      </c>
      <c r="B2153" t="s">
        <v>210</v>
      </c>
      <c r="C2153" t="s">
        <v>72</v>
      </c>
      <c r="D2153" s="6">
        <v>45780</v>
      </c>
      <c r="E2153" t="str">
        <f>VLOOKUP(B2153,'PROCV GERENTES BD'!A:B,2,0)</f>
        <v>JOSE ROBERTO</v>
      </c>
      <c r="F2153" s="4" t="str">
        <f t="shared" si="169"/>
        <v>2025-05-1</v>
      </c>
      <c r="G2153" t="str">
        <f t="shared" si="165"/>
        <v>JOSE ROBERTO</v>
      </c>
      <c r="H2153" t="str">
        <f t="shared" si="166"/>
        <v>FUNDACAO DE ENSINO E PESQUISA DO SUL DE MINAS FEPE</v>
      </c>
      <c r="I2153">
        <f t="shared" si="167"/>
        <v>1</v>
      </c>
      <c r="J2153">
        <f t="shared" si="168"/>
        <v>0</v>
      </c>
    </row>
    <row r="2154" spans="1:10" x14ac:dyDescent="0.25">
      <c r="A2154" t="s">
        <v>380</v>
      </c>
      <c r="B2154" t="s">
        <v>123</v>
      </c>
      <c r="C2154" t="s">
        <v>56</v>
      </c>
      <c r="D2154" s="6">
        <v>45780</v>
      </c>
      <c r="E2154" t="str">
        <f>VLOOKUP(B2154,'PROCV GERENTES BD'!A:B,2,0)</f>
        <v>ANTONIO CARLOS</v>
      </c>
      <c r="F2154" s="4" t="str">
        <f t="shared" si="169"/>
        <v>2025-05-1</v>
      </c>
      <c r="G2154" t="str">
        <f t="shared" si="165"/>
        <v>ANTONIO CARLOS</v>
      </c>
      <c r="H2154" t="str">
        <f t="shared" si="166"/>
        <v>PREMOLDADOS MATOSINHOS LTDA EPP</v>
      </c>
      <c r="I2154">
        <f t="shared" si="167"/>
        <v>0</v>
      </c>
      <c r="J2154">
        <f t="shared" si="168"/>
        <v>1</v>
      </c>
    </row>
    <row r="2155" spans="1:10" x14ac:dyDescent="0.25">
      <c r="A2155" t="s">
        <v>361</v>
      </c>
      <c r="B2155" t="s">
        <v>103</v>
      </c>
      <c r="C2155" t="s">
        <v>56</v>
      </c>
      <c r="D2155" s="6">
        <v>45780</v>
      </c>
      <c r="E2155" t="str">
        <f>VLOOKUP(B2155,'PROCV GERENTES BD'!A:B,2,0)</f>
        <v>PRISCILA METZ</v>
      </c>
      <c r="F2155" s="4" t="str">
        <f t="shared" si="169"/>
        <v>2025-05-1</v>
      </c>
      <c r="G2155" t="str">
        <f t="shared" si="165"/>
        <v>PRISCILA METZ</v>
      </c>
      <c r="H2155" t="str">
        <f t="shared" si="166"/>
        <v>ESSENZA INDUSTRIA QUIMICA LTDA</v>
      </c>
      <c r="I2155">
        <f t="shared" si="167"/>
        <v>0</v>
      </c>
      <c r="J2155">
        <f t="shared" si="168"/>
        <v>1</v>
      </c>
    </row>
    <row r="2156" spans="1:10" x14ac:dyDescent="0.25">
      <c r="A2156" t="s">
        <v>434</v>
      </c>
      <c r="B2156" t="s">
        <v>184</v>
      </c>
      <c r="C2156" t="s">
        <v>56</v>
      </c>
      <c r="D2156" s="6">
        <v>45780</v>
      </c>
      <c r="E2156" t="str">
        <f>VLOOKUP(B2156,'PROCV GERENTES BD'!A:B,2,0)</f>
        <v>WHELKYA IRIS</v>
      </c>
      <c r="F2156" s="4" t="str">
        <f t="shared" si="169"/>
        <v>2025-05-1</v>
      </c>
      <c r="G2156" t="str">
        <f t="shared" si="165"/>
        <v>WHELKYA IRIS</v>
      </c>
      <c r="H2156" t="str">
        <f t="shared" si="166"/>
        <v>JFIX INDUSTRIA QUIMICA LTDA ME</v>
      </c>
      <c r="I2156">
        <f t="shared" si="167"/>
        <v>0</v>
      </c>
      <c r="J2156">
        <f t="shared" si="168"/>
        <v>1</v>
      </c>
    </row>
    <row r="2157" spans="1:10" x14ac:dyDescent="0.25">
      <c r="A2157" t="s">
        <v>68</v>
      </c>
      <c r="B2157" t="s">
        <v>69</v>
      </c>
      <c r="C2157" t="s">
        <v>72</v>
      </c>
      <c r="D2157" s="6">
        <v>45780</v>
      </c>
      <c r="E2157" t="str">
        <f>VLOOKUP(B2157,'PROCV GERENTES BD'!A:B,2,0)</f>
        <v>FITZ</v>
      </c>
      <c r="F2157" s="4" t="str">
        <f t="shared" si="169"/>
        <v>2025-05-1</v>
      </c>
      <c r="G2157" t="str">
        <f t="shared" si="165"/>
        <v>FITZ</v>
      </c>
      <c r="H2157" t="str">
        <f t="shared" si="166"/>
        <v>MAPP COM IMPORTACAO EXPORTACAO IND PRODUTOS ALIMEN</v>
      </c>
      <c r="I2157">
        <f t="shared" si="167"/>
        <v>1</v>
      </c>
      <c r="J2157">
        <f t="shared" si="168"/>
        <v>0</v>
      </c>
    </row>
    <row r="2158" spans="1:10" x14ac:dyDescent="0.25">
      <c r="A2158" t="s">
        <v>70</v>
      </c>
      <c r="B2158" t="s">
        <v>71</v>
      </c>
      <c r="C2158" t="s">
        <v>59</v>
      </c>
      <c r="D2158" s="6">
        <v>45780</v>
      </c>
      <c r="E2158" t="str">
        <f>VLOOKUP(B2158,'PROCV GERENTES BD'!A:B,2,0)</f>
        <v>SEM GERENTE</v>
      </c>
      <c r="F2158" s="4" t="str">
        <f t="shared" si="169"/>
        <v>2025-05-1</v>
      </c>
      <c r="G2158" t="str">
        <f t="shared" si="165"/>
        <v>SEM GERENTE</v>
      </c>
      <c r="H2158" t="str">
        <f t="shared" si="166"/>
        <v>SOCIAL S/A</v>
      </c>
      <c r="I2158">
        <f t="shared" si="167"/>
        <v>0</v>
      </c>
      <c r="J2158">
        <f t="shared" si="168"/>
        <v>0</v>
      </c>
    </row>
    <row r="2159" spans="1:10" x14ac:dyDescent="0.25">
      <c r="A2159" t="s">
        <v>73</v>
      </c>
      <c r="B2159" t="s">
        <v>74</v>
      </c>
      <c r="C2159" t="s">
        <v>59</v>
      </c>
      <c r="D2159" s="6">
        <v>45780</v>
      </c>
      <c r="E2159" t="str">
        <f>VLOOKUP(B2159,'PROCV GERENTES BD'!A:B,2,0)</f>
        <v xml:space="preserve">ROGERIO </v>
      </c>
      <c r="F2159" s="4" t="str">
        <f t="shared" si="169"/>
        <v>2025-05-1</v>
      </c>
      <c r="G2159" t="str">
        <f t="shared" si="165"/>
        <v xml:space="preserve">ROGERIO </v>
      </c>
      <c r="H2159" t="str">
        <f t="shared" si="166"/>
        <v>DIOTTONI INDUSTRIA E COMERCIO DE ALIMENTOS LTDA ME</v>
      </c>
      <c r="I2159">
        <f t="shared" si="167"/>
        <v>0</v>
      </c>
      <c r="J2159">
        <f t="shared" si="168"/>
        <v>0</v>
      </c>
    </row>
    <row r="2160" spans="1:10" x14ac:dyDescent="0.25">
      <c r="A2160" t="s">
        <v>78</v>
      </c>
      <c r="B2160" t="s">
        <v>79</v>
      </c>
      <c r="C2160" t="s">
        <v>72</v>
      </c>
      <c r="D2160" s="6">
        <v>45780</v>
      </c>
      <c r="E2160" t="str">
        <f>VLOOKUP(B2160,'PROCV GERENTES BD'!A:B,2,0)</f>
        <v>NOELI SALETE</v>
      </c>
      <c r="F2160" s="4" t="str">
        <f t="shared" si="169"/>
        <v>2025-05-1</v>
      </c>
      <c r="G2160" t="str">
        <f t="shared" si="165"/>
        <v>NOELI SALETE</v>
      </c>
      <c r="H2160" t="str">
        <f t="shared" si="166"/>
        <v>SMARTCENTER SOLUCOES INTELIGENTES LTDA ME</v>
      </c>
      <c r="I2160">
        <f t="shared" si="167"/>
        <v>1</v>
      </c>
      <c r="J2160">
        <f t="shared" si="168"/>
        <v>0</v>
      </c>
    </row>
    <row r="2161" spans="1:10" x14ac:dyDescent="0.25">
      <c r="A2161" t="s">
        <v>80</v>
      </c>
      <c r="B2161" t="s">
        <v>81</v>
      </c>
      <c r="C2161" t="s">
        <v>56</v>
      </c>
      <c r="D2161" s="6">
        <v>45780</v>
      </c>
      <c r="E2161" t="str">
        <f>VLOOKUP(B2161,'PROCV GERENTES BD'!A:B,2,0)</f>
        <v>CAIO</v>
      </c>
      <c r="F2161" s="4" t="str">
        <f t="shared" si="169"/>
        <v>2025-05-1</v>
      </c>
      <c r="G2161" t="str">
        <f t="shared" si="165"/>
        <v>CAIO</v>
      </c>
      <c r="H2161" t="str">
        <f t="shared" si="166"/>
        <v>TP DISTRIBUIDORA DE PECAS LTDA EPP</v>
      </c>
      <c r="I2161">
        <f t="shared" si="167"/>
        <v>0</v>
      </c>
      <c r="J2161">
        <f t="shared" si="168"/>
        <v>1</v>
      </c>
    </row>
    <row r="2162" spans="1:10" x14ac:dyDescent="0.25">
      <c r="A2162" t="s">
        <v>322</v>
      </c>
      <c r="B2162" t="s">
        <v>277</v>
      </c>
      <c r="C2162" t="s">
        <v>72</v>
      </c>
      <c r="D2162" s="6">
        <v>45780</v>
      </c>
      <c r="E2162" t="str">
        <f>VLOOKUP(B2162,'PROCV GERENTES BD'!A:B,2,0)</f>
        <v>SEM GERENTE</v>
      </c>
      <c r="F2162" s="4" t="str">
        <f t="shared" si="169"/>
        <v>2025-05-1</v>
      </c>
      <c r="G2162" t="str">
        <f t="shared" si="165"/>
        <v>SEM GERENTE</v>
      </c>
      <c r="H2162" t="str">
        <f t="shared" si="166"/>
        <v>FAC INDUSTRIA E SERVICOS LTDA ME</v>
      </c>
      <c r="I2162">
        <f t="shared" si="167"/>
        <v>1</v>
      </c>
      <c r="J2162">
        <f t="shared" si="168"/>
        <v>0</v>
      </c>
    </row>
    <row r="2163" spans="1:10" x14ac:dyDescent="0.25">
      <c r="A2163" t="s">
        <v>321</v>
      </c>
      <c r="B2163" t="s">
        <v>253</v>
      </c>
      <c r="C2163" t="s">
        <v>72</v>
      </c>
      <c r="D2163" s="6">
        <v>45780</v>
      </c>
      <c r="E2163" t="str">
        <f>VLOOKUP(B2163,'PROCV GERENTES BD'!A:B,2,0)</f>
        <v>THAYNA/COMERCIAL</v>
      </c>
      <c r="F2163" s="4" t="str">
        <f t="shared" si="169"/>
        <v>2025-05-1</v>
      </c>
      <c r="G2163" t="str">
        <f t="shared" si="165"/>
        <v>THAYNA/COMERCIAL</v>
      </c>
      <c r="H2163" t="str">
        <f t="shared" si="166"/>
        <v>MUTCD CENTRO DE DISTRIBUICAO DE IND FABRICANTE DE</v>
      </c>
      <c r="I2163">
        <f t="shared" si="167"/>
        <v>1</v>
      </c>
      <c r="J2163">
        <f t="shared" si="168"/>
        <v>0</v>
      </c>
    </row>
    <row r="2164" spans="1:10" x14ac:dyDescent="0.25">
      <c r="A2164" t="s">
        <v>506</v>
      </c>
      <c r="B2164" t="s">
        <v>263</v>
      </c>
      <c r="C2164" t="s">
        <v>59</v>
      </c>
      <c r="D2164" s="6">
        <v>45780</v>
      </c>
      <c r="E2164" t="str">
        <f>VLOOKUP(B2164,'PROCV GERENTES BD'!A:B,2,0)</f>
        <v>CELIO PIMENTA</v>
      </c>
      <c r="F2164" s="4" t="str">
        <f t="shared" si="169"/>
        <v>2025-05-1</v>
      </c>
      <c r="G2164" t="str">
        <f t="shared" si="165"/>
        <v>CELIO PIMENTA</v>
      </c>
      <c r="H2164" t="str">
        <f t="shared" si="166"/>
        <v>SEU TRATOR LTDA EPP</v>
      </c>
      <c r="I2164">
        <f t="shared" si="167"/>
        <v>0</v>
      </c>
      <c r="J2164">
        <f t="shared" si="168"/>
        <v>0</v>
      </c>
    </row>
    <row r="2165" spans="1:10" x14ac:dyDescent="0.25">
      <c r="A2165" t="s">
        <v>471</v>
      </c>
      <c r="B2165" t="s">
        <v>227</v>
      </c>
      <c r="C2165" t="s">
        <v>56</v>
      </c>
      <c r="D2165" s="6">
        <v>45780</v>
      </c>
      <c r="E2165" t="str">
        <f>VLOOKUP(B2165,'PROCV GERENTES BD'!A:B,2,0)</f>
        <v>ADMINISTRAÇÃO</v>
      </c>
      <c r="F2165" s="4" t="str">
        <f t="shared" si="169"/>
        <v>2025-05-1</v>
      </c>
      <c r="G2165" t="str">
        <f t="shared" si="165"/>
        <v>ADMINISTRAÇÃO</v>
      </c>
      <c r="H2165" t="str">
        <f t="shared" si="166"/>
        <v>A C ESPORTES S A F</v>
      </c>
      <c r="I2165">
        <f t="shared" si="167"/>
        <v>0</v>
      </c>
      <c r="J2165">
        <f t="shared" si="168"/>
        <v>1</v>
      </c>
    </row>
    <row r="2166" spans="1:10" x14ac:dyDescent="0.25">
      <c r="A2166" t="s">
        <v>455</v>
      </c>
      <c r="B2166" t="s">
        <v>207</v>
      </c>
      <c r="C2166" t="s">
        <v>72</v>
      </c>
      <c r="D2166" s="6">
        <v>45780</v>
      </c>
      <c r="E2166" t="str">
        <f>VLOOKUP(B2166,'PROCV GERENTES BD'!A:B,2,0)</f>
        <v xml:space="preserve">ROGERIO </v>
      </c>
      <c r="F2166" s="4" t="str">
        <f t="shared" si="169"/>
        <v>2025-05-1</v>
      </c>
      <c r="G2166" t="str">
        <f t="shared" si="165"/>
        <v xml:space="preserve">ROGERIO </v>
      </c>
      <c r="H2166" t="str">
        <f t="shared" si="166"/>
        <v>ORTHOSIDE INDUSTRIA E COMERCIO LTDA EPP</v>
      </c>
      <c r="I2166">
        <f t="shared" si="167"/>
        <v>1</v>
      </c>
      <c r="J2166">
        <f t="shared" si="168"/>
        <v>0</v>
      </c>
    </row>
    <row r="2167" spans="1:10" x14ac:dyDescent="0.25">
      <c r="A2167" t="s">
        <v>383</v>
      </c>
      <c r="B2167" t="s">
        <v>127</v>
      </c>
      <c r="C2167" t="s">
        <v>72</v>
      </c>
      <c r="D2167" s="6">
        <v>45782</v>
      </c>
      <c r="E2167" t="str">
        <f>VLOOKUP(B2167,'PROCV GERENTES BD'!A:B,2,0)</f>
        <v>NATALIA NUBIA</v>
      </c>
      <c r="F2167" s="4" t="str">
        <f t="shared" si="169"/>
        <v>2025-05-1</v>
      </c>
      <c r="G2167" t="str">
        <f t="shared" si="165"/>
        <v>NATALIA NUBIA</v>
      </c>
      <c r="H2167" t="str">
        <f t="shared" si="166"/>
        <v>FARINELLI NUTRIMENTOS LTDA</v>
      </c>
      <c r="I2167">
        <f t="shared" si="167"/>
        <v>1</v>
      </c>
      <c r="J2167">
        <f t="shared" si="168"/>
        <v>0</v>
      </c>
    </row>
    <row r="2168" spans="1:10" x14ac:dyDescent="0.25">
      <c r="A2168" t="s">
        <v>423</v>
      </c>
      <c r="B2168" t="s">
        <v>172</v>
      </c>
      <c r="C2168" t="s">
        <v>72</v>
      </c>
      <c r="D2168" s="6">
        <v>45782</v>
      </c>
      <c r="E2168" t="str">
        <f>VLOOKUP(B2168,'PROCV GERENTES BD'!A:B,2,0)</f>
        <v>FITZ</v>
      </c>
      <c r="F2168" s="4" t="str">
        <f t="shared" si="169"/>
        <v>2025-05-1</v>
      </c>
      <c r="G2168" t="str">
        <f t="shared" si="165"/>
        <v>FITZ</v>
      </c>
      <c r="H2168" t="str">
        <f t="shared" si="166"/>
        <v>STA SERVICOS LTDA</v>
      </c>
      <c r="I2168">
        <f t="shared" si="167"/>
        <v>1</v>
      </c>
      <c r="J2168">
        <f t="shared" si="168"/>
        <v>0</v>
      </c>
    </row>
    <row r="2169" spans="1:10" x14ac:dyDescent="0.25">
      <c r="A2169" t="s">
        <v>490</v>
      </c>
      <c r="B2169" t="s">
        <v>246</v>
      </c>
      <c r="C2169" t="s">
        <v>72</v>
      </c>
      <c r="D2169" s="6">
        <v>45782</v>
      </c>
      <c r="E2169" t="str">
        <f>VLOOKUP(B2169,'PROCV GERENTES BD'!A:B,2,0)</f>
        <v>RAFAEL PARISE</v>
      </c>
      <c r="F2169" s="4" t="str">
        <f t="shared" si="169"/>
        <v>2025-05-1</v>
      </c>
      <c r="G2169" t="str">
        <f t="shared" si="165"/>
        <v>RAFAEL PARISE</v>
      </c>
      <c r="H2169" t="str">
        <f t="shared" si="166"/>
        <v>RENOVAR AGRICOLA LTDA</v>
      </c>
      <c r="I2169">
        <f t="shared" si="167"/>
        <v>1</v>
      </c>
      <c r="J2169">
        <f t="shared" si="168"/>
        <v>0</v>
      </c>
    </row>
    <row r="2170" spans="1:10" x14ac:dyDescent="0.25">
      <c r="A2170" t="s">
        <v>331</v>
      </c>
      <c r="B2170" t="s">
        <v>126</v>
      </c>
      <c r="C2170" t="s">
        <v>72</v>
      </c>
      <c r="D2170" s="6">
        <v>45782</v>
      </c>
      <c r="E2170" t="str">
        <f>VLOOKUP(B2170,'PROCV GERENTES BD'!A:B,2,0)</f>
        <v>FITZ</v>
      </c>
      <c r="F2170" s="4" t="str">
        <f t="shared" si="169"/>
        <v>2025-05-1</v>
      </c>
      <c r="G2170" t="str">
        <f t="shared" si="165"/>
        <v>FITZ</v>
      </c>
      <c r="H2170" t="str">
        <f t="shared" si="166"/>
        <v>TRANSHENRY TRANSPORTES LTDA</v>
      </c>
      <c r="I2170">
        <f t="shared" si="167"/>
        <v>1</v>
      </c>
      <c r="J2170">
        <f t="shared" si="168"/>
        <v>0</v>
      </c>
    </row>
    <row r="2171" spans="1:10" x14ac:dyDescent="0.25">
      <c r="A2171" t="s">
        <v>330</v>
      </c>
      <c r="B2171" t="s">
        <v>116</v>
      </c>
      <c r="C2171" t="s">
        <v>72</v>
      </c>
      <c r="D2171" s="6">
        <v>45782</v>
      </c>
      <c r="E2171" t="str">
        <f>VLOOKUP(B2171,'PROCV GERENTES BD'!A:B,2,0)</f>
        <v>FITZ</v>
      </c>
      <c r="F2171" s="4" t="str">
        <f t="shared" si="169"/>
        <v>2025-05-1</v>
      </c>
      <c r="G2171" t="str">
        <f t="shared" si="165"/>
        <v>FITZ</v>
      </c>
      <c r="H2171" t="str">
        <f t="shared" si="166"/>
        <v>SIAP COMERCIO DE PRODUTOS AGROPECUARIOS LTDA</v>
      </c>
      <c r="I2171">
        <f t="shared" si="167"/>
        <v>1</v>
      </c>
      <c r="J2171">
        <f t="shared" si="168"/>
        <v>0</v>
      </c>
    </row>
    <row r="2172" spans="1:10" x14ac:dyDescent="0.25">
      <c r="A2172" t="s">
        <v>60</v>
      </c>
      <c r="B2172" t="s">
        <v>61</v>
      </c>
      <c r="C2172" t="s">
        <v>56</v>
      </c>
      <c r="D2172" s="6">
        <v>45782</v>
      </c>
      <c r="E2172" t="str">
        <f>VLOOKUP(B2172,'PROCV GERENTES BD'!A:B,2,0)</f>
        <v>CELIO PIMENTA</v>
      </c>
      <c r="F2172" s="4" t="str">
        <f t="shared" si="169"/>
        <v>2025-05-1</v>
      </c>
      <c r="G2172" t="str">
        <f t="shared" si="165"/>
        <v>CELIO PIMENTA</v>
      </c>
      <c r="H2172" t="str">
        <f t="shared" si="166"/>
        <v>WJ CALDEIRARIA INDUSTRIA E COMERCIO LTDA ME</v>
      </c>
      <c r="I2172">
        <f t="shared" si="167"/>
        <v>0</v>
      </c>
      <c r="J2172">
        <f t="shared" si="168"/>
        <v>1</v>
      </c>
    </row>
    <row r="2173" spans="1:10" x14ac:dyDescent="0.25">
      <c r="A2173" t="s">
        <v>514</v>
      </c>
      <c r="B2173" t="s">
        <v>275</v>
      </c>
      <c r="C2173" t="s">
        <v>72</v>
      </c>
      <c r="D2173" s="6">
        <v>45782</v>
      </c>
      <c r="E2173" t="str">
        <f>VLOOKUP(B2173,'PROCV GERENTES BD'!A:B,2,0)</f>
        <v>CAIO</v>
      </c>
      <c r="F2173" s="4" t="str">
        <f t="shared" si="169"/>
        <v>2025-05-1</v>
      </c>
      <c r="G2173" t="str">
        <f t="shared" si="165"/>
        <v>CAIO</v>
      </c>
      <c r="H2173" t="str">
        <f t="shared" si="166"/>
        <v>BEECORP BEM ESTAR CORPORATIVO LTDA ME</v>
      </c>
      <c r="I2173">
        <f t="shared" si="167"/>
        <v>1</v>
      </c>
      <c r="J2173">
        <f t="shared" si="168"/>
        <v>0</v>
      </c>
    </row>
    <row r="2174" spans="1:10" x14ac:dyDescent="0.25">
      <c r="A2174" t="s">
        <v>62</v>
      </c>
      <c r="B2174" t="s">
        <v>63</v>
      </c>
      <c r="C2174" t="s">
        <v>72</v>
      </c>
      <c r="D2174" s="6">
        <v>45782</v>
      </c>
      <c r="E2174" t="str">
        <f>VLOOKUP(B2174,'PROCV GERENTES BD'!A:B,2,0)</f>
        <v xml:space="preserve">ROGERIO </v>
      </c>
      <c r="F2174" s="4" t="str">
        <f t="shared" si="169"/>
        <v>2025-05-1</v>
      </c>
      <c r="G2174" t="str">
        <f t="shared" si="165"/>
        <v xml:space="preserve">ROGERIO </v>
      </c>
      <c r="H2174" t="str">
        <f t="shared" si="166"/>
        <v>RODOVIEIRA TRANSPORTE LTDA</v>
      </c>
      <c r="I2174">
        <f t="shared" si="167"/>
        <v>1</v>
      </c>
      <c r="J2174">
        <f t="shared" si="168"/>
        <v>0</v>
      </c>
    </row>
    <row r="2175" spans="1:10" x14ac:dyDescent="0.25">
      <c r="A2175" t="s">
        <v>363</v>
      </c>
      <c r="B2175" t="s">
        <v>106</v>
      </c>
      <c r="C2175" t="s">
        <v>72</v>
      </c>
      <c r="D2175" s="6">
        <v>45782</v>
      </c>
      <c r="E2175" t="str">
        <f>VLOOKUP(B2175,'PROCV GERENTES BD'!A:B,2,0)</f>
        <v>ADMINISTRAÇÃO</v>
      </c>
      <c r="F2175" s="4" t="str">
        <f t="shared" si="169"/>
        <v>2025-05-1</v>
      </c>
      <c r="G2175" t="str">
        <f t="shared" si="165"/>
        <v>ADMINISTRAÇÃO</v>
      </c>
      <c r="H2175" t="str">
        <f t="shared" si="166"/>
        <v>DECISION DESENVOLVIMENTO DE SISTEMAS LTDA</v>
      </c>
      <c r="I2175">
        <f t="shared" si="167"/>
        <v>1</v>
      </c>
      <c r="J2175">
        <f t="shared" si="168"/>
        <v>0</v>
      </c>
    </row>
    <row r="2176" spans="1:10" x14ac:dyDescent="0.25">
      <c r="A2176" t="s">
        <v>420</v>
      </c>
      <c r="B2176" t="s">
        <v>169</v>
      </c>
      <c r="C2176" t="s">
        <v>56</v>
      </c>
      <c r="D2176" s="6">
        <v>45782</v>
      </c>
      <c r="E2176" t="str">
        <f>VLOOKUP(B2176,'PROCV GERENTES BD'!A:B,2,0)</f>
        <v>FITZ</v>
      </c>
      <c r="F2176" s="4" t="str">
        <f t="shared" si="169"/>
        <v>2025-05-1</v>
      </c>
      <c r="G2176" t="str">
        <f t="shared" si="165"/>
        <v>FITZ</v>
      </c>
      <c r="H2176" t="str">
        <f t="shared" si="166"/>
        <v>MORIA PRESTACAO DE SERVICOS LTDA ME</v>
      </c>
      <c r="I2176">
        <f t="shared" si="167"/>
        <v>0</v>
      </c>
      <c r="J2176">
        <f t="shared" si="168"/>
        <v>1</v>
      </c>
    </row>
    <row r="2177" spans="1:10" x14ac:dyDescent="0.25">
      <c r="A2177" t="s">
        <v>428</v>
      </c>
      <c r="B2177" t="s">
        <v>177</v>
      </c>
      <c r="C2177" t="s">
        <v>72</v>
      </c>
      <c r="D2177" s="6">
        <v>45782</v>
      </c>
      <c r="E2177" t="str">
        <f>VLOOKUP(B2177,'PROCV GERENTES BD'!A:B,2,0)</f>
        <v>POENATELA</v>
      </c>
      <c r="F2177" s="4" t="str">
        <f t="shared" si="169"/>
        <v>2025-05-1</v>
      </c>
      <c r="G2177" t="str">
        <f t="shared" si="165"/>
        <v>POENATELA</v>
      </c>
      <c r="H2177" t="str">
        <f t="shared" si="166"/>
        <v>SAVIXX COMERCIO INTERNACIONAL S/A</v>
      </c>
      <c r="I2177">
        <f t="shared" si="167"/>
        <v>1</v>
      </c>
      <c r="J2177">
        <f t="shared" si="168"/>
        <v>0</v>
      </c>
    </row>
    <row r="2178" spans="1:10" x14ac:dyDescent="0.25">
      <c r="A2178" t="s">
        <v>70</v>
      </c>
      <c r="B2178" t="s">
        <v>71</v>
      </c>
      <c r="C2178" t="s">
        <v>59</v>
      </c>
      <c r="D2178" s="6">
        <v>45782</v>
      </c>
      <c r="E2178" t="str">
        <f>VLOOKUP(B2178,'PROCV GERENTES BD'!A:B,2,0)</f>
        <v>SEM GERENTE</v>
      </c>
      <c r="F2178" s="4" t="str">
        <f t="shared" si="169"/>
        <v>2025-05-1</v>
      </c>
      <c r="G2178" t="str">
        <f t="shared" ref="G2178:G2241" si="170">E2178</f>
        <v>SEM GERENTE</v>
      </c>
      <c r="H2178" t="str">
        <f t="shared" ref="H2178:H2241" si="171">B2178</f>
        <v>SOCIAL S/A</v>
      </c>
      <c r="I2178">
        <f t="shared" ref="I2178:I2241" si="172">IF(C2178="EXCLUSAO  ANOT.INADIMPLENCIA",1,0)</f>
        <v>0</v>
      </c>
      <c r="J2178">
        <f t="shared" ref="J2178:J2241" si="173">IF(C2178="INCLUSAO  ANOT.INADIMPLENCIA",1,0)</f>
        <v>0</v>
      </c>
    </row>
    <row r="2179" spans="1:10" x14ac:dyDescent="0.25">
      <c r="A2179" t="s">
        <v>516</v>
      </c>
      <c r="B2179" t="s">
        <v>278</v>
      </c>
      <c r="C2179" t="s">
        <v>72</v>
      </c>
      <c r="D2179" s="6">
        <v>45782</v>
      </c>
      <c r="E2179" t="str">
        <f>VLOOKUP(B2179,'PROCV GERENTES BD'!A:B,2,0)</f>
        <v>SEM GERENTE</v>
      </c>
      <c r="F2179" s="4" t="str">
        <f t="shared" ref="F2179:F2242" si="174">YEAR(D2179)&amp;"-"&amp;TEXT(MONTH(D2179),"00")&amp;"-"&amp;IF(DAY(D2179)&lt;=15,"1",IF(DAY(D2179)&gt;15,"2",""))</f>
        <v>2025-05-1</v>
      </c>
      <c r="G2179" t="str">
        <f t="shared" si="170"/>
        <v>SEM GERENTE</v>
      </c>
      <c r="H2179" t="str">
        <f t="shared" si="171"/>
        <v>TUBOLARES VITORIA INDUSTRIA E COMERCIO LTDA ME</v>
      </c>
      <c r="I2179">
        <f t="shared" si="172"/>
        <v>1</v>
      </c>
      <c r="J2179">
        <f t="shared" si="173"/>
        <v>0</v>
      </c>
    </row>
    <row r="2180" spans="1:10" x14ac:dyDescent="0.25">
      <c r="A2180" t="s">
        <v>402</v>
      </c>
      <c r="B2180" t="s">
        <v>150</v>
      </c>
      <c r="C2180" t="s">
        <v>72</v>
      </c>
      <c r="D2180" s="6">
        <v>45782</v>
      </c>
      <c r="E2180" t="str">
        <f>VLOOKUP(B2180,'PROCV GERENTES BD'!A:B,2,0)</f>
        <v>NOELI SALETE</v>
      </c>
      <c r="F2180" s="4" t="str">
        <f t="shared" si="174"/>
        <v>2025-05-1</v>
      </c>
      <c r="G2180" t="str">
        <f t="shared" si="170"/>
        <v>NOELI SALETE</v>
      </c>
      <c r="H2180" t="str">
        <f t="shared" si="171"/>
        <v>ALBERTO H DA SILVA ME</v>
      </c>
      <c r="I2180">
        <f t="shared" si="172"/>
        <v>1</v>
      </c>
      <c r="J2180">
        <f t="shared" si="173"/>
        <v>0</v>
      </c>
    </row>
    <row r="2181" spans="1:10" x14ac:dyDescent="0.25">
      <c r="A2181" t="s">
        <v>465</v>
      </c>
      <c r="B2181" t="s">
        <v>221</v>
      </c>
      <c r="C2181" t="s">
        <v>72</v>
      </c>
      <c r="D2181" s="6">
        <v>45782</v>
      </c>
      <c r="E2181" t="str">
        <f>VLOOKUP(B2181,'PROCV GERENTES BD'!A:B,2,0)</f>
        <v xml:space="preserve">ROGERIO </v>
      </c>
      <c r="F2181" s="4" t="str">
        <f t="shared" si="174"/>
        <v>2025-05-1</v>
      </c>
      <c r="G2181" t="str">
        <f t="shared" si="170"/>
        <v xml:space="preserve">ROGERIO </v>
      </c>
      <c r="H2181" t="str">
        <f t="shared" si="171"/>
        <v>METAL STAMP INDUSTRIA E COMERCIO LTDA</v>
      </c>
      <c r="I2181">
        <f t="shared" si="172"/>
        <v>1</v>
      </c>
      <c r="J2181">
        <f t="shared" si="173"/>
        <v>0</v>
      </c>
    </row>
    <row r="2182" spans="1:10" x14ac:dyDescent="0.25">
      <c r="A2182" t="s">
        <v>415</v>
      </c>
      <c r="B2182" t="s">
        <v>164</v>
      </c>
      <c r="C2182" t="s">
        <v>72</v>
      </c>
      <c r="D2182" s="6">
        <v>45782</v>
      </c>
      <c r="E2182" t="str">
        <f>VLOOKUP(B2182,'PROCV GERENTES BD'!A:B,2,0)</f>
        <v>NOELI SALETE</v>
      </c>
      <c r="F2182" s="4" t="str">
        <f t="shared" si="174"/>
        <v>2025-05-1</v>
      </c>
      <c r="G2182" t="str">
        <f t="shared" si="170"/>
        <v>NOELI SALETE</v>
      </c>
      <c r="H2182" t="str">
        <f t="shared" si="171"/>
        <v>SGAMAQ INOVACAO AGROINDUSTRIAL LTDA</v>
      </c>
      <c r="I2182">
        <f t="shared" si="172"/>
        <v>1</v>
      </c>
      <c r="J2182">
        <f t="shared" si="173"/>
        <v>0</v>
      </c>
    </row>
    <row r="2183" spans="1:10" x14ac:dyDescent="0.25">
      <c r="A2183" t="s">
        <v>383</v>
      </c>
      <c r="B2183" t="s">
        <v>127</v>
      </c>
      <c r="C2183" t="s">
        <v>72</v>
      </c>
      <c r="D2183" s="6">
        <v>45783</v>
      </c>
      <c r="E2183" t="str">
        <f>VLOOKUP(B2183,'PROCV GERENTES BD'!A:B,2,0)</f>
        <v>NATALIA NUBIA</v>
      </c>
      <c r="F2183" s="4" t="str">
        <f t="shared" si="174"/>
        <v>2025-05-1</v>
      </c>
      <c r="G2183" t="str">
        <f t="shared" si="170"/>
        <v>NATALIA NUBIA</v>
      </c>
      <c r="H2183" t="str">
        <f t="shared" si="171"/>
        <v>FARINELLI NUTRIMENTOS LTDA</v>
      </c>
      <c r="I2183">
        <f t="shared" si="172"/>
        <v>1</v>
      </c>
      <c r="J2183">
        <f t="shared" si="173"/>
        <v>0</v>
      </c>
    </row>
    <row r="2184" spans="1:10" x14ac:dyDescent="0.25">
      <c r="A2184" t="s">
        <v>331</v>
      </c>
      <c r="B2184" t="s">
        <v>126</v>
      </c>
      <c r="C2184" t="s">
        <v>59</v>
      </c>
      <c r="D2184" s="6">
        <v>45783</v>
      </c>
      <c r="E2184" t="str">
        <f>VLOOKUP(B2184,'PROCV GERENTES BD'!A:B,2,0)</f>
        <v>FITZ</v>
      </c>
      <c r="F2184" s="4" t="str">
        <f t="shared" si="174"/>
        <v>2025-05-1</v>
      </c>
      <c r="G2184" t="str">
        <f t="shared" si="170"/>
        <v>FITZ</v>
      </c>
      <c r="H2184" t="str">
        <f t="shared" si="171"/>
        <v>TRANSHENRY TRANSPORTES LTDA</v>
      </c>
      <c r="I2184">
        <f t="shared" si="172"/>
        <v>0</v>
      </c>
      <c r="J2184">
        <f t="shared" si="173"/>
        <v>0</v>
      </c>
    </row>
    <row r="2185" spans="1:10" x14ac:dyDescent="0.25">
      <c r="A2185" t="s">
        <v>57</v>
      </c>
      <c r="B2185" t="s">
        <v>58</v>
      </c>
      <c r="C2185" t="s">
        <v>56</v>
      </c>
      <c r="D2185" s="6">
        <v>45783</v>
      </c>
      <c r="E2185" t="str">
        <f>VLOOKUP(B2185,'PROCV GERENTES BD'!A:B,2,0)</f>
        <v>RAFAEL PARISE</v>
      </c>
      <c r="F2185" s="4" t="str">
        <f t="shared" si="174"/>
        <v>2025-05-1</v>
      </c>
      <c r="G2185" t="str">
        <f t="shared" si="170"/>
        <v>RAFAEL PARISE</v>
      </c>
      <c r="H2185" t="str">
        <f t="shared" si="171"/>
        <v>TDR TRANSPORTES LOGISTICA LTDA</v>
      </c>
      <c r="I2185">
        <f t="shared" si="172"/>
        <v>0</v>
      </c>
      <c r="J2185">
        <f t="shared" si="173"/>
        <v>1</v>
      </c>
    </row>
    <row r="2186" spans="1:10" x14ac:dyDescent="0.25">
      <c r="A2186" t="s">
        <v>60</v>
      </c>
      <c r="B2186" t="s">
        <v>61</v>
      </c>
      <c r="C2186" t="s">
        <v>56</v>
      </c>
      <c r="D2186" s="6">
        <v>45783</v>
      </c>
      <c r="E2186" t="str">
        <f>VLOOKUP(B2186,'PROCV GERENTES BD'!A:B,2,0)</f>
        <v>CELIO PIMENTA</v>
      </c>
      <c r="F2186" s="4" t="str">
        <f t="shared" si="174"/>
        <v>2025-05-1</v>
      </c>
      <c r="G2186" t="str">
        <f t="shared" si="170"/>
        <v>CELIO PIMENTA</v>
      </c>
      <c r="H2186" t="str">
        <f t="shared" si="171"/>
        <v>WJ CALDEIRARIA INDUSTRIA E COMERCIO LTDA ME</v>
      </c>
      <c r="I2186">
        <f t="shared" si="172"/>
        <v>0</v>
      </c>
      <c r="J2186">
        <f t="shared" si="173"/>
        <v>1</v>
      </c>
    </row>
    <row r="2187" spans="1:10" x14ac:dyDescent="0.25">
      <c r="A2187" t="s">
        <v>366</v>
      </c>
      <c r="B2187" t="s">
        <v>111</v>
      </c>
      <c r="C2187" t="s">
        <v>72</v>
      </c>
      <c r="D2187" s="6">
        <v>45783</v>
      </c>
      <c r="E2187" t="str">
        <f>VLOOKUP(B2187,'PROCV GERENTES BD'!A:B,2,0)</f>
        <v>DIOGO AZEVEDO</v>
      </c>
      <c r="F2187" s="4" t="str">
        <f t="shared" si="174"/>
        <v>2025-05-1</v>
      </c>
      <c r="G2187" t="str">
        <f t="shared" si="170"/>
        <v>DIOGO AZEVEDO</v>
      </c>
      <c r="H2187" t="str">
        <f t="shared" si="171"/>
        <v>INDUSTRIA E CERVEJARIA ARTESANAL DE MINAS GERAIS L</v>
      </c>
      <c r="I2187">
        <f t="shared" si="172"/>
        <v>1</v>
      </c>
      <c r="J2187">
        <f t="shared" si="173"/>
        <v>0</v>
      </c>
    </row>
    <row r="2188" spans="1:10" x14ac:dyDescent="0.25">
      <c r="A2188" t="s">
        <v>488</v>
      </c>
      <c r="B2188" t="s">
        <v>244</v>
      </c>
      <c r="C2188" t="s">
        <v>56</v>
      </c>
      <c r="D2188" s="6">
        <v>45783</v>
      </c>
      <c r="E2188" t="str">
        <f>VLOOKUP(B2188,'PROCV GERENTES BD'!A:B,2,0)</f>
        <v>POENATELA</v>
      </c>
      <c r="F2188" s="4" t="str">
        <f t="shared" si="174"/>
        <v>2025-05-1</v>
      </c>
      <c r="G2188" t="str">
        <f t="shared" si="170"/>
        <v>POENATELA</v>
      </c>
      <c r="H2188" t="str">
        <f t="shared" si="171"/>
        <v>PARANAIBA FERTILIZANTES IND E COM LTDA EM RECUPERA</v>
      </c>
      <c r="I2188">
        <f t="shared" si="172"/>
        <v>0</v>
      </c>
      <c r="J2188">
        <f t="shared" si="173"/>
        <v>1</v>
      </c>
    </row>
    <row r="2189" spans="1:10" x14ac:dyDescent="0.25">
      <c r="A2189" t="s">
        <v>403</v>
      </c>
      <c r="B2189" t="s">
        <v>152</v>
      </c>
      <c r="C2189" t="s">
        <v>72</v>
      </c>
      <c r="D2189" s="6">
        <v>45783</v>
      </c>
      <c r="E2189" t="str">
        <f>VLOOKUP(B2189,'PROCV GERENTES BD'!A:B,2,0)</f>
        <v>MARCIO LEONEL</v>
      </c>
      <c r="F2189" s="4" t="str">
        <f t="shared" si="174"/>
        <v>2025-05-1</v>
      </c>
      <c r="G2189" t="str">
        <f t="shared" si="170"/>
        <v>MARCIO LEONEL</v>
      </c>
      <c r="H2189" t="str">
        <f t="shared" si="171"/>
        <v>MEDICAL PRIME IMP EXPORT DISTRIB PRODUTOS MEDICOS</v>
      </c>
      <c r="I2189">
        <f t="shared" si="172"/>
        <v>1</v>
      </c>
      <c r="J2189">
        <f t="shared" si="173"/>
        <v>0</v>
      </c>
    </row>
    <row r="2190" spans="1:10" x14ac:dyDescent="0.25">
      <c r="A2190" t="s">
        <v>62</v>
      </c>
      <c r="B2190" t="s">
        <v>63</v>
      </c>
      <c r="C2190" t="s">
        <v>72</v>
      </c>
      <c r="D2190" s="6">
        <v>45783</v>
      </c>
      <c r="E2190" t="str">
        <f>VLOOKUP(B2190,'PROCV GERENTES BD'!A:B,2,0)</f>
        <v xml:space="preserve">ROGERIO </v>
      </c>
      <c r="F2190" s="4" t="str">
        <f t="shared" si="174"/>
        <v>2025-05-1</v>
      </c>
      <c r="G2190" t="str">
        <f t="shared" si="170"/>
        <v xml:space="preserve">ROGERIO </v>
      </c>
      <c r="H2190" t="str">
        <f t="shared" si="171"/>
        <v>RODOVIEIRA TRANSPORTE LTDA</v>
      </c>
      <c r="I2190">
        <f t="shared" si="172"/>
        <v>1</v>
      </c>
      <c r="J2190">
        <f t="shared" si="173"/>
        <v>0</v>
      </c>
    </row>
    <row r="2191" spans="1:10" x14ac:dyDescent="0.25">
      <c r="A2191" t="s">
        <v>325</v>
      </c>
      <c r="B2191" t="s">
        <v>210</v>
      </c>
      <c r="C2191" t="s">
        <v>59</v>
      </c>
      <c r="D2191" s="6">
        <v>45783</v>
      </c>
      <c r="E2191" t="str">
        <f>VLOOKUP(B2191,'PROCV GERENTES BD'!A:B,2,0)</f>
        <v>JOSE ROBERTO</v>
      </c>
      <c r="F2191" s="4" t="str">
        <f t="shared" si="174"/>
        <v>2025-05-1</v>
      </c>
      <c r="G2191" t="str">
        <f t="shared" si="170"/>
        <v>JOSE ROBERTO</v>
      </c>
      <c r="H2191" t="str">
        <f t="shared" si="171"/>
        <v>FUNDACAO DE ENSINO E PESQUISA DO SUL DE MINAS FEPE</v>
      </c>
      <c r="I2191">
        <f t="shared" si="172"/>
        <v>0</v>
      </c>
      <c r="J2191">
        <f t="shared" si="173"/>
        <v>0</v>
      </c>
    </row>
    <row r="2192" spans="1:10" x14ac:dyDescent="0.25">
      <c r="A2192" t="s">
        <v>420</v>
      </c>
      <c r="B2192" t="s">
        <v>169</v>
      </c>
      <c r="C2192" t="s">
        <v>56</v>
      </c>
      <c r="D2192" s="6">
        <v>45783</v>
      </c>
      <c r="E2192" t="str">
        <f>VLOOKUP(B2192,'PROCV GERENTES BD'!A:B,2,0)</f>
        <v>FITZ</v>
      </c>
      <c r="F2192" s="4" t="str">
        <f t="shared" si="174"/>
        <v>2025-05-1</v>
      </c>
      <c r="G2192" t="str">
        <f t="shared" si="170"/>
        <v>FITZ</v>
      </c>
      <c r="H2192" t="str">
        <f t="shared" si="171"/>
        <v>MORIA PRESTACAO DE SERVICOS LTDA ME</v>
      </c>
      <c r="I2192">
        <f t="shared" si="172"/>
        <v>0</v>
      </c>
      <c r="J2192">
        <f t="shared" si="173"/>
        <v>1</v>
      </c>
    </row>
    <row r="2193" spans="1:10" x14ac:dyDescent="0.25">
      <c r="A2193" t="s">
        <v>68</v>
      </c>
      <c r="B2193" t="s">
        <v>69</v>
      </c>
      <c r="C2193" t="s">
        <v>56</v>
      </c>
      <c r="D2193" s="6">
        <v>45783</v>
      </c>
      <c r="E2193" t="str">
        <f>VLOOKUP(B2193,'PROCV GERENTES BD'!A:B,2,0)</f>
        <v>FITZ</v>
      </c>
      <c r="F2193" s="4" t="str">
        <f t="shared" si="174"/>
        <v>2025-05-1</v>
      </c>
      <c r="G2193" t="str">
        <f t="shared" si="170"/>
        <v>FITZ</v>
      </c>
      <c r="H2193" t="str">
        <f t="shared" si="171"/>
        <v>MAPP COM IMPORTACAO EXPORTACAO IND PRODUTOS ALIMEN</v>
      </c>
      <c r="I2193">
        <f t="shared" si="172"/>
        <v>0</v>
      </c>
      <c r="J2193">
        <f t="shared" si="173"/>
        <v>1</v>
      </c>
    </row>
    <row r="2194" spans="1:10" x14ac:dyDescent="0.25">
      <c r="A2194" t="s">
        <v>70</v>
      </c>
      <c r="B2194" t="s">
        <v>71</v>
      </c>
      <c r="C2194" t="s">
        <v>59</v>
      </c>
      <c r="D2194" s="6">
        <v>45783</v>
      </c>
      <c r="E2194" t="str">
        <f>VLOOKUP(B2194,'PROCV GERENTES BD'!A:B,2,0)</f>
        <v>SEM GERENTE</v>
      </c>
      <c r="F2194" s="4" t="str">
        <f t="shared" si="174"/>
        <v>2025-05-1</v>
      </c>
      <c r="G2194" t="str">
        <f t="shared" si="170"/>
        <v>SEM GERENTE</v>
      </c>
      <c r="H2194" t="str">
        <f t="shared" si="171"/>
        <v>SOCIAL S/A</v>
      </c>
      <c r="I2194">
        <f t="shared" si="172"/>
        <v>0</v>
      </c>
      <c r="J2194">
        <f t="shared" si="173"/>
        <v>0</v>
      </c>
    </row>
    <row r="2195" spans="1:10" x14ac:dyDescent="0.25">
      <c r="A2195" t="s">
        <v>436</v>
      </c>
      <c r="B2195" t="s">
        <v>186</v>
      </c>
      <c r="C2195" t="s">
        <v>56</v>
      </c>
      <c r="D2195" s="6">
        <v>45783</v>
      </c>
      <c r="E2195" t="str">
        <f>VLOOKUP(B2195,'PROCV GERENTES BD'!A:B,2,0)</f>
        <v xml:space="preserve">MARCUS VINICIUS </v>
      </c>
      <c r="F2195" s="4" t="str">
        <f t="shared" si="174"/>
        <v>2025-05-1</v>
      </c>
      <c r="G2195" t="str">
        <f t="shared" si="170"/>
        <v xml:space="preserve">MARCUS VINICIUS </v>
      </c>
      <c r="H2195" t="str">
        <f t="shared" si="171"/>
        <v>LABOR ELETRIC INDUSTRIA E COMERCIO UNIPESSOAL LTDA</v>
      </c>
      <c r="I2195">
        <f t="shared" si="172"/>
        <v>0</v>
      </c>
      <c r="J2195">
        <f t="shared" si="173"/>
        <v>1</v>
      </c>
    </row>
    <row r="2196" spans="1:10" x14ac:dyDescent="0.25">
      <c r="A2196" t="s">
        <v>78</v>
      </c>
      <c r="B2196" t="s">
        <v>79</v>
      </c>
      <c r="C2196" t="s">
        <v>56</v>
      </c>
      <c r="D2196" s="6">
        <v>45783</v>
      </c>
      <c r="E2196" t="str">
        <f>VLOOKUP(B2196,'PROCV GERENTES BD'!A:B,2,0)</f>
        <v>NOELI SALETE</v>
      </c>
      <c r="F2196" s="4" t="str">
        <f t="shared" si="174"/>
        <v>2025-05-1</v>
      </c>
      <c r="G2196" t="str">
        <f t="shared" si="170"/>
        <v>NOELI SALETE</v>
      </c>
      <c r="H2196" t="str">
        <f t="shared" si="171"/>
        <v>SMARTCENTER SOLUCOES INTELIGENTES LTDA ME</v>
      </c>
      <c r="I2196">
        <f t="shared" si="172"/>
        <v>0</v>
      </c>
      <c r="J2196">
        <f t="shared" si="173"/>
        <v>1</v>
      </c>
    </row>
    <row r="2197" spans="1:10" x14ac:dyDescent="0.25">
      <c r="A2197" t="s">
        <v>378</v>
      </c>
      <c r="B2197" t="s">
        <v>121</v>
      </c>
      <c r="C2197" t="s">
        <v>56</v>
      </c>
      <c r="D2197" s="6">
        <v>45783</v>
      </c>
      <c r="E2197" t="str">
        <f>VLOOKUP(B2197,'PROCV GERENTES BD'!A:B,2,0)</f>
        <v>POENATELA</v>
      </c>
      <c r="F2197" s="4" t="str">
        <f t="shared" si="174"/>
        <v>2025-05-1</v>
      </c>
      <c r="G2197" t="str">
        <f t="shared" si="170"/>
        <v>POENATELA</v>
      </c>
      <c r="H2197" t="str">
        <f t="shared" si="171"/>
        <v>COOPERATIVA TRANSP AUTON CARGAS PASSAG SERVICOS LO</v>
      </c>
      <c r="I2197">
        <f t="shared" si="172"/>
        <v>0</v>
      </c>
      <c r="J2197">
        <f t="shared" si="173"/>
        <v>1</v>
      </c>
    </row>
    <row r="2198" spans="1:10" x14ac:dyDescent="0.25">
      <c r="A2198" t="s">
        <v>321</v>
      </c>
      <c r="B2198" t="s">
        <v>253</v>
      </c>
      <c r="C2198" t="s">
        <v>56</v>
      </c>
      <c r="D2198" s="6">
        <v>45783</v>
      </c>
      <c r="E2198" t="str">
        <f>VLOOKUP(B2198,'PROCV GERENTES BD'!A:B,2,0)</f>
        <v>THAYNA/COMERCIAL</v>
      </c>
      <c r="F2198" s="4" t="str">
        <f t="shared" si="174"/>
        <v>2025-05-1</v>
      </c>
      <c r="G2198" t="str">
        <f t="shared" si="170"/>
        <v>THAYNA/COMERCIAL</v>
      </c>
      <c r="H2198" t="str">
        <f t="shared" si="171"/>
        <v>MUTCD CENTRO DE DISTRIBUICAO DE IND FABRICANTE DE</v>
      </c>
      <c r="I2198">
        <f t="shared" si="172"/>
        <v>0</v>
      </c>
      <c r="J2198">
        <f t="shared" si="173"/>
        <v>1</v>
      </c>
    </row>
    <row r="2199" spans="1:10" x14ac:dyDescent="0.25">
      <c r="A2199" t="s">
        <v>494</v>
      </c>
      <c r="B2199" t="s">
        <v>250</v>
      </c>
      <c r="C2199" t="s">
        <v>56</v>
      </c>
      <c r="D2199" s="6">
        <v>45783</v>
      </c>
      <c r="E2199" t="str">
        <f>VLOOKUP(B2199,'PROCV GERENTES BD'!A:B,2,0)</f>
        <v>NOELI SALETE</v>
      </c>
      <c r="F2199" s="4" t="str">
        <f t="shared" si="174"/>
        <v>2025-05-1</v>
      </c>
      <c r="G2199" t="str">
        <f t="shared" si="170"/>
        <v>NOELI SALETE</v>
      </c>
      <c r="H2199" t="str">
        <f t="shared" si="171"/>
        <v>SMARTCENTERGROUP COMERCIO DE EQUIPAMENTOS DE INFOR</v>
      </c>
      <c r="I2199">
        <f t="shared" si="172"/>
        <v>0</v>
      </c>
      <c r="J2199">
        <f t="shared" si="173"/>
        <v>1</v>
      </c>
    </row>
    <row r="2200" spans="1:10" x14ac:dyDescent="0.25">
      <c r="A2200" t="s">
        <v>332</v>
      </c>
      <c r="B2200" t="s">
        <v>145</v>
      </c>
      <c r="C2200" t="s">
        <v>56</v>
      </c>
      <c r="D2200" s="6">
        <v>45783</v>
      </c>
      <c r="E2200" t="str">
        <f>VLOOKUP(B2200,'PROCV GERENTES BD'!A:B,2,0)</f>
        <v>SEM GERENTE</v>
      </c>
      <c r="F2200" s="4" t="str">
        <f t="shared" si="174"/>
        <v>2025-05-1</v>
      </c>
      <c r="G2200" t="str">
        <f t="shared" si="170"/>
        <v>SEM GERENTE</v>
      </c>
      <c r="H2200" t="str">
        <f t="shared" si="171"/>
        <v>ALLIAGE S A INDUSTRIAS MEDICO ODONTOLOGICA</v>
      </c>
      <c r="I2200">
        <f t="shared" si="172"/>
        <v>0</v>
      </c>
      <c r="J2200">
        <f t="shared" si="173"/>
        <v>1</v>
      </c>
    </row>
    <row r="2201" spans="1:10" x14ac:dyDescent="0.25">
      <c r="A2201" t="s">
        <v>517</v>
      </c>
      <c r="B2201" t="s">
        <v>279</v>
      </c>
      <c r="C2201" t="s">
        <v>56</v>
      </c>
      <c r="D2201" s="6">
        <v>45783</v>
      </c>
      <c r="E2201" t="str">
        <f>VLOOKUP(B2201,'PROCV GERENTES BD'!A:B,2,0)</f>
        <v>CELIO PIMENTA</v>
      </c>
      <c r="F2201" s="4" t="str">
        <f t="shared" si="174"/>
        <v>2025-05-1</v>
      </c>
      <c r="G2201" t="str">
        <f t="shared" si="170"/>
        <v>CELIO PIMENTA</v>
      </c>
      <c r="H2201" t="str">
        <f t="shared" si="171"/>
        <v>AVIAMENTOS CENTRAL LTDA ME</v>
      </c>
      <c r="I2201">
        <f t="shared" si="172"/>
        <v>0</v>
      </c>
      <c r="J2201">
        <f t="shared" si="173"/>
        <v>1</v>
      </c>
    </row>
    <row r="2202" spans="1:10" x14ac:dyDescent="0.25">
      <c r="A2202" t="s">
        <v>311</v>
      </c>
      <c r="B2202" t="s">
        <v>130</v>
      </c>
      <c r="C2202" t="s">
        <v>56</v>
      </c>
      <c r="D2202" s="6">
        <v>45784</v>
      </c>
      <c r="E2202" t="str">
        <f>VLOOKUP(B2202,'PROCV GERENTES BD'!A:B,2,0)</f>
        <v>ANTONIO CARLOS</v>
      </c>
      <c r="F2202" s="4" t="str">
        <f t="shared" si="174"/>
        <v>2025-05-1</v>
      </c>
      <c r="G2202" t="str">
        <f t="shared" si="170"/>
        <v>ANTONIO CARLOS</v>
      </c>
      <c r="H2202" t="str">
        <f t="shared" si="171"/>
        <v>VIC LOGISTICA LTDA EM RECUPERACAO JUDICIAL</v>
      </c>
      <c r="I2202">
        <f t="shared" si="172"/>
        <v>0</v>
      </c>
      <c r="J2202">
        <f t="shared" si="173"/>
        <v>1</v>
      </c>
    </row>
    <row r="2203" spans="1:10" x14ac:dyDescent="0.25">
      <c r="A2203" t="s">
        <v>331</v>
      </c>
      <c r="B2203" t="s">
        <v>126</v>
      </c>
      <c r="C2203" t="s">
        <v>56</v>
      </c>
      <c r="D2203" s="6">
        <v>45784</v>
      </c>
      <c r="E2203" t="str">
        <f>VLOOKUP(B2203,'PROCV GERENTES BD'!A:B,2,0)</f>
        <v>FITZ</v>
      </c>
      <c r="F2203" s="4" t="str">
        <f t="shared" si="174"/>
        <v>2025-05-1</v>
      </c>
      <c r="G2203" t="str">
        <f t="shared" si="170"/>
        <v>FITZ</v>
      </c>
      <c r="H2203" t="str">
        <f t="shared" si="171"/>
        <v>TRANSHENRY TRANSPORTES LTDA</v>
      </c>
      <c r="I2203">
        <f t="shared" si="172"/>
        <v>0</v>
      </c>
      <c r="J2203">
        <f t="shared" si="173"/>
        <v>1</v>
      </c>
    </row>
    <row r="2204" spans="1:10" x14ac:dyDescent="0.25">
      <c r="A2204" t="s">
        <v>60</v>
      </c>
      <c r="B2204" t="s">
        <v>61</v>
      </c>
      <c r="C2204" t="s">
        <v>56</v>
      </c>
      <c r="D2204" s="6">
        <v>45784</v>
      </c>
      <c r="E2204" t="str">
        <f>VLOOKUP(B2204,'PROCV GERENTES BD'!A:B,2,0)</f>
        <v>CELIO PIMENTA</v>
      </c>
      <c r="F2204" s="4" t="str">
        <f t="shared" si="174"/>
        <v>2025-05-1</v>
      </c>
      <c r="G2204" t="str">
        <f t="shared" si="170"/>
        <v>CELIO PIMENTA</v>
      </c>
      <c r="H2204" t="str">
        <f t="shared" si="171"/>
        <v>WJ CALDEIRARIA INDUSTRIA E COMERCIO LTDA ME</v>
      </c>
      <c r="I2204">
        <f t="shared" si="172"/>
        <v>0</v>
      </c>
      <c r="J2204">
        <f t="shared" si="173"/>
        <v>1</v>
      </c>
    </row>
    <row r="2205" spans="1:10" x14ac:dyDescent="0.25">
      <c r="A2205" t="s">
        <v>339</v>
      </c>
      <c r="B2205" t="s">
        <v>151</v>
      </c>
      <c r="C2205" t="s">
        <v>72</v>
      </c>
      <c r="D2205" s="6">
        <v>45784</v>
      </c>
      <c r="E2205" t="str">
        <f>VLOOKUP(B2205,'PROCV GERENTES BD'!A:B,2,0)</f>
        <v>ADMINISTRAÇÃO</v>
      </c>
      <c r="F2205" s="4" t="str">
        <f t="shared" si="174"/>
        <v>2025-05-1</v>
      </c>
      <c r="G2205" t="str">
        <f t="shared" si="170"/>
        <v>ADMINISTRAÇÃO</v>
      </c>
      <c r="H2205" t="str">
        <f t="shared" si="171"/>
        <v>BOM PASTOR PAPEIS LTDA EM RECUPERACAO JUDICIAL</v>
      </c>
      <c r="I2205">
        <f t="shared" si="172"/>
        <v>1</v>
      </c>
      <c r="J2205">
        <f t="shared" si="173"/>
        <v>0</v>
      </c>
    </row>
    <row r="2206" spans="1:10" x14ac:dyDescent="0.25">
      <c r="A2206" t="s">
        <v>488</v>
      </c>
      <c r="B2206" t="s">
        <v>244</v>
      </c>
      <c r="C2206" t="s">
        <v>56</v>
      </c>
      <c r="D2206" s="6">
        <v>45784</v>
      </c>
      <c r="E2206" t="str">
        <f>VLOOKUP(B2206,'PROCV GERENTES BD'!A:B,2,0)</f>
        <v>POENATELA</v>
      </c>
      <c r="F2206" s="4" t="str">
        <f t="shared" si="174"/>
        <v>2025-05-1</v>
      </c>
      <c r="G2206" t="str">
        <f t="shared" si="170"/>
        <v>POENATELA</v>
      </c>
      <c r="H2206" t="str">
        <f t="shared" si="171"/>
        <v>PARANAIBA FERTILIZANTES IND E COM LTDA EM RECUPERA</v>
      </c>
      <c r="I2206">
        <f t="shared" si="172"/>
        <v>0</v>
      </c>
      <c r="J2206">
        <f t="shared" si="173"/>
        <v>1</v>
      </c>
    </row>
    <row r="2207" spans="1:10" x14ac:dyDescent="0.25">
      <c r="A2207" t="s">
        <v>326</v>
      </c>
      <c r="B2207" t="s">
        <v>86</v>
      </c>
      <c r="C2207" t="s">
        <v>56</v>
      </c>
      <c r="D2207" s="6">
        <v>45784</v>
      </c>
      <c r="E2207" t="str">
        <f>VLOOKUP(B2207,'PROCV GERENTES BD'!A:B,2,0)</f>
        <v>CELIO PIMENTA</v>
      </c>
      <c r="F2207" s="4" t="str">
        <f t="shared" si="174"/>
        <v>2025-05-1</v>
      </c>
      <c r="G2207" t="str">
        <f t="shared" si="170"/>
        <v>CELIO PIMENTA</v>
      </c>
      <c r="H2207" t="str">
        <f t="shared" si="171"/>
        <v>IMPORTEXTIL COMERCIO DE TECIDOS LTDA</v>
      </c>
      <c r="I2207">
        <f t="shared" si="172"/>
        <v>0</v>
      </c>
      <c r="J2207">
        <f t="shared" si="173"/>
        <v>1</v>
      </c>
    </row>
    <row r="2208" spans="1:10" x14ac:dyDescent="0.25">
      <c r="A2208" t="s">
        <v>64</v>
      </c>
      <c r="B2208" t="s">
        <v>65</v>
      </c>
      <c r="C2208" t="s">
        <v>56</v>
      </c>
      <c r="D2208" s="6">
        <v>45784</v>
      </c>
      <c r="E2208" t="str">
        <f>VLOOKUP(B2208,'PROCV GERENTES BD'!A:B,2,0)</f>
        <v>ADMINISTRAÇÃO</v>
      </c>
      <c r="F2208" s="4" t="str">
        <f t="shared" si="174"/>
        <v>2025-05-1</v>
      </c>
      <c r="G2208" t="str">
        <f t="shared" si="170"/>
        <v>ADMINISTRAÇÃO</v>
      </c>
      <c r="H2208" t="str">
        <f t="shared" si="171"/>
        <v>BIOTECH LOGISTICA LTDA</v>
      </c>
      <c r="I2208">
        <f t="shared" si="172"/>
        <v>0</v>
      </c>
      <c r="J2208">
        <f t="shared" si="173"/>
        <v>1</v>
      </c>
    </row>
    <row r="2209" spans="1:10" x14ac:dyDescent="0.25">
      <c r="A2209" t="s">
        <v>325</v>
      </c>
      <c r="B2209" t="s">
        <v>210</v>
      </c>
      <c r="C2209" t="s">
        <v>56</v>
      </c>
      <c r="D2209" s="6">
        <v>45784</v>
      </c>
      <c r="E2209" t="str">
        <f>VLOOKUP(B2209,'PROCV GERENTES BD'!A:B,2,0)</f>
        <v>JOSE ROBERTO</v>
      </c>
      <c r="F2209" s="4" t="str">
        <f t="shared" si="174"/>
        <v>2025-05-1</v>
      </c>
      <c r="G2209" t="str">
        <f t="shared" si="170"/>
        <v>JOSE ROBERTO</v>
      </c>
      <c r="H2209" t="str">
        <f t="shared" si="171"/>
        <v>FUNDACAO DE ENSINO E PESQUISA DO SUL DE MINAS FEPE</v>
      </c>
      <c r="I2209">
        <f t="shared" si="172"/>
        <v>0</v>
      </c>
      <c r="J2209">
        <f t="shared" si="173"/>
        <v>1</v>
      </c>
    </row>
    <row r="2210" spans="1:10" x14ac:dyDescent="0.25">
      <c r="A2210" t="s">
        <v>361</v>
      </c>
      <c r="B2210" t="s">
        <v>103</v>
      </c>
      <c r="C2210" t="s">
        <v>56</v>
      </c>
      <c r="D2210" s="6">
        <v>45784</v>
      </c>
      <c r="E2210" t="str">
        <f>VLOOKUP(B2210,'PROCV GERENTES BD'!A:B,2,0)</f>
        <v>PRISCILA METZ</v>
      </c>
      <c r="F2210" s="4" t="str">
        <f t="shared" si="174"/>
        <v>2025-05-1</v>
      </c>
      <c r="G2210" t="str">
        <f t="shared" si="170"/>
        <v>PRISCILA METZ</v>
      </c>
      <c r="H2210" t="str">
        <f t="shared" si="171"/>
        <v>ESSENZA INDUSTRIA QUIMICA LTDA</v>
      </c>
      <c r="I2210">
        <f t="shared" si="172"/>
        <v>0</v>
      </c>
      <c r="J2210">
        <f t="shared" si="173"/>
        <v>1</v>
      </c>
    </row>
    <row r="2211" spans="1:10" x14ac:dyDescent="0.25">
      <c r="A2211" t="s">
        <v>434</v>
      </c>
      <c r="B2211" t="s">
        <v>184</v>
      </c>
      <c r="C2211" t="s">
        <v>56</v>
      </c>
      <c r="D2211" s="6">
        <v>45784</v>
      </c>
      <c r="E2211" t="str">
        <f>VLOOKUP(B2211,'PROCV GERENTES BD'!A:B,2,0)</f>
        <v>WHELKYA IRIS</v>
      </c>
      <c r="F2211" s="4" t="str">
        <f t="shared" si="174"/>
        <v>2025-05-1</v>
      </c>
      <c r="G2211" t="str">
        <f t="shared" si="170"/>
        <v>WHELKYA IRIS</v>
      </c>
      <c r="H2211" t="str">
        <f t="shared" si="171"/>
        <v>JFIX INDUSTRIA QUIMICA LTDA ME</v>
      </c>
      <c r="I2211">
        <f t="shared" si="172"/>
        <v>0</v>
      </c>
      <c r="J2211">
        <f t="shared" si="173"/>
        <v>1</v>
      </c>
    </row>
    <row r="2212" spans="1:10" x14ac:dyDescent="0.25">
      <c r="A2212" t="s">
        <v>66</v>
      </c>
      <c r="B2212" t="s">
        <v>67</v>
      </c>
      <c r="C2212" t="s">
        <v>56</v>
      </c>
      <c r="D2212" s="6">
        <v>45784</v>
      </c>
      <c r="E2212" t="str">
        <f>VLOOKUP(B2212,'PROCV GERENTES BD'!A:B,2,0)</f>
        <v xml:space="preserve">MARCUS VINICIUS </v>
      </c>
      <c r="F2212" s="4" t="str">
        <f t="shared" si="174"/>
        <v>2025-05-1</v>
      </c>
      <c r="G2212" t="str">
        <f t="shared" si="170"/>
        <v xml:space="preserve">MARCUS VINICIUS </v>
      </c>
      <c r="H2212" t="str">
        <f t="shared" si="171"/>
        <v>COM IND DE CEREAIS E TRANSPORTES MACIEL LTDA</v>
      </c>
      <c r="I2212">
        <f t="shared" si="172"/>
        <v>0</v>
      </c>
      <c r="J2212">
        <f t="shared" si="173"/>
        <v>1</v>
      </c>
    </row>
    <row r="2213" spans="1:10" x14ac:dyDescent="0.25">
      <c r="A2213" t="s">
        <v>507</v>
      </c>
      <c r="B2213" t="s">
        <v>265</v>
      </c>
      <c r="C2213" t="s">
        <v>72</v>
      </c>
      <c r="D2213" s="6">
        <v>45784</v>
      </c>
      <c r="E2213" t="str">
        <f>VLOOKUP(B2213,'PROCV GERENTES BD'!A:B,2,0)</f>
        <v>SEM GERENTE</v>
      </c>
      <c r="F2213" s="4" t="str">
        <f t="shared" si="174"/>
        <v>2025-05-1</v>
      </c>
      <c r="G2213" t="str">
        <f t="shared" si="170"/>
        <v>SEM GERENTE</v>
      </c>
      <c r="H2213" t="str">
        <f t="shared" si="171"/>
        <v>PLATINUM INDUSTRIA DE CONFECCOES LTDA</v>
      </c>
      <c r="I2213">
        <f t="shared" si="172"/>
        <v>1</v>
      </c>
      <c r="J2213">
        <f t="shared" si="173"/>
        <v>0</v>
      </c>
    </row>
    <row r="2214" spans="1:10" x14ac:dyDescent="0.25">
      <c r="A2214" t="s">
        <v>68</v>
      </c>
      <c r="B2214" t="s">
        <v>69</v>
      </c>
      <c r="C2214" t="s">
        <v>59</v>
      </c>
      <c r="D2214" s="6">
        <v>45784</v>
      </c>
      <c r="E2214" t="str">
        <f>VLOOKUP(B2214,'PROCV GERENTES BD'!A:B,2,0)</f>
        <v>FITZ</v>
      </c>
      <c r="F2214" s="4" t="str">
        <f t="shared" si="174"/>
        <v>2025-05-1</v>
      </c>
      <c r="G2214" t="str">
        <f t="shared" si="170"/>
        <v>FITZ</v>
      </c>
      <c r="H2214" t="str">
        <f t="shared" si="171"/>
        <v>MAPP COM IMPORTACAO EXPORTACAO IND PRODUTOS ALIMEN</v>
      </c>
      <c r="I2214">
        <f t="shared" si="172"/>
        <v>0</v>
      </c>
      <c r="J2214">
        <f t="shared" si="173"/>
        <v>0</v>
      </c>
    </row>
    <row r="2215" spans="1:10" x14ac:dyDescent="0.25">
      <c r="A2215" t="s">
        <v>70</v>
      </c>
      <c r="B2215" t="s">
        <v>71</v>
      </c>
      <c r="C2215" t="s">
        <v>59</v>
      </c>
      <c r="D2215" s="6">
        <v>45784</v>
      </c>
      <c r="E2215" t="str">
        <f>VLOOKUP(B2215,'PROCV GERENTES BD'!A:B,2,0)</f>
        <v>SEM GERENTE</v>
      </c>
      <c r="F2215" s="4" t="str">
        <f t="shared" si="174"/>
        <v>2025-05-1</v>
      </c>
      <c r="G2215" t="str">
        <f t="shared" si="170"/>
        <v>SEM GERENTE</v>
      </c>
      <c r="H2215" t="str">
        <f t="shared" si="171"/>
        <v>SOCIAL S/A</v>
      </c>
      <c r="I2215">
        <f t="shared" si="172"/>
        <v>0</v>
      </c>
      <c r="J2215">
        <f t="shared" si="173"/>
        <v>0</v>
      </c>
    </row>
    <row r="2216" spans="1:10" x14ac:dyDescent="0.25">
      <c r="A2216" t="s">
        <v>73</v>
      </c>
      <c r="B2216" t="s">
        <v>74</v>
      </c>
      <c r="C2216" t="s">
        <v>56</v>
      </c>
      <c r="D2216" s="6">
        <v>45784</v>
      </c>
      <c r="E2216" t="str">
        <f>VLOOKUP(B2216,'PROCV GERENTES BD'!A:B,2,0)</f>
        <v xml:space="preserve">ROGERIO </v>
      </c>
      <c r="F2216" s="4" t="str">
        <f t="shared" si="174"/>
        <v>2025-05-1</v>
      </c>
      <c r="G2216" t="str">
        <f t="shared" si="170"/>
        <v xml:space="preserve">ROGERIO </v>
      </c>
      <c r="H2216" t="str">
        <f t="shared" si="171"/>
        <v>DIOTTONI INDUSTRIA E COMERCIO DE ALIMENTOS LTDA ME</v>
      </c>
      <c r="I2216">
        <f t="shared" si="172"/>
        <v>0</v>
      </c>
      <c r="J2216">
        <f t="shared" si="173"/>
        <v>1</v>
      </c>
    </row>
    <row r="2217" spans="1:10" x14ac:dyDescent="0.25">
      <c r="A2217" t="s">
        <v>513</v>
      </c>
      <c r="B2217" t="s">
        <v>274</v>
      </c>
      <c r="C2217" t="s">
        <v>72</v>
      </c>
      <c r="D2217" s="6">
        <v>45784</v>
      </c>
      <c r="E2217" t="str">
        <f>VLOOKUP(B2217,'PROCV GERENTES BD'!A:B,2,0)</f>
        <v>PRISCILA METZ</v>
      </c>
      <c r="F2217" s="4" t="str">
        <f t="shared" si="174"/>
        <v>2025-05-1</v>
      </c>
      <c r="G2217" t="str">
        <f t="shared" si="170"/>
        <v>PRISCILA METZ</v>
      </c>
      <c r="H2217" t="str">
        <f t="shared" si="171"/>
        <v>REAL DISTRIBUIDORA DE PRODUTOS PARA MARMORARIA LTD</v>
      </c>
      <c r="I2217">
        <f t="shared" si="172"/>
        <v>1</v>
      </c>
      <c r="J2217">
        <f t="shared" si="173"/>
        <v>0</v>
      </c>
    </row>
    <row r="2218" spans="1:10" x14ac:dyDescent="0.25">
      <c r="A2218" t="s">
        <v>500</v>
      </c>
      <c r="B2218" t="s">
        <v>258</v>
      </c>
      <c r="C2218" t="s">
        <v>56</v>
      </c>
      <c r="D2218" s="6">
        <v>45784</v>
      </c>
      <c r="E2218" t="str">
        <f>VLOOKUP(B2218,'PROCV GERENTES BD'!A:B,2,0)</f>
        <v>PROSPECTAR</v>
      </c>
      <c r="F2218" s="4" t="str">
        <f t="shared" si="174"/>
        <v>2025-05-1</v>
      </c>
      <c r="G2218" t="str">
        <f t="shared" si="170"/>
        <v>PROSPECTAR</v>
      </c>
      <c r="H2218" t="str">
        <f t="shared" si="171"/>
        <v>JANE FIGUEIRA CONFECCOES LTDA ME</v>
      </c>
      <c r="I2218">
        <f t="shared" si="172"/>
        <v>0</v>
      </c>
      <c r="J2218">
        <f t="shared" si="173"/>
        <v>1</v>
      </c>
    </row>
    <row r="2219" spans="1:10" x14ac:dyDescent="0.25">
      <c r="A2219" t="s">
        <v>518</v>
      </c>
      <c r="B2219" t="s">
        <v>280</v>
      </c>
      <c r="C2219" t="s">
        <v>56</v>
      </c>
      <c r="D2219" s="6">
        <v>45784</v>
      </c>
      <c r="E2219" t="str">
        <f>VLOOKUP(B2219,'PROCV GERENTES BD'!A:B,2,0)</f>
        <v>CELIO PIMENTA</v>
      </c>
      <c r="F2219" s="4" t="str">
        <f t="shared" si="174"/>
        <v>2025-05-1</v>
      </c>
      <c r="G2219" t="str">
        <f t="shared" si="170"/>
        <v>CELIO PIMENTA</v>
      </c>
      <c r="H2219" t="str">
        <f t="shared" si="171"/>
        <v>PRADO MOREIRA TEXTIL LTDA ME</v>
      </c>
      <c r="I2219">
        <f t="shared" si="172"/>
        <v>0</v>
      </c>
      <c r="J2219">
        <f t="shared" si="173"/>
        <v>1</v>
      </c>
    </row>
    <row r="2220" spans="1:10" x14ac:dyDescent="0.25">
      <c r="A2220" t="s">
        <v>519</v>
      </c>
      <c r="B2220" t="s">
        <v>281</v>
      </c>
      <c r="C2220" t="s">
        <v>56</v>
      </c>
      <c r="D2220" s="6">
        <v>45784</v>
      </c>
      <c r="E2220" t="str">
        <f>VLOOKUP(B2220,'PROCV GERENTES BD'!A:B,2,0)</f>
        <v>RAFAEL PARISE</v>
      </c>
      <c r="F2220" s="4" t="str">
        <f t="shared" si="174"/>
        <v>2025-05-1</v>
      </c>
      <c r="G2220" t="str">
        <f t="shared" si="170"/>
        <v>RAFAEL PARISE</v>
      </c>
      <c r="H2220" t="str">
        <f t="shared" si="171"/>
        <v>ARTE FINAL INDUSTRIA E COMERCIO DE COURO LTDA</v>
      </c>
      <c r="I2220">
        <f t="shared" si="172"/>
        <v>0</v>
      </c>
      <c r="J2220">
        <f t="shared" si="173"/>
        <v>1</v>
      </c>
    </row>
    <row r="2221" spans="1:10" x14ac:dyDescent="0.25">
      <c r="A2221" t="s">
        <v>331</v>
      </c>
      <c r="B2221" t="s">
        <v>126</v>
      </c>
      <c r="C2221" t="s">
        <v>72</v>
      </c>
      <c r="D2221" s="6">
        <v>45785</v>
      </c>
      <c r="E2221" t="str">
        <f>VLOOKUP(B2221,'PROCV GERENTES BD'!A:B,2,0)</f>
        <v>FITZ</v>
      </c>
      <c r="F2221" s="4" t="str">
        <f t="shared" si="174"/>
        <v>2025-05-1</v>
      </c>
      <c r="G2221" t="str">
        <f t="shared" si="170"/>
        <v>FITZ</v>
      </c>
      <c r="H2221" t="str">
        <f t="shared" si="171"/>
        <v>TRANSHENRY TRANSPORTES LTDA</v>
      </c>
      <c r="I2221">
        <f t="shared" si="172"/>
        <v>1</v>
      </c>
      <c r="J2221">
        <f t="shared" si="173"/>
        <v>0</v>
      </c>
    </row>
    <row r="2222" spans="1:10" x14ac:dyDescent="0.25">
      <c r="A2222" t="s">
        <v>339</v>
      </c>
      <c r="B2222" t="s">
        <v>151</v>
      </c>
      <c r="C2222" t="s">
        <v>56</v>
      </c>
      <c r="D2222" s="6">
        <v>45785</v>
      </c>
      <c r="E2222" t="str">
        <f>VLOOKUP(B2222,'PROCV GERENTES BD'!A:B,2,0)</f>
        <v>ADMINISTRAÇÃO</v>
      </c>
      <c r="F2222" s="4" t="str">
        <f t="shared" si="174"/>
        <v>2025-05-1</v>
      </c>
      <c r="G2222" t="str">
        <f t="shared" si="170"/>
        <v>ADMINISTRAÇÃO</v>
      </c>
      <c r="H2222" t="str">
        <f t="shared" si="171"/>
        <v>BOM PASTOR PAPEIS LTDA EM RECUPERACAO JUDICIAL</v>
      </c>
      <c r="I2222">
        <f t="shared" si="172"/>
        <v>0</v>
      </c>
      <c r="J2222">
        <f t="shared" si="173"/>
        <v>1</v>
      </c>
    </row>
    <row r="2223" spans="1:10" x14ac:dyDescent="0.25">
      <c r="A2223" t="s">
        <v>488</v>
      </c>
      <c r="B2223" t="s">
        <v>244</v>
      </c>
      <c r="C2223" t="s">
        <v>72</v>
      </c>
      <c r="D2223" s="6">
        <v>45785</v>
      </c>
      <c r="E2223" t="str">
        <f>VLOOKUP(B2223,'PROCV GERENTES BD'!A:B,2,0)</f>
        <v>POENATELA</v>
      </c>
      <c r="F2223" s="4" t="str">
        <f t="shared" si="174"/>
        <v>2025-05-1</v>
      </c>
      <c r="G2223" t="str">
        <f t="shared" si="170"/>
        <v>POENATELA</v>
      </c>
      <c r="H2223" t="str">
        <f t="shared" si="171"/>
        <v>PARANAIBA FERTILIZANTES IND E COM LTDA EM RECUPERA</v>
      </c>
      <c r="I2223">
        <f t="shared" si="172"/>
        <v>1</v>
      </c>
      <c r="J2223">
        <f t="shared" si="173"/>
        <v>0</v>
      </c>
    </row>
    <row r="2224" spans="1:10" x14ac:dyDescent="0.25">
      <c r="A2224" t="s">
        <v>326</v>
      </c>
      <c r="B2224" t="s">
        <v>86</v>
      </c>
      <c r="C2224" t="s">
        <v>56</v>
      </c>
      <c r="D2224" s="6">
        <v>45785</v>
      </c>
      <c r="E2224" t="str">
        <f>VLOOKUP(B2224,'PROCV GERENTES BD'!A:B,2,0)</f>
        <v>CELIO PIMENTA</v>
      </c>
      <c r="F2224" s="4" t="str">
        <f t="shared" si="174"/>
        <v>2025-05-1</v>
      </c>
      <c r="G2224" t="str">
        <f t="shared" si="170"/>
        <v>CELIO PIMENTA</v>
      </c>
      <c r="H2224" t="str">
        <f t="shared" si="171"/>
        <v>IMPORTEXTIL COMERCIO DE TECIDOS LTDA</v>
      </c>
      <c r="I2224">
        <f t="shared" si="172"/>
        <v>0</v>
      </c>
      <c r="J2224">
        <f t="shared" si="173"/>
        <v>1</v>
      </c>
    </row>
    <row r="2225" spans="1:10" x14ac:dyDescent="0.25">
      <c r="A2225" t="s">
        <v>64</v>
      </c>
      <c r="B2225" t="s">
        <v>65</v>
      </c>
      <c r="C2225" t="s">
        <v>56</v>
      </c>
      <c r="D2225" s="6">
        <v>45785</v>
      </c>
      <c r="E2225" t="str">
        <f>VLOOKUP(B2225,'PROCV GERENTES BD'!A:B,2,0)</f>
        <v>ADMINISTRAÇÃO</v>
      </c>
      <c r="F2225" s="4" t="str">
        <f t="shared" si="174"/>
        <v>2025-05-1</v>
      </c>
      <c r="G2225" t="str">
        <f t="shared" si="170"/>
        <v>ADMINISTRAÇÃO</v>
      </c>
      <c r="H2225" t="str">
        <f t="shared" si="171"/>
        <v>BIOTECH LOGISTICA LTDA</v>
      </c>
      <c r="I2225">
        <f t="shared" si="172"/>
        <v>0</v>
      </c>
      <c r="J2225">
        <f t="shared" si="173"/>
        <v>1</v>
      </c>
    </row>
    <row r="2226" spans="1:10" x14ac:dyDescent="0.25">
      <c r="A2226" t="s">
        <v>325</v>
      </c>
      <c r="B2226" t="s">
        <v>210</v>
      </c>
      <c r="C2226" t="s">
        <v>72</v>
      </c>
      <c r="D2226" s="6">
        <v>45785</v>
      </c>
      <c r="E2226" t="str">
        <f>VLOOKUP(B2226,'PROCV GERENTES BD'!A:B,2,0)</f>
        <v>JOSE ROBERTO</v>
      </c>
      <c r="F2226" s="4" t="str">
        <f t="shared" si="174"/>
        <v>2025-05-1</v>
      </c>
      <c r="G2226" t="str">
        <f t="shared" si="170"/>
        <v>JOSE ROBERTO</v>
      </c>
      <c r="H2226" t="str">
        <f t="shared" si="171"/>
        <v>FUNDACAO DE ENSINO E PESQUISA DO SUL DE MINAS FEPE</v>
      </c>
      <c r="I2226">
        <f t="shared" si="172"/>
        <v>1</v>
      </c>
      <c r="J2226">
        <f t="shared" si="173"/>
        <v>0</v>
      </c>
    </row>
    <row r="2227" spans="1:10" x14ac:dyDescent="0.25">
      <c r="A2227" t="s">
        <v>70</v>
      </c>
      <c r="B2227" t="s">
        <v>71</v>
      </c>
      <c r="C2227" t="s">
        <v>56</v>
      </c>
      <c r="D2227" s="6">
        <v>45785</v>
      </c>
      <c r="E2227" t="str">
        <f>VLOOKUP(B2227,'PROCV GERENTES BD'!A:B,2,0)</f>
        <v>SEM GERENTE</v>
      </c>
      <c r="F2227" s="4" t="str">
        <f t="shared" si="174"/>
        <v>2025-05-1</v>
      </c>
      <c r="G2227" t="str">
        <f t="shared" si="170"/>
        <v>SEM GERENTE</v>
      </c>
      <c r="H2227" t="str">
        <f t="shared" si="171"/>
        <v>SOCIAL S/A</v>
      </c>
      <c r="I2227">
        <f t="shared" si="172"/>
        <v>0</v>
      </c>
      <c r="J2227">
        <f t="shared" si="173"/>
        <v>1</v>
      </c>
    </row>
    <row r="2228" spans="1:10" x14ac:dyDescent="0.25">
      <c r="A2228" t="s">
        <v>450</v>
      </c>
      <c r="B2228" t="s">
        <v>200</v>
      </c>
      <c r="C2228" t="s">
        <v>56</v>
      </c>
      <c r="D2228" s="6">
        <v>45785</v>
      </c>
      <c r="E2228" t="str">
        <f>VLOOKUP(B2228,'PROCV GERENTES BD'!A:B,2,0)</f>
        <v>CELIO PIMENTA</v>
      </c>
      <c r="F2228" s="4" t="str">
        <f t="shared" si="174"/>
        <v>2025-05-1</v>
      </c>
      <c r="G2228" t="str">
        <f t="shared" si="170"/>
        <v>CELIO PIMENTA</v>
      </c>
      <c r="H2228" t="str">
        <f t="shared" si="171"/>
        <v>CIA TEXTIL LTDA ME</v>
      </c>
      <c r="I2228">
        <f t="shared" si="172"/>
        <v>0</v>
      </c>
      <c r="J2228">
        <f t="shared" si="173"/>
        <v>1</v>
      </c>
    </row>
    <row r="2229" spans="1:10" x14ac:dyDescent="0.25">
      <c r="A2229" t="s">
        <v>73</v>
      </c>
      <c r="B2229" t="s">
        <v>74</v>
      </c>
      <c r="C2229" t="s">
        <v>56</v>
      </c>
      <c r="D2229" s="6">
        <v>45785</v>
      </c>
      <c r="E2229" t="str">
        <f>VLOOKUP(B2229,'PROCV GERENTES BD'!A:B,2,0)</f>
        <v xml:space="preserve">ROGERIO </v>
      </c>
      <c r="F2229" s="4" t="str">
        <f t="shared" si="174"/>
        <v>2025-05-1</v>
      </c>
      <c r="G2229" t="str">
        <f t="shared" si="170"/>
        <v xml:space="preserve">ROGERIO </v>
      </c>
      <c r="H2229" t="str">
        <f t="shared" si="171"/>
        <v>DIOTTONI INDUSTRIA E COMERCIO DE ALIMENTOS LTDA ME</v>
      </c>
      <c r="I2229">
        <f t="shared" si="172"/>
        <v>0</v>
      </c>
      <c r="J2229">
        <f t="shared" si="173"/>
        <v>1</v>
      </c>
    </row>
    <row r="2230" spans="1:10" x14ac:dyDescent="0.25">
      <c r="A2230" t="s">
        <v>498</v>
      </c>
      <c r="B2230" t="s">
        <v>255</v>
      </c>
      <c r="C2230" t="s">
        <v>56</v>
      </c>
      <c r="D2230" s="6">
        <v>45785</v>
      </c>
      <c r="E2230" t="str">
        <f>VLOOKUP(B2230,'PROCV GERENTES BD'!A:B,2,0)</f>
        <v>PROSPECTAR</v>
      </c>
      <c r="F2230" s="4" t="str">
        <f t="shared" si="174"/>
        <v>2025-05-1</v>
      </c>
      <c r="G2230" t="str">
        <f t="shared" si="170"/>
        <v>PROSPECTAR</v>
      </c>
      <c r="H2230" t="str">
        <f t="shared" si="171"/>
        <v>PRODUTOS PORTEIRAO COM DIST E REP LTDA EPP</v>
      </c>
      <c r="I2230">
        <f t="shared" si="172"/>
        <v>0</v>
      </c>
      <c r="J2230">
        <f t="shared" si="173"/>
        <v>1</v>
      </c>
    </row>
    <row r="2231" spans="1:10" x14ac:dyDescent="0.25">
      <c r="A2231" t="s">
        <v>517</v>
      </c>
      <c r="B2231" t="s">
        <v>279</v>
      </c>
      <c r="C2231" t="s">
        <v>72</v>
      </c>
      <c r="D2231" s="6">
        <v>45785</v>
      </c>
      <c r="E2231" t="str">
        <f>VLOOKUP(B2231,'PROCV GERENTES BD'!A:B,2,0)</f>
        <v>CELIO PIMENTA</v>
      </c>
      <c r="F2231" s="4" t="str">
        <f t="shared" si="174"/>
        <v>2025-05-1</v>
      </c>
      <c r="G2231" t="str">
        <f t="shared" si="170"/>
        <v>CELIO PIMENTA</v>
      </c>
      <c r="H2231" t="str">
        <f t="shared" si="171"/>
        <v>AVIAMENTOS CENTRAL LTDA ME</v>
      </c>
      <c r="I2231">
        <f t="shared" si="172"/>
        <v>1</v>
      </c>
      <c r="J2231">
        <f t="shared" si="173"/>
        <v>0</v>
      </c>
    </row>
    <row r="2232" spans="1:10" x14ac:dyDescent="0.25">
      <c r="A2232" t="s">
        <v>484</v>
      </c>
      <c r="B2232" t="s">
        <v>240</v>
      </c>
      <c r="C2232" t="s">
        <v>56</v>
      </c>
      <c r="D2232" s="6">
        <v>45786</v>
      </c>
      <c r="E2232" t="str">
        <f>VLOOKUP(B2232,'PROCV GERENTES BD'!A:B,2,0)</f>
        <v>PRISCILA METZ</v>
      </c>
      <c r="F2232" s="4" t="str">
        <f t="shared" si="174"/>
        <v>2025-05-1</v>
      </c>
      <c r="G2232" t="str">
        <f t="shared" si="170"/>
        <v>PRISCILA METZ</v>
      </c>
      <c r="H2232" t="str">
        <f t="shared" si="171"/>
        <v>TERRAPLAST INDUSTRIA E COMERCIO DE EQUIPAMENTOS DE</v>
      </c>
      <c r="I2232">
        <f t="shared" si="172"/>
        <v>0</v>
      </c>
      <c r="J2232">
        <f t="shared" si="173"/>
        <v>1</v>
      </c>
    </row>
    <row r="2233" spans="1:10" x14ac:dyDescent="0.25">
      <c r="A2233" t="s">
        <v>330</v>
      </c>
      <c r="B2233" t="s">
        <v>116</v>
      </c>
      <c r="C2233" t="s">
        <v>72</v>
      </c>
      <c r="D2233" s="6">
        <v>45786</v>
      </c>
      <c r="E2233" t="str">
        <f>VLOOKUP(B2233,'PROCV GERENTES BD'!A:B,2,0)</f>
        <v>FITZ</v>
      </c>
      <c r="F2233" s="4" t="str">
        <f t="shared" si="174"/>
        <v>2025-05-1</v>
      </c>
      <c r="G2233" t="str">
        <f t="shared" si="170"/>
        <v>FITZ</v>
      </c>
      <c r="H2233" t="str">
        <f t="shared" si="171"/>
        <v>SIAP COMERCIO DE PRODUTOS AGROPECUARIOS LTDA</v>
      </c>
      <c r="I2233">
        <f t="shared" si="172"/>
        <v>1</v>
      </c>
      <c r="J2233">
        <f t="shared" si="173"/>
        <v>0</v>
      </c>
    </row>
    <row r="2234" spans="1:10" x14ac:dyDescent="0.25">
      <c r="A2234" t="s">
        <v>339</v>
      </c>
      <c r="B2234" t="s">
        <v>151</v>
      </c>
      <c r="C2234" t="s">
        <v>72</v>
      </c>
      <c r="D2234" s="6">
        <v>45786</v>
      </c>
      <c r="E2234" t="str">
        <f>VLOOKUP(B2234,'PROCV GERENTES BD'!A:B,2,0)</f>
        <v>ADMINISTRAÇÃO</v>
      </c>
      <c r="F2234" s="4" t="str">
        <f t="shared" si="174"/>
        <v>2025-05-1</v>
      </c>
      <c r="G2234" t="str">
        <f t="shared" si="170"/>
        <v>ADMINISTRAÇÃO</v>
      </c>
      <c r="H2234" t="str">
        <f t="shared" si="171"/>
        <v>BOM PASTOR PAPEIS LTDA EM RECUPERACAO JUDICIAL</v>
      </c>
      <c r="I2234">
        <f t="shared" si="172"/>
        <v>1</v>
      </c>
      <c r="J2234">
        <f t="shared" si="173"/>
        <v>0</v>
      </c>
    </row>
    <row r="2235" spans="1:10" x14ac:dyDescent="0.25">
      <c r="A2235" t="s">
        <v>62</v>
      </c>
      <c r="B2235" t="s">
        <v>63</v>
      </c>
      <c r="C2235" t="s">
        <v>56</v>
      </c>
      <c r="D2235" s="6">
        <v>45786</v>
      </c>
      <c r="E2235" t="str">
        <f>VLOOKUP(B2235,'PROCV GERENTES BD'!A:B,2,0)</f>
        <v xml:space="preserve">ROGERIO </v>
      </c>
      <c r="F2235" s="4" t="str">
        <f t="shared" si="174"/>
        <v>2025-05-1</v>
      </c>
      <c r="G2235" t="str">
        <f t="shared" si="170"/>
        <v xml:space="preserve">ROGERIO </v>
      </c>
      <c r="H2235" t="str">
        <f t="shared" si="171"/>
        <v>RODOVIEIRA TRANSPORTE LTDA</v>
      </c>
      <c r="I2235">
        <f t="shared" si="172"/>
        <v>0</v>
      </c>
      <c r="J2235">
        <f t="shared" si="173"/>
        <v>1</v>
      </c>
    </row>
    <row r="2236" spans="1:10" x14ac:dyDescent="0.25">
      <c r="A2236" t="s">
        <v>326</v>
      </c>
      <c r="B2236" t="s">
        <v>86</v>
      </c>
      <c r="C2236" t="s">
        <v>56</v>
      </c>
      <c r="D2236" s="6">
        <v>45786</v>
      </c>
      <c r="E2236" t="str">
        <f>VLOOKUP(B2236,'PROCV GERENTES BD'!A:B,2,0)</f>
        <v>CELIO PIMENTA</v>
      </c>
      <c r="F2236" s="4" t="str">
        <f t="shared" si="174"/>
        <v>2025-05-1</v>
      </c>
      <c r="G2236" t="str">
        <f t="shared" si="170"/>
        <v>CELIO PIMENTA</v>
      </c>
      <c r="H2236" t="str">
        <f t="shared" si="171"/>
        <v>IMPORTEXTIL COMERCIO DE TECIDOS LTDA</v>
      </c>
      <c r="I2236">
        <f t="shared" si="172"/>
        <v>0</v>
      </c>
      <c r="J2236">
        <f t="shared" si="173"/>
        <v>1</v>
      </c>
    </row>
    <row r="2237" spans="1:10" x14ac:dyDescent="0.25">
      <c r="A2237" t="s">
        <v>325</v>
      </c>
      <c r="B2237" t="s">
        <v>210</v>
      </c>
      <c r="C2237" t="s">
        <v>72</v>
      </c>
      <c r="D2237" s="6">
        <v>45786</v>
      </c>
      <c r="E2237" t="str">
        <f>VLOOKUP(B2237,'PROCV GERENTES BD'!A:B,2,0)</f>
        <v>JOSE ROBERTO</v>
      </c>
      <c r="F2237" s="4" t="str">
        <f t="shared" si="174"/>
        <v>2025-05-1</v>
      </c>
      <c r="G2237" t="str">
        <f t="shared" si="170"/>
        <v>JOSE ROBERTO</v>
      </c>
      <c r="H2237" t="str">
        <f t="shared" si="171"/>
        <v>FUNDACAO DE ENSINO E PESQUISA DO SUL DE MINAS FEPE</v>
      </c>
      <c r="I2237">
        <f t="shared" si="172"/>
        <v>1</v>
      </c>
      <c r="J2237">
        <f t="shared" si="173"/>
        <v>0</v>
      </c>
    </row>
    <row r="2238" spans="1:10" x14ac:dyDescent="0.25">
      <c r="A2238" t="s">
        <v>380</v>
      </c>
      <c r="B2238" t="s">
        <v>123</v>
      </c>
      <c r="C2238" t="s">
        <v>72</v>
      </c>
      <c r="D2238" s="6">
        <v>45786</v>
      </c>
      <c r="E2238" t="str">
        <f>VLOOKUP(B2238,'PROCV GERENTES BD'!A:B,2,0)</f>
        <v>ANTONIO CARLOS</v>
      </c>
      <c r="F2238" s="4" t="str">
        <f t="shared" si="174"/>
        <v>2025-05-1</v>
      </c>
      <c r="G2238" t="str">
        <f t="shared" si="170"/>
        <v>ANTONIO CARLOS</v>
      </c>
      <c r="H2238" t="str">
        <f t="shared" si="171"/>
        <v>PREMOLDADOS MATOSINHOS LTDA EPP</v>
      </c>
      <c r="I2238">
        <f t="shared" si="172"/>
        <v>1</v>
      </c>
      <c r="J2238">
        <f t="shared" si="173"/>
        <v>0</v>
      </c>
    </row>
    <row r="2239" spans="1:10" x14ac:dyDescent="0.25">
      <c r="A2239" t="s">
        <v>361</v>
      </c>
      <c r="B2239" t="s">
        <v>103</v>
      </c>
      <c r="C2239" t="s">
        <v>56</v>
      </c>
      <c r="D2239" s="6">
        <v>45786</v>
      </c>
      <c r="E2239" t="str">
        <f>VLOOKUP(B2239,'PROCV GERENTES BD'!A:B,2,0)</f>
        <v>PRISCILA METZ</v>
      </c>
      <c r="F2239" s="4" t="str">
        <f t="shared" si="174"/>
        <v>2025-05-1</v>
      </c>
      <c r="G2239" t="str">
        <f t="shared" si="170"/>
        <v>PRISCILA METZ</v>
      </c>
      <c r="H2239" t="str">
        <f t="shared" si="171"/>
        <v>ESSENZA INDUSTRIA QUIMICA LTDA</v>
      </c>
      <c r="I2239">
        <f t="shared" si="172"/>
        <v>0</v>
      </c>
      <c r="J2239">
        <f t="shared" si="173"/>
        <v>1</v>
      </c>
    </row>
    <row r="2240" spans="1:10" x14ac:dyDescent="0.25">
      <c r="A2240" t="s">
        <v>428</v>
      </c>
      <c r="B2240" t="s">
        <v>177</v>
      </c>
      <c r="C2240" t="s">
        <v>72</v>
      </c>
      <c r="D2240" s="6">
        <v>45786</v>
      </c>
      <c r="E2240" t="str">
        <f>VLOOKUP(B2240,'PROCV GERENTES BD'!A:B,2,0)</f>
        <v>POENATELA</v>
      </c>
      <c r="F2240" s="4" t="str">
        <f t="shared" si="174"/>
        <v>2025-05-1</v>
      </c>
      <c r="G2240" t="str">
        <f t="shared" si="170"/>
        <v>POENATELA</v>
      </c>
      <c r="H2240" t="str">
        <f t="shared" si="171"/>
        <v>SAVIXX COMERCIO INTERNACIONAL S/A</v>
      </c>
      <c r="I2240">
        <f t="shared" si="172"/>
        <v>1</v>
      </c>
      <c r="J2240">
        <f t="shared" si="173"/>
        <v>0</v>
      </c>
    </row>
    <row r="2241" spans="1:10" x14ac:dyDescent="0.25">
      <c r="A2241" t="s">
        <v>469</v>
      </c>
      <c r="B2241" t="s">
        <v>225</v>
      </c>
      <c r="C2241" t="s">
        <v>72</v>
      </c>
      <c r="D2241" s="6">
        <v>45786</v>
      </c>
      <c r="E2241" t="str">
        <f>VLOOKUP(B2241,'PROCV GERENTES BD'!A:B,2,0)</f>
        <v>SEM GERENTE</v>
      </c>
      <c r="F2241" s="4" t="str">
        <f t="shared" si="174"/>
        <v>2025-05-1</v>
      </c>
      <c r="G2241" t="str">
        <f t="shared" si="170"/>
        <v>SEM GERENTE</v>
      </c>
      <c r="H2241" t="str">
        <f t="shared" si="171"/>
        <v>KUARA COMERCIAL E EXPORTADORA DE FRUTAS LTDA</v>
      </c>
      <c r="I2241">
        <f t="shared" si="172"/>
        <v>1</v>
      </c>
      <c r="J2241">
        <f t="shared" si="173"/>
        <v>0</v>
      </c>
    </row>
    <row r="2242" spans="1:10" x14ac:dyDescent="0.25">
      <c r="A2242" t="s">
        <v>387</v>
      </c>
      <c r="B2242" t="s">
        <v>133</v>
      </c>
      <c r="C2242" t="s">
        <v>72</v>
      </c>
      <c r="D2242" s="6">
        <v>45786</v>
      </c>
      <c r="E2242" t="str">
        <f>VLOOKUP(B2242,'PROCV GERENTES BD'!A:B,2,0)</f>
        <v>ADMINISTRAÇÃO</v>
      </c>
      <c r="F2242" s="4" t="str">
        <f t="shared" si="174"/>
        <v>2025-05-1</v>
      </c>
      <c r="G2242" t="str">
        <f t="shared" ref="G2242:G2305" si="175">E2242</f>
        <v>ADMINISTRAÇÃO</v>
      </c>
      <c r="H2242" t="str">
        <f t="shared" ref="H2242:H2305" si="176">B2242</f>
        <v>ENXOVAIS MINAS LTDA ME</v>
      </c>
      <c r="I2242">
        <f t="shared" ref="I2242:I2305" si="177">IF(C2242="EXCLUSAO  ANOT.INADIMPLENCIA",1,0)</f>
        <v>1</v>
      </c>
      <c r="J2242">
        <f t="shared" ref="J2242:J2305" si="178">IF(C2242="INCLUSAO  ANOT.INADIMPLENCIA",1,0)</f>
        <v>0</v>
      </c>
    </row>
    <row r="2243" spans="1:10" x14ac:dyDescent="0.25">
      <c r="A2243" t="s">
        <v>331</v>
      </c>
      <c r="B2243" t="s">
        <v>126</v>
      </c>
      <c r="C2243" t="s">
        <v>56</v>
      </c>
      <c r="D2243" s="6">
        <v>45787</v>
      </c>
      <c r="E2243" t="str">
        <f>VLOOKUP(B2243,'PROCV GERENTES BD'!A:B,2,0)</f>
        <v>FITZ</v>
      </c>
      <c r="F2243" s="4" t="str">
        <f t="shared" ref="F2243:F2306" si="179">YEAR(D2243)&amp;"-"&amp;TEXT(MONTH(D2243),"00")&amp;"-"&amp;IF(DAY(D2243)&lt;=15,"1",IF(DAY(D2243)&gt;15,"2",""))</f>
        <v>2025-05-1</v>
      </c>
      <c r="G2243" t="str">
        <f t="shared" si="175"/>
        <v>FITZ</v>
      </c>
      <c r="H2243" t="str">
        <f t="shared" si="176"/>
        <v>TRANSHENRY TRANSPORTES LTDA</v>
      </c>
      <c r="I2243">
        <f t="shared" si="177"/>
        <v>0</v>
      </c>
      <c r="J2243">
        <f t="shared" si="178"/>
        <v>1</v>
      </c>
    </row>
    <row r="2244" spans="1:10" x14ac:dyDescent="0.25">
      <c r="A2244" t="s">
        <v>494</v>
      </c>
      <c r="B2244" t="s">
        <v>250</v>
      </c>
      <c r="C2244" t="s">
        <v>56</v>
      </c>
      <c r="D2244" s="6">
        <v>45787</v>
      </c>
      <c r="E2244" t="str">
        <f>VLOOKUP(B2244,'PROCV GERENTES BD'!A:B,2,0)</f>
        <v>NOELI SALETE</v>
      </c>
      <c r="F2244" s="4" t="str">
        <f t="shared" si="179"/>
        <v>2025-05-1</v>
      </c>
      <c r="G2244" t="str">
        <f t="shared" si="175"/>
        <v>NOELI SALETE</v>
      </c>
      <c r="H2244" t="str">
        <f t="shared" si="176"/>
        <v>SMARTCENTERGROUP COMERCIO DE EQUIPAMENTOS DE INFOR</v>
      </c>
      <c r="I2244">
        <f t="shared" si="177"/>
        <v>0</v>
      </c>
      <c r="J2244">
        <f t="shared" si="178"/>
        <v>1</v>
      </c>
    </row>
    <row r="2245" spans="1:10" x14ac:dyDescent="0.25">
      <c r="A2245" t="s">
        <v>520</v>
      </c>
      <c r="B2245" t="s">
        <v>283</v>
      </c>
      <c r="C2245" t="s">
        <v>72</v>
      </c>
      <c r="D2245" s="6">
        <v>45787</v>
      </c>
      <c r="E2245" t="str">
        <f>VLOOKUP(B2245,'PROCV GERENTES BD'!A:B,2,0)</f>
        <v>ADMINISTRAÇÃO</v>
      </c>
      <c r="F2245" s="4" t="str">
        <f t="shared" si="179"/>
        <v>2025-05-1</v>
      </c>
      <c r="G2245" t="str">
        <f t="shared" si="175"/>
        <v>ADMINISTRAÇÃO</v>
      </c>
      <c r="H2245" t="str">
        <f t="shared" si="176"/>
        <v>FILIPE AUGUSTO DO CARMO GUSMAO LTDA ME</v>
      </c>
      <c r="I2245">
        <f t="shared" si="177"/>
        <v>1</v>
      </c>
      <c r="J2245">
        <f t="shared" si="178"/>
        <v>0</v>
      </c>
    </row>
    <row r="2246" spans="1:10" x14ac:dyDescent="0.25">
      <c r="A2246" t="s">
        <v>378</v>
      </c>
      <c r="B2246" t="s">
        <v>121</v>
      </c>
      <c r="C2246" t="s">
        <v>72</v>
      </c>
      <c r="D2246" s="6">
        <v>45787</v>
      </c>
      <c r="E2246" t="str">
        <f>VLOOKUP(B2246,'PROCV GERENTES BD'!A:B,2,0)</f>
        <v>POENATELA</v>
      </c>
      <c r="F2246" s="4" t="str">
        <f t="shared" si="179"/>
        <v>2025-05-1</v>
      </c>
      <c r="G2246" t="str">
        <f t="shared" si="175"/>
        <v>POENATELA</v>
      </c>
      <c r="H2246" t="str">
        <f t="shared" si="176"/>
        <v>COOPERATIVA TRANSP AUTON CARGAS PASSAG SERVICOS LO</v>
      </c>
      <c r="I2246">
        <f t="shared" si="177"/>
        <v>1</v>
      </c>
      <c r="J2246">
        <f t="shared" si="178"/>
        <v>0</v>
      </c>
    </row>
    <row r="2247" spans="1:10" x14ac:dyDescent="0.25">
      <c r="A2247" t="s">
        <v>458</v>
      </c>
      <c r="B2247" t="s">
        <v>214</v>
      </c>
      <c r="C2247" t="s">
        <v>56</v>
      </c>
      <c r="D2247" s="6">
        <v>45787</v>
      </c>
      <c r="E2247" t="str">
        <f>VLOOKUP(B2247,'PROCV GERENTES BD'!A:B,2,0)</f>
        <v>CELIO PIMENTA</v>
      </c>
      <c r="F2247" s="4" t="str">
        <f t="shared" si="179"/>
        <v>2025-05-1</v>
      </c>
      <c r="G2247" t="str">
        <f t="shared" si="175"/>
        <v>CELIO PIMENTA</v>
      </c>
      <c r="H2247" t="str">
        <f t="shared" si="176"/>
        <v>LIDER COMERCIO DE UNIFORMES E EPI S LTDA ME</v>
      </c>
      <c r="I2247">
        <f t="shared" si="177"/>
        <v>0</v>
      </c>
      <c r="J2247">
        <f t="shared" si="178"/>
        <v>1</v>
      </c>
    </row>
    <row r="2248" spans="1:10" x14ac:dyDescent="0.25">
      <c r="A2248" t="s">
        <v>78</v>
      </c>
      <c r="B2248" t="s">
        <v>79</v>
      </c>
      <c r="C2248" t="s">
        <v>56</v>
      </c>
      <c r="D2248" s="6">
        <v>45787</v>
      </c>
      <c r="E2248" t="str">
        <f>VLOOKUP(B2248,'PROCV GERENTES BD'!A:B,2,0)</f>
        <v>NOELI SALETE</v>
      </c>
      <c r="F2248" s="4" t="str">
        <f t="shared" si="179"/>
        <v>2025-05-1</v>
      </c>
      <c r="G2248" t="str">
        <f t="shared" si="175"/>
        <v>NOELI SALETE</v>
      </c>
      <c r="H2248" t="str">
        <f t="shared" si="176"/>
        <v>SMARTCENTER SOLUCOES INTELIGENTES LTDA ME</v>
      </c>
      <c r="I2248">
        <f t="shared" si="177"/>
        <v>0</v>
      </c>
      <c r="J2248">
        <f t="shared" si="178"/>
        <v>1</v>
      </c>
    </row>
    <row r="2249" spans="1:10" x14ac:dyDescent="0.25">
      <c r="A2249" t="s">
        <v>377</v>
      </c>
      <c r="B2249" t="s">
        <v>120</v>
      </c>
      <c r="C2249" t="s">
        <v>56</v>
      </c>
      <c r="D2249" s="6">
        <v>45787</v>
      </c>
      <c r="E2249" t="str">
        <f>VLOOKUP(B2249,'PROCV GERENTES BD'!A:B,2,0)</f>
        <v xml:space="preserve">MARCUS VINICIUS </v>
      </c>
      <c r="F2249" s="4" t="str">
        <f t="shared" si="179"/>
        <v>2025-05-1</v>
      </c>
      <c r="G2249" t="str">
        <f t="shared" si="175"/>
        <v xml:space="preserve">MARCUS VINICIUS </v>
      </c>
      <c r="H2249" t="str">
        <f t="shared" si="176"/>
        <v>ISOBASE POLIESTIRENO LTDA EPP</v>
      </c>
      <c r="I2249">
        <f t="shared" si="177"/>
        <v>0</v>
      </c>
      <c r="J2249">
        <f t="shared" si="178"/>
        <v>1</v>
      </c>
    </row>
    <row r="2250" spans="1:10" x14ac:dyDescent="0.25">
      <c r="A2250" t="s">
        <v>73</v>
      </c>
      <c r="B2250" t="s">
        <v>74</v>
      </c>
      <c r="C2250" t="s">
        <v>56</v>
      </c>
      <c r="D2250" s="6">
        <v>45787</v>
      </c>
      <c r="E2250" t="str">
        <f>VLOOKUP(B2250,'PROCV GERENTES BD'!A:B,2,0)</f>
        <v xml:space="preserve">ROGERIO </v>
      </c>
      <c r="F2250" s="4" t="str">
        <f t="shared" si="179"/>
        <v>2025-05-1</v>
      </c>
      <c r="G2250" t="str">
        <f t="shared" si="175"/>
        <v xml:space="preserve">ROGERIO </v>
      </c>
      <c r="H2250" t="str">
        <f t="shared" si="176"/>
        <v>DIOTTONI INDUSTRIA E COMERCIO DE ALIMENTOS LTDA ME</v>
      </c>
      <c r="I2250">
        <f t="shared" si="177"/>
        <v>0</v>
      </c>
      <c r="J2250">
        <f t="shared" si="178"/>
        <v>1</v>
      </c>
    </row>
    <row r="2251" spans="1:10" x14ac:dyDescent="0.25">
      <c r="A2251" t="s">
        <v>450</v>
      </c>
      <c r="B2251" t="s">
        <v>200</v>
      </c>
      <c r="C2251" t="s">
        <v>72</v>
      </c>
      <c r="D2251" s="6">
        <v>45787</v>
      </c>
      <c r="E2251" t="str">
        <f>VLOOKUP(B2251,'PROCV GERENTES BD'!A:B,2,0)</f>
        <v>CELIO PIMENTA</v>
      </c>
      <c r="F2251" s="4" t="str">
        <f t="shared" si="179"/>
        <v>2025-05-1</v>
      </c>
      <c r="G2251" t="str">
        <f t="shared" si="175"/>
        <v>CELIO PIMENTA</v>
      </c>
      <c r="H2251" t="str">
        <f t="shared" si="176"/>
        <v>CIA TEXTIL LTDA ME</v>
      </c>
      <c r="I2251">
        <f t="shared" si="177"/>
        <v>1</v>
      </c>
      <c r="J2251">
        <f t="shared" si="178"/>
        <v>0</v>
      </c>
    </row>
    <row r="2252" spans="1:10" x14ac:dyDescent="0.25">
      <c r="A2252" t="s">
        <v>70</v>
      </c>
      <c r="B2252" t="s">
        <v>71</v>
      </c>
      <c r="C2252" t="s">
        <v>56</v>
      </c>
      <c r="D2252" s="6">
        <v>45787</v>
      </c>
      <c r="E2252" t="str">
        <f>VLOOKUP(B2252,'PROCV GERENTES BD'!A:B,2,0)</f>
        <v>SEM GERENTE</v>
      </c>
      <c r="F2252" s="4" t="str">
        <f t="shared" si="179"/>
        <v>2025-05-1</v>
      </c>
      <c r="G2252" t="str">
        <f t="shared" si="175"/>
        <v>SEM GERENTE</v>
      </c>
      <c r="H2252" t="str">
        <f t="shared" si="176"/>
        <v>SOCIAL S/A</v>
      </c>
      <c r="I2252">
        <f t="shared" si="177"/>
        <v>0</v>
      </c>
      <c r="J2252">
        <f t="shared" si="178"/>
        <v>1</v>
      </c>
    </row>
    <row r="2253" spans="1:10" x14ac:dyDescent="0.25">
      <c r="A2253" t="s">
        <v>68</v>
      </c>
      <c r="B2253" t="s">
        <v>69</v>
      </c>
      <c r="C2253" t="s">
        <v>56</v>
      </c>
      <c r="D2253" s="6">
        <v>45787</v>
      </c>
      <c r="E2253" t="str">
        <f>VLOOKUP(B2253,'PROCV GERENTES BD'!A:B,2,0)</f>
        <v>FITZ</v>
      </c>
      <c r="F2253" s="4" t="str">
        <f t="shared" si="179"/>
        <v>2025-05-1</v>
      </c>
      <c r="G2253" t="str">
        <f t="shared" si="175"/>
        <v>FITZ</v>
      </c>
      <c r="H2253" t="str">
        <f t="shared" si="176"/>
        <v>MAPP COM IMPORTACAO EXPORTACAO IND PRODUTOS ALIMEN</v>
      </c>
      <c r="I2253">
        <f t="shared" si="177"/>
        <v>0</v>
      </c>
      <c r="J2253">
        <f t="shared" si="178"/>
        <v>1</v>
      </c>
    </row>
    <row r="2254" spans="1:10" x14ac:dyDescent="0.25">
      <c r="A2254" t="s">
        <v>66</v>
      </c>
      <c r="B2254" t="s">
        <v>67</v>
      </c>
      <c r="C2254" t="s">
        <v>56</v>
      </c>
      <c r="D2254" s="6">
        <v>45787</v>
      </c>
      <c r="E2254" t="str">
        <f>VLOOKUP(B2254,'PROCV GERENTES BD'!A:B,2,0)</f>
        <v xml:space="preserve">MARCUS VINICIUS </v>
      </c>
      <c r="F2254" s="4" t="str">
        <f t="shared" si="179"/>
        <v>2025-05-1</v>
      </c>
      <c r="G2254" t="str">
        <f t="shared" si="175"/>
        <v xml:space="preserve">MARCUS VINICIUS </v>
      </c>
      <c r="H2254" t="str">
        <f t="shared" si="176"/>
        <v>COM IND DE CEREAIS E TRANSPORTES MACIEL LTDA</v>
      </c>
      <c r="I2254">
        <f t="shared" si="177"/>
        <v>0</v>
      </c>
      <c r="J2254">
        <f t="shared" si="178"/>
        <v>1</v>
      </c>
    </row>
    <row r="2255" spans="1:10" x14ac:dyDescent="0.25">
      <c r="A2255" t="s">
        <v>361</v>
      </c>
      <c r="B2255" t="s">
        <v>103</v>
      </c>
      <c r="C2255" t="s">
        <v>56</v>
      </c>
      <c r="D2255" s="6">
        <v>45787</v>
      </c>
      <c r="E2255" t="str">
        <f>VLOOKUP(B2255,'PROCV GERENTES BD'!A:B,2,0)</f>
        <v>PRISCILA METZ</v>
      </c>
      <c r="F2255" s="4" t="str">
        <f t="shared" si="179"/>
        <v>2025-05-1</v>
      </c>
      <c r="G2255" t="str">
        <f t="shared" si="175"/>
        <v>PRISCILA METZ</v>
      </c>
      <c r="H2255" t="str">
        <f t="shared" si="176"/>
        <v>ESSENZA INDUSTRIA QUIMICA LTDA</v>
      </c>
      <c r="I2255">
        <f t="shared" si="177"/>
        <v>0</v>
      </c>
      <c r="J2255">
        <f t="shared" si="178"/>
        <v>1</v>
      </c>
    </row>
    <row r="2256" spans="1:10" x14ac:dyDescent="0.25">
      <c r="A2256" t="s">
        <v>521</v>
      </c>
      <c r="B2256" t="s">
        <v>282</v>
      </c>
      <c r="C2256" t="s">
        <v>56</v>
      </c>
      <c r="D2256" s="6">
        <v>45787</v>
      </c>
      <c r="E2256" t="str">
        <f>VLOOKUP(B2256,'PROCV GERENTES BD'!A:B,2,0)</f>
        <v>ALISSON DE SOUZA LIMA</v>
      </c>
      <c r="F2256" s="4" t="str">
        <f t="shared" si="179"/>
        <v>2025-05-1</v>
      </c>
      <c r="G2256" t="str">
        <f t="shared" si="175"/>
        <v>ALISSON DE SOUZA LIMA</v>
      </c>
      <c r="H2256" t="str">
        <f t="shared" si="176"/>
        <v>COMERCIAL JLX DISTRIBUIDORA LTDA ME</v>
      </c>
      <c r="I2256">
        <f t="shared" si="177"/>
        <v>0</v>
      </c>
      <c r="J2256">
        <f t="shared" si="178"/>
        <v>1</v>
      </c>
    </row>
    <row r="2257" spans="1:10" x14ac:dyDescent="0.25">
      <c r="A2257" t="s">
        <v>326</v>
      </c>
      <c r="B2257" t="s">
        <v>86</v>
      </c>
      <c r="C2257" t="s">
        <v>56</v>
      </c>
      <c r="D2257" s="6">
        <v>45787</v>
      </c>
      <c r="E2257" t="str">
        <f>VLOOKUP(B2257,'PROCV GERENTES BD'!A:B,2,0)</f>
        <v>CELIO PIMENTA</v>
      </c>
      <c r="F2257" s="4" t="str">
        <f t="shared" si="179"/>
        <v>2025-05-1</v>
      </c>
      <c r="G2257" t="str">
        <f t="shared" si="175"/>
        <v>CELIO PIMENTA</v>
      </c>
      <c r="H2257" t="str">
        <f t="shared" si="176"/>
        <v>IMPORTEXTIL COMERCIO DE TECIDOS LTDA</v>
      </c>
      <c r="I2257">
        <f t="shared" si="177"/>
        <v>0</v>
      </c>
      <c r="J2257">
        <f t="shared" si="178"/>
        <v>1</v>
      </c>
    </row>
    <row r="2258" spans="1:10" x14ac:dyDescent="0.25">
      <c r="A2258" t="s">
        <v>62</v>
      </c>
      <c r="B2258" t="s">
        <v>63</v>
      </c>
      <c r="C2258" t="s">
        <v>56</v>
      </c>
      <c r="D2258" s="6">
        <v>45787</v>
      </c>
      <c r="E2258" t="str">
        <f>VLOOKUP(B2258,'PROCV GERENTES BD'!A:B,2,0)</f>
        <v xml:space="preserve">ROGERIO </v>
      </c>
      <c r="F2258" s="4" t="str">
        <f t="shared" si="179"/>
        <v>2025-05-1</v>
      </c>
      <c r="G2258" t="str">
        <f t="shared" si="175"/>
        <v xml:space="preserve">ROGERIO </v>
      </c>
      <c r="H2258" t="str">
        <f t="shared" si="176"/>
        <v>RODOVIEIRA TRANSPORTE LTDA</v>
      </c>
      <c r="I2258">
        <f t="shared" si="177"/>
        <v>0</v>
      </c>
      <c r="J2258">
        <f t="shared" si="178"/>
        <v>1</v>
      </c>
    </row>
    <row r="2259" spans="1:10" x14ac:dyDescent="0.25">
      <c r="A2259" t="s">
        <v>339</v>
      </c>
      <c r="B2259" t="s">
        <v>151</v>
      </c>
      <c r="C2259" t="s">
        <v>56</v>
      </c>
      <c r="D2259" s="6">
        <v>45787</v>
      </c>
      <c r="E2259" t="str">
        <f>VLOOKUP(B2259,'PROCV GERENTES BD'!A:B,2,0)</f>
        <v>ADMINISTRAÇÃO</v>
      </c>
      <c r="F2259" s="4" t="str">
        <f t="shared" si="179"/>
        <v>2025-05-1</v>
      </c>
      <c r="G2259" t="str">
        <f t="shared" si="175"/>
        <v>ADMINISTRAÇÃO</v>
      </c>
      <c r="H2259" t="str">
        <f t="shared" si="176"/>
        <v>BOM PASTOR PAPEIS LTDA EM RECUPERACAO JUDICIAL</v>
      </c>
      <c r="I2259">
        <f t="shared" si="177"/>
        <v>0</v>
      </c>
      <c r="J2259">
        <f t="shared" si="178"/>
        <v>1</v>
      </c>
    </row>
    <row r="2260" spans="1:10" x14ac:dyDescent="0.25">
      <c r="A2260" t="s">
        <v>57</v>
      </c>
      <c r="B2260" t="s">
        <v>58</v>
      </c>
      <c r="C2260" t="s">
        <v>56</v>
      </c>
      <c r="D2260" s="6">
        <v>45787</v>
      </c>
      <c r="E2260" t="str">
        <f>VLOOKUP(B2260,'PROCV GERENTES BD'!A:B,2,0)</f>
        <v>RAFAEL PARISE</v>
      </c>
      <c r="F2260" s="4" t="str">
        <f t="shared" si="179"/>
        <v>2025-05-1</v>
      </c>
      <c r="G2260" t="str">
        <f t="shared" si="175"/>
        <v>RAFAEL PARISE</v>
      </c>
      <c r="H2260" t="str">
        <f t="shared" si="176"/>
        <v>TDR TRANSPORTES LOGISTICA LTDA</v>
      </c>
      <c r="I2260">
        <f t="shared" si="177"/>
        <v>0</v>
      </c>
      <c r="J2260">
        <f t="shared" si="178"/>
        <v>1</v>
      </c>
    </row>
    <row r="2261" spans="1:10" x14ac:dyDescent="0.25">
      <c r="A2261" t="s">
        <v>498</v>
      </c>
      <c r="B2261" t="s">
        <v>255</v>
      </c>
      <c r="C2261" t="s">
        <v>72</v>
      </c>
      <c r="D2261" s="6">
        <v>45787</v>
      </c>
      <c r="E2261" t="str">
        <f>VLOOKUP(B2261,'PROCV GERENTES BD'!A:B,2,0)</f>
        <v>PROSPECTAR</v>
      </c>
      <c r="F2261" s="4" t="str">
        <f t="shared" si="179"/>
        <v>2025-05-1</v>
      </c>
      <c r="G2261" t="str">
        <f t="shared" si="175"/>
        <v>PROSPECTAR</v>
      </c>
      <c r="H2261" t="str">
        <f t="shared" si="176"/>
        <v>PRODUTOS PORTEIRAO COM DIST E REP LTDA EPP</v>
      </c>
      <c r="I2261">
        <f t="shared" si="177"/>
        <v>1</v>
      </c>
      <c r="J2261">
        <f t="shared" si="178"/>
        <v>0</v>
      </c>
    </row>
    <row r="2262" spans="1:10" x14ac:dyDescent="0.25">
      <c r="A2262" t="s">
        <v>333</v>
      </c>
      <c r="B2262" t="s">
        <v>129</v>
      </c>
      <c r="C2262" t="s">
        <v>56</v>
      </c>
      <c r="D2262" s="6">
        <v>45787</v>
      </c>
      <c r="E2262" t="str">
        <f>VLOOKUP(B2262,'PROCV GERENTES BD'!A:B,2,0)</f>
        <v xml:space="preserve">ROGERIO </v>
      </c>
      <c r="F2262" s="4" t="str">
        <f t="shared" si="179"/>
        <v>2025-05-1</v>
      </c>
      <c r="G2262" t="str">
        <f t="shared" si="175"/>
        <v xml:space="preserve">ROGERIO </v>
      </c>
      <c r="H2262" t="str">
        <f t="shared" si="176"/>
        <v>BIBE PRODUTOS INFANTIS LTDA</v>
      </c>
      <c r="I2262">
        <f t="shared" si="177"/>
        <v>0</v>
      </c>
      <c r="J2262">
        <f t="shared" si="178"/>
        <v>1</v>
      </c>
    </row>
    <row r="2263" spans="1:10" x14ac:dyDescent="0.25">
      <c r="A2263" t="s">
        <v>383</v>
      </c>
      <c r="B2263" t="s">
        <v>127</v>
      </c>
      <c r="C2263" t="s">
        <v>72</v>
      </c>
      <c r="D2263" s="6">
        <v>45790</v>
      </c>
      <c r="E2263" t="str">
        <f>VLOOKUP(B2263,'PROCV GERENTES BD'!A:B,2,0)</f>
        <v>NATALIA NUBIA</v>
      </c>
      <c r="F2263" s="4" t="str">
        <f t="shared" si="179"/>
        <v>2025-05-1</v>
      </c>
      <c r="G2263" t="str">
        <f t="shared" si="175"/>
        <v>NATALIA NUBIA</v>
      </c>
      <c r="H2263" t="str">
        <f t="shared" si="176"/>
        <v>FARINELLI NUTRIMENTOS LTDA</v>
      </c>
      <c r="I2263">
        <f t="shared" si="177"/>
        <v>1</v>
      </c>
      <c r="J2263">
        <f t="shared" si="178"/>
        <v>0</v>
      </c>
    </row>
    <row r="2264" spans="1:10" x14ac:dyDescent="0.25">
      <c r="A2264" t="s">
        <v>455</v>
      </c>
      <c r="B2264" t="s">
        <v>207</v>
      </c>
      <c r="C2264" t="s">
        <v>56</v>
      </c>
      <c r="D2264" s="6">
        <v>45790</v>
      </c>
      <c r="E2264" t="str">
        <f>VLOOKUP(B2264,'PROCV GERENTES BD'!A:B,2,0)</f>
        <v xml:space="preserve">ROGERIO </v>
      </c>
      <c r="F2264" s="4" t="str">
        <f t="shared" si="179"/>
        <v>2025-05-1</v>
      </c>
      <c r="G2264" t="str">
        <f t="shared" si="175"/>
        <v xml:space="preserve">ROGERIO </v>
      </c>
      <c r="H2264" t="str">
        <f t="shared" si="176"/>
        <v>ORTHOSIDE INDUSTRIA E COMERCIO LTDA EPP</v>
      </c>
      <c r="I2264">
        <f t="shared" si="177"/>
        <v>0</v>
      </c>
      <c r="J2264">
        <f t="shared" si="178"/>
        <v>1</v>
      </c>
    </row>
    <row r="2265" spans="1:10" x14ac:dyDescent="0.25">
      <c r="A2265" t="s">
        <v>511</v>
      </c>
      <c r="B2265" t="s">
        <v>268</v>
      </c>
      <c r="C2265" t="s">
        <v>72</v>
      </c>
      <c r="D2265" s="6">
        <v>45790</v>
      </c>
      <c r="E2265" t="str">
        <f>VLOOKUP(B2265,'PROCV GERENTES BD'!A:B,2,0)</f>
        <v>PRISCILA METZ</v>
      </c>
      <c r="F2265" s="4" t="str">
        <f t="shared" si="179"/>
        <v>2025-05-1</v>
      </c>
      <c r="G2265" t="str">
        <f t="shared" si="175"/>
        <v>PRISCILA METZ</v>
      </c>
      <c r="H2265" t="str">
        <f t="shared" si="176"/>
        <v>ANDRADE ELETRO TECNICA LTDA EPP</v>
      </c>
      <c r="I2265">
        <f t="shared" si="177"/>
        <v>1</v>
      </c>
      <c r="J2265">
        <f t="shared" si="178"/>
        <v>0</v>
      </c>
    </row>
    <row r="2266" spans="1:10" x14ac:dyDescent="0.25">
      <c r="A2266" t="s">
        <v>475</v>
      </c>
      <c r="B2266" t="s">
        <v>231</v>
      </c>
      <c r="C2266" t="s">
        <v>56</v>
      </c>
      <c r="D2266" s="6">
        <v>45790</v>
      </c>
      <c r="E2266" t="str">
        <f>VLOOKUP(B2266,'PROCV GERENTES BD'!A:B,2,0)</f>
        <v>DIOGO AZEVEDO</v>
      </c>
      <c r="F2266" s="4" t="str">
        <f t="shared" si="179"/>
        <v>2025-05-1</v>
      </c>
      <c r="G2266" t="str">
        <f t="shared" si="175"/>
        <v>DIOGO AZEVEDO</v>
      </c>
      <c r="H2266" t="str">
        <f t="shared" si="176"/>
        <v>VGS COMERCIO DE EMBALAGENS DE MADEIRAS LTDA ME</v>
      </c>
      <c r="I2266">
        <f t="shared" si="177"/>
        <v>0</v>
      </c>
      <c r="J2266">
        <f t="shared" si="178"/>
        <v>1</v>
      </c>
    </row>
    <row r="2267" spans="1:10" x14ac:dyDescent="0.25">
      <c r="A2267" t="s">
        <v>498</v>
      </c>
      <c r="B2267" t="s">
        <v>255</v>
      </c>
      <c r="C2267" t="s">
        <v>72</v>
      </c>
      <c r="D2267" s="6">
        <v>45790</v>
      </c>
      <c r="E2267" t="str">
        <f>VLOOKUP(B2267,'PROCV GERENTES BD'!A:B,2,0)</f>
        <v>PROSPECTAR</v>
      </c>
      <c r="F2267" s="4" t="str">
        <f t="shared" si="179"/>
        <v>2025-05-1</v>
      </c>
      <c r="G2267" t="str">
        <f t="shared" si="175"/>
        <v>PROSPECTAR</v>
      </c>
      <c r="H2267" t="str">
        <f t="shared" si="176"/>
        <v>PRODUTOS PORTEIRAO COM DIST E REP LTDA EPP</v>
      </c>
      <c r="I2267">
        <f t="shared" si="177"/>
        <v>1</v>
      </c>
      <c r="J2267">
        <f t="shared" si="178"/>
        <v>0</v>
      </c>
    </row>
    <row r="2268" spans="1:10" x14ac:dyDescent="0.25">
      <c r="A2268" t="s">
        <v>522</v>
      </c>
      <c r="B2268" t="s">
        <v>285</v>
      </c>
      <c r="C2268" t="s">
        <v>56</v>
      </c>
      <c r="D2268" s="6">
        <v>45790</v>
      </c>
      <c r="E2268" t="str">
        <f>VLOOKUP(B2268,'PROCV GERENTES BD'!A:B,2,0)</f>
        <v>PROSPER</v>
      </c>
      <c r="F2268" s="4" t="str">
        <f t="shared" si="179"/>
        <v>2025-05-1</v>
      </c>
      <c r="G2268" t="str">
        <f t="shared" si="175"/>
        <v>PROSPER</v>
      </c>
      <c r="H2268" t="str">
        <f t="shared" si="176"/>
        <v>MAIS PURA AGUA MINERAL LTDA EPP</v>
      </c>
      <c r="I2268">
        <f t="shared" si="177"/>
        <v>0</v>
      </c>
      <c r="J2268">
        <f t="shared" si="178"/>
        <v>1</v>
      </c>
    </row>
    <row r="2269" spans="1:10" x14ac:dyDescent="0.25">
      <c r="A2269" t="s">
        <v>494</v>
      </c>
      <c r="B2269" t="s">
        <v>250</v>
      </c>
      <c r="C2269" t="s">
        <v>56</v>
      </c>
      <c r="D2269" s="6">
        <v>45790</v>
      </c>
      <c r="E2269" t="str">
        <f>VLOOKUP(B2269,'PROCV GERENTES BD'!A:B,2,0)</f>
        <v>NOELI SALETE</v>
      </c>
      <c r="F2269" s="4" t="str">
        <f t="shared" si="179"/>
        <v>2025-05-1</v>
      </c>
      <c r="G2269" t="str">
        <f t="shared" si="175"/>
        <v>NOELI SALETE</v>
      </c>
      <c r="H2269" t="str">
        <f t="shared" si="176"/>
        <v>SMARTCENTERGROUP COMERCIO DE EQUIPAMENTOS DE INFOR</v>
      </c>
      <c r="I2269">
        <f t="shared" si="177"/>
        <v>0</v>
      </c>
      <c r="J2269">
        <f t="shared" si="178"/>
        <v>1</v>
      </c>
    </row>
    <row r="2270" spans="1:10" x14ac:dyDescent="0.25">
      <c r="A2270" t="s">
        <v>321</v>
      </c>
      <c r="B2270" t="s">
        <v>253</v>
      </c>
      <c r="C2270" t="s">
        <v>56</v>
      </c>
      <c r="D2270" s="6">
        <v>45790</v>
      </c>
      <c r="E2270" t="str">
        <f>VLOOKUP(B2270,'PROCV GERENTES BD'!A:B,2,0)</f>
        <v>THAYNA/COMERCIAL</v>
      </c>
      <c r="F2270" s="4" t="str">
        <f t="shared" si="179"/>
        <v>2025-05-1</v>
      </c>
      <c r="G2270" t="str">
        <f t="shared" si="175"/>
        <v>THAYNA/COMERCIAL</v>
      </c>
      <c r="H2270" t="str">
        <f t="shared" si="176"/>
        <v>MUTCD CENTRO DE DISTRIBUICAO DE IND FABRICANTE DE</v>
      </c>
      <c r="I2270">
        <f t="shared" si="177"/>
        <v>0</v>
      </c>
      <c r="J2270">
        <f t="shared" si="178"/>
        <v>1</v>
      </c>
    </row>
    <row r="2271" spans="1:10" x14ac:dyDescent="0.25">
      <c r="A2271" t="s">
        <v>78</v>
      </c>
      <c r="B2271" t="s">
        <v>79</v>
      </c>
      <c r="C2271" t="s">
        <v>56</v>
      </c>
      <c r="D2271" s="6">
        <v>45790</v>
      </c>
      <c r="E2271" t="str">
        <f>VLOOKUP(B2271,'PROCV GERENTES BD'!A:B,2,0)</f>
        <v>NOELI SALETE</v>
      </c>
      <c r="F2271" s="4" t="str">
        <f t="shared" si="179"/>
        <v>2025-05-1</v>
      </c>
      <c r="G2271" t="str">
        <f t="shared" si="175"/>
        <v>NOELI SALETE</v>
      </c>
      <c r="H2271" t="str">
        <f t="shared" si="176"/>
        <v>SMARTCENTER SOLUCOES INTELIGENTES LTDA ME</v>
      </c>
      <c r="I2271">
        <f t="shared" si="177"/>
        <v>0</v>
      </c>
      <c r="J2271">
        <f t="shared" si="178"/>
        <v>1</v>
      </c>
    </row>
    <row r="2272" spans="1:10" x14ac:dyDescent="0.25">
      <c r="A2272" t="s">
        <v>523</v>
      </c>
      <c r="B2272" t="s">
        <v>284</v>
      </c>
      <c r="C2272" t="s">
        <v>56</v>
      </c>
      <c r="D2272" s="6">
        <v>45790</v>
      </c>
      <c r="E2272" t="str">
        <f>VLOOKUP(B2272,'PROCV GERENTES BD'!A:B,2,0)</f>
        <v>ALISSON DE SOUZA LIMA</v>
      </c>
      <c r="F2272" s="4" t="str">
        <f t="shared" si="179"/>
        <v>2025-05-1</v>
      </c>
      <c r="G2272" t="str">
        <f t="shared" si="175"/>
        <v>ALISSON DE SOUZA LIMA</v>
      </c>
      <c r="H2272" t="str">
        <f t="shared" si="176"/>
        <v>COMERCIAL GTS INFORMATICA LTDA EPP</v>
      </c>
      <c r="I2272">
        <f t="shared" si="177"/>
        <v>0</v>
      </c>
      <c r="J2272">
        <f t="shared" si="178"/>
        <v>1</v>
      </c>
    </row>
    <row r="2273" spans="1:10" x14ac:dyDescent="0.25">
      <c r="A2273" t="s">
        <v>495</v>
      </c>
      <c r="B2273" t="s">
        <v>251</v>
      </c>
      <c r="C2273" t="s">
        <v>56</v>
      </c>
      <c r="D2273" s="6">
        <v>45790</v>
      </c>
      <c r="E2273" t="str">
        <f>VLOOKUP(B2273,'PROCV GERENTES BD'!A:B,2,0)</f>
        <v xml:space="preserve">ROGERIO </v>
      </c>
      <c r="F2273" s="4" t="str">
        <f t="shared" si="179"/>
        <v>2025-05-1</v>
      </c>
      <c r="G2273" t="str">
        <f t="shared" si="175"/>
        <v xml:space="preserve">ROGERIO </v>
      </c>
      <c r="H2273" t="str">
        <f t="shared" si="176"/>
        <v>MUNDO AGRO COMERCIO E DISTRIBUICAO DE CALCADOS LTD</v>
      </c>
      <c r="I2273">
        <f t="shared" si="177"/>
        <v>0</v>
      </c>
      <c r="J2273">
        <f t="shared" si="178"/>
        <v>1</v>
      </c>
    </row>
    <row r="2274" spans="1:10" x14ac:dyDescent="0.25">
      <c r="A2274" t="s">
        <v>70</v>
      </c>
      <c r="B2274" t="s">
        <v>71</v>
      </c>
      <c r="C2274" t="s">
        <v>56</v>
      </c>
      <c r="D2274" s="6">
        <v>45790</v>
      </c>
      <c r="E2274" t="str">
        <f>VLOOKUP(B2274,'PROCV GERENTES BD'!A:B,2,0)</f>
        <v>SEM GERENTE</v>
      </c>
      <c r="F2274" s="4" t="str">
        <f t="shared" si="179"/>
        <v>2025-05-1</v>
      </c>
      <c r="G2274" t="str">
        <f t="shared" si="175"/>
        <v>SEM GERENTE</v>
      </c>
      <c r="H2274" t="str">
        <f t="shared" si="176"/>
        <v>SOCIAL S/A</v>
      </c>
      <c r="I2274">
        <f t="shared" si="177"/>
        <v>0</v>
      </c>
      <c r="J2274">
        <f t="shared" si="178"/>
        <v>1</v>
      </c>
    </row>
    <row r="2275" spans="1:10" x14ac:dyDescent="0.25">
      <c r="A2275" t="s">
        <v>361</v>
      </c>
      <c r="B2275" t="s">
        <v>103</v>
      </c>
      <c r="C2275" t="s">
        <v>56</v>
      </c>
      <c r="D2275" s="6">
        <v>45790</v>
      </c>
      <c r="E2275" t="str">
        <f>VLOOKUP(B2275,'PROCV GERENTES BD'!A:B,2,0)</f>
        <v>PRISCILA METZ</v>
      </c>
      <c r="F2275" s="4" t="str">
        <f t="shared" si="179"/>
        <v>2025-05-1</v>
      </c>
      <c r="G2275" t="str">
        <f t="shared" si="175"/>
        <v>PRISCILA METZ</v>
      </c>
      <c r="H2275" t="str">
        <f t="shared" si="176"/>
        <v>ESSENZA INDUSTRIA QUIMICA LTDA</v>
      </c>
      <c r="I2275">
        <f t="shared" si="177"/>
        <v>0</v>
      </c>
      <c r="J2275">
        <f t="shared" si="178"/>
        <v>1</v>
      </c>
    </row>
    <row r="2276" spans="1:10" x14ac:dyDescent="0.25">
      <c r="A2276" t="s">
        <v>64</v>
      </c>
      <c r="B2276" t="s">
        <v>65</v>
      </c>
      <c r="C2276" t="s">
        <v>56</v>
      </c>
      <c r="D2276" s="6">
        <v>45790</v>
      </c>
      <c r="E2276" t="str">
        <f>VLOOKUP(B2276,'PROCV GERENTES BD'!A:B,2,0)</f>
        <v>ADMINISTRAÇÃO</v>
      </c>
      <c r="F2276" s="4" t="str">
        <f t="shared" si="179"/>
        <v>2025-05-1</v>
      </c>
      <c r="G2276" t="str">
        <f t="shared" si="175"/>
        <v>ADMINISTRAÇÃO</v>
      </c>
      <c r="H2276" t="str">
        <f t="shared" si="176"/>
        <v>BIOTECH LOGISTICA LTDA</v>
      </c>
      <c r="I2276">
        <f t="shared" si="177"/>
        <v>0</v>
      </c>
      <c r="J2276">
        <f t="shared" si="178"/>
        <v>1</v>
      </c>
    </row>
    <row r="2277" spans="1:10" x14ac:dyDescent="0.25">
      <c r="A2277" t="s">
        <v>521</v>
      </c>
      <c r="B2277" t="s">
        <v>282</v>
      </c>
      <c r="C2277" t="s">
        <v>56</v>
      </c>
      <c r="D2277" s="6">
        <v>45790</v>
      </c>
      <c r="E2277" t="str">
        <f>VLOOKUP(B2277,'PROCV GERENTES BD'!A:B,2,0)</f>
        <v>ALISSON DE SOUZA LIMA</v>
      </c>
      <c r="F2277" s="4" t="str">
        <f t="shared" si="179"/>
        <v>2025-05-1</v>
      </c>
      <c r="G2277" t="str">
        <f t="shared" si="175"/>
        <v>ALISSON DE SOUZA LIMA</v>
      </c>
      <c r="H2277" t="str">
        <f t="shared" si="176"/>
        <v>COMERCIAL JLX DISTRIBUIDORA LTDA ME</v>
      </c>
      <c r="I2277">
        <f t="shared" si="177"/>
        <v>0</v>
      </c>
      <c r="J2277">
        <f t="shared" si="178"/>
        <v>1</v>
      </c>
    </row>
    <row r="2278" spans="1:10" x14ac:dyDescent="0.25">
      <c r="A2278" t="s">
        <v>62</v>
      </c>
      <c r="B2278" t="s">
        <v>63</v>
      </c>
      <c r="C2278" t="s">
        <v>56</v>
      </c>
      <c r="D2278" s="6">
        <v>45790</v>
      </c>
      <c r="E2278" t="str">
        <f>VLOOKUP(B2278,'PROCV GERENTES BD'!A:B,2,0)</f>
        <v xml:space="preserve">ROGERIO </v>
      </c>
      <c r="F2278" s="4" t="str">
        <f t="shared" si="179"/>
        <v>2025-05-1</v>
      </c>
      <c r="G2278" t="str">
        <f t="shared" si="175"/>
        <v xml:space="preserve">ROGERIO </v>
      </c>
      <c r="H2278" t="str">
        <f t="shared" si="176"/>
        <v>RODOVIEIRA TRANSPORTE LTDA</v>
      </c>
      <c r="I2278">
        <f t="shared" si="177"/>
        <v>0</v>
      </c>
      <c r="J2278">
        <f t="shared" si="178"/>
        <v>1</v>
      </c>
    </row>
    <row r="2279" spans="1:10" x14ac:dyDescent="0.25">
      <c r="A2279" t="s">
        <v>339</v>
      </c>
      <c r="B2279" t="s">
        <v>151</v>
      </c>
      <c r="C2279" t="s">
        <v>56</v>
      </c>
      <c r="D2279" s="6">
        <v>45790</v>
      </c>
      <c r="E2279" t="str">
        <f>VLOOKUP(B2279,'PROCV GERENTES BD'!A:B,2,0)</f>
        <v>ADMINISTRAÇÃO</v>
      </c>
      <c r="F2279" s="4" t="str">
        <f t="shared" si="179"/>
        <v>2025-05-1</v>
      </c>
      <c r="G2279" t="str">
        <f t="shared" si="175"/>
        <v>ADMINISTRAÇÃO</v>
      </c>
      <c r="H2279" t="str">
        <f t="shared" si="176"/>
        <v>BOM PASTOR PAPEIS LTDA EM RECUPERACAO JUDICIAL</v>
      </c>
      <c r="I2279">
        <f t="shared" si="177"/>
        <v>0</v>
      </c>
      <c r="J2279">
        <f t="shared" si="178"/>
        <v>1</v>
      </c>
    </row>
    <row r="2280" spans="1:10" x14ac:dyDescent="0.25">
      <c r="A2280" t="s">
        <v>60</v>
      </c>
      <c r="B2280" t="s">
        <v>61</v>
      </c>
      <c r="C2280" t="s">
        <v>56</v>
      </c>
      <c r="D2280" s="6">
        <v>45790</v>
      </c>
      <c r="E2280" t="str">
        <f>VLOOKUP(B2280,'PROCV GERENTES BD'!A:B,2,0)</f>
        <v>CELIO PIMENTA</v>
      </c>
      <c r="F2280" s="4" t="str">
        <f t="shared" si="179"/>
        <v>2025-05-1</v>
      </c>
      <c r="G2280" t="str">
        <f t="shared" si="175"/>
        <v>CELIO PIMENTA</v>
      </c>
      <c r="H2280" t="str">
        <f t="shared" si="176"/>
        <v>WJ CALDEIRARIA INDUSTRIA E COMERCIO LTDA ME</v>
      </c>
      <c r="I2280">
        <f t="shared" si="177"/>
        <v>0</v>
      </c>
      <c r="J2280">
        <f t="shared" si="178"/>
        <v>1</v>
      </c>
    </row>
    <row r="2281" spans="1:10" x14ac:dyDescent="0.25">
      <c r="A2281" t="s">
        <v>314</v>
      </c>
      <c r="B2281" t="s">
        <v>108</v>
      </c>
      <c r="C2281" t="s">
        <v>72</v>
      </c>
      <c r="D2281" s="6">
        <v>45790</v>
      </c>
      <c r="E2281" t="str">
        <f>VLOOKUP(B2281,'PROCV GERENTES BD'!A:B,2,0)</f>
        <v>POENATELA</v>
      </c>
      <c r="F2281" s="4" t="str">
        <f t="shared" si="179"/>
        <v>2025-05-1</v>
      </c>
      <c r="G2281" t="str">
        <f t="shared" si="175"/>
        <v>POENATELA</v>
      </c>
      <c r="H2281" t="str">
        <f t="shared" si="176"/>
        <v>ECOPINUS INDUSTRIA E COMERCIO DE EMBALAGENS DE MAD</v>
      </c>
      <c r="I2281">
        <f t="shared" si="177"/>
        <v>1</v>
      </c>
      <c r="J2281">
        <f t="shared" si="178"/>
        <v>0</v>
      </c>
    </row>
    <row r="2282" spans="1:10" x14ac:dyDescent="0.25">
      <c r="A2282" t="s">
        <v>331</v>
      </c>
      <c r="B2282" t="s">
        <v>126</v>
      </c>
      <c r="C2282" t="s">
        <v>56</v>
      </c>
      <c r="D2282" s="6">
        <v>45790</v>
      </c>
      <c r="E2282" t="str">
        <f>VLOOKUP(B2282,'PROCV GERENTES BD'!A:B,2,0)</f>
        <v>FITZ</v>
      </c>
      <c r="F2282" s="4" t="str">
        <f t="shared" si="179"/>
        <v>2025-05-1</v>
      </c>
      <c r="G2282" t="str">
        <f t="shared" si="175"/>
        <v>FITZ</v>
      </c>
      <c r="H2282" t="str">
        <f t="shared" si="176"/>
        <v>TRANSHENRY TRANSPORTES LTDA</v>
      </c>
      <c r="I2282">
        <f t="shared" si="177"/>
        <v>0</v>
      </c>
      <c r="J2282">
        <f t="shared" si="178"/>
        <v>1</v>
      </c>
    </row>
    <row r="2283" spans="1:10" x14ac:dyDescent="0.25">
      <c r="A2283" t="s">
        <v>318</v>
      </c>
      <c r="B2283" t="s">
        <v>87</v>
      </c>
      <c r="C2283" t="s">
        <v>72</v>
      </c>
      <c r="D2283" s="6">
        <v>45790</v>
      </c>
      <c r="E2283" t="str">
        <f>VLOOKUP(B2283,'PROCV GERENTES BD'!A:B,2,0)</f>
        <v>CELIO PIMENTA</v>
      </c>
      <c r="F2283" s="4" t="str">
        <f t="shared" si="179"/>
        <v>2025-05-1</v>
      </c>
      <c r="G2283" t="str">
        <f t="shared" si="175"/>
        <v>CELIO PIMENTA</v>
      </c>
      <c r="H2283" t="str">
        <f t="shared" si="176"/>
        <v>MBIOLOG DIAGNOSTICOS LTDA</v>
      </c>
      <c r="I2283">
        <f t="shared" si="177"/>
        <v>1</v>
      </c>
      <c r="J2283">
        <f t="shared" si="178"/>
        <v>0</v>
      </c>
    </row>
    <row r="2284" spans="1:10" x14ac:dyDescent="0.25">
      <c r="A2284" t="s">
        <v>68</v>
      </c>
      <c r="B2284" t="s">
        <v>69</v>
      </c>
      <c r="C2284" t="s">
        <v>56</v>
      </c>
      <c r="D2284" s="6">
        <v>45790</v>
      </c>
      <c r="E2284" t="str">
        <f>VLOOKUP(B2284,'PROCV GERENTES BD'!A:B,2,0)</f>
        <v>FITZ</v>
      </c>
      <c r="F2284" s="4" t="str">
        <f t="shared" si="179"/>
        <v>2025-05-1</v>
      </c>
      <c r="G2284" t="str">
        <f t="shared" si="175"/>
        <v>FITZ</v>
      </c>
      <c r="H2284" t="str">
        <f t="shared" si="176"/>
        <v>MAPP COM IMPORTACAO EXPORTACAO IND PRODUTOS ALIMEN</v>
      </c>
      <c r="I2284">
        <f t="shared" si="177"/>
        <v>0</v>
      </c>
      <c r="J2284">
        <f t="shared" si="178"/>
        <v>1</v>
      </c>
    </row>
    <row r="2285" spans="1:10" x14ac:dyDescent="0.25">
      <c r="A2285" t="s">
        <v>333</v>
      </c>
      <c r="B2285" t="s">
        <v>129</v>
      </c>
      <c r="C2285" t="s">
        <v>56</v>
      </c>
      <c r="D2285" s="6">
        <v>45790</v>
      </c>
      <c r="E2285" t="str">
        <f>VLOOKUP(B2285,'PROCV GERENTES BD'!A:B,2,0)</f>
        <v xml:space="preserve">ROGERIO </v>
      </c>
      <c r="F2285" s="4" t="str">
        <f t="shared" si="179"/>
        <v>2025-05-1</v>
      </c>
      <c r="G2285" t="str">
        <f t="shared" si="175"/>
        <v xml:space="preserve">ROGERIO </v>
      </c>
      <c r="H2285" t="str">
        <f t="shared" si="176"/>
        <v>BIBE PRODUTOS INFANTIS LTDA</v>
      </c>
      <c r="I2285">
        <f t="shared" si="177"/>
        <v>0</v>
      </c>
      <c r="J2285">
        <f t="shared" si="178"/>
        <v>1</v>
      </c>
    </row>
    <row r="2286" spans="1:10" x14ac:dyDescent="0.25">
      <c r="A2286" t="s">
        <v>474</v>
      </c>
      <c r="B2286" t="s">
        <v>230</v>
      </c>
      <c r="C2286" t="s">
        <v>56</v>
      </c>
      <c r="D2286" s="6">
        <v>45791</v>
      </c>
      <c r="E2286" t="str">
        <f>VLOOKUP(B2286,'PROCV GERENTES BD'!A:B,2,0)</f>
        <v>CELIO PIMENTA</v>
      </c>
      <c r="F2286" s="4" t="str">
        <f t="shared" si="179"/>
        <v>2025-05-1</v>
      </c>
      <c r="G2286" t="str">
        <f t="shared" si="175"/>
        <v>CELIO PIMENTA</v>
      </c>
      <c r="H2286" t="str">
        <f t="shared" si="176"/>
        <v>ACO X LTDA ME</v>
      </c>
      <c r="I2286">
        <f t="shared" si="177"/>
        <v>0</v>
      </c>
      <c r="J2286">
        <f t="shared" si="178"/>
        <v>1</v>
      </c>
    </row>
    <row r="2287" spans="1:10" x14ac:dyDescent="0.25">
      <c r="A2287" t="s">
        <v>387</v>
      </c>
      <c r="B2287" t="s">
        <v>133</v>
      </c>
      <c r="C2287" t="s">
        <v>56</v>
      </c>
      <c r="D2287" s="6">
        <v>45791</v>
      </c>
      <c r="E2287" t="str">
        <f>VLOOKUP(B2287,'PROCV GERENTES BD'!A:B,2,0)</f>
        <v>ADMINISTRAÇÃO</v>
      </c>
      <c r="F2287" s="4" t="str">
        <f t="shared" si="179"/>
        <v>2025-05-1</v>
      </c>
      <c r="G2287" t="str">
        <f t="shared" si="175"/>
        <v>ADMINISTRAÇÃO</v>
      </c>
      <c r="H2287" t="str">
        <f t="shared" si="176"/>
        <v>ENXOVAIS MINAS LTDA ME</v>
      </c>
      <c r="I2287">
        <f t="shared" si="177"/>
        <v>0</v>
      </c>
      <c r="J2287">
        <f t="shared" si="178"/>
        <v>1</v>
      </c>
    </row>
    <row r="2288" spans="1:10" x14ac:dyDescent="0.25">
      <c r="A2288" t="s">
        <v>475</v>
      </c>
      <c r="B2288" t="s">
        <v>231</v>
      </c>
      <c r="C2288" t="s">
        <v>56</v>
      </c>
      <c r="D2288" s="6">
        <v>45791</v>
      </c>
      <c r="E2288" t="str">
        <f>VLOOKUP(B2288,'PROCV GERENTES BD'!A:B,2,0)</f>
        <v>DIOGO AZEVEDO</v>
      </c>
      <c r="F2288" s="4" t="str">
        <f t="shared" si="179"/>
        <v>2025-05-1</v>
      </c>
      <c r="G2288" t="str">
        <f t="shared" si="175"/>
        <v>DIOGO AZEVEDO</v>
      </c>
      <c r="H2288" t="str">
        <f t="shared" si="176"/>
        <v>VGS COMERCIO DE EMBALAGENS DE MADEIRAS LTDA ME</v>
      </c>
      <c r="I2288">
        <f t="shared" si="177"/>
        <v>0</v>
      </c>
      <c r="J2288">
        <f t="shared" si="178"/>
        <v>1</v>
      </c>
    </row>
    <row r="2289" spans="1:10" x14ac:dyDescent="0.25">
      <c r="A2289" t="s">
        <v>498</v>
      </c>
      <c r="B2289" t="s">
        <v>255</v>
      </c>
      <c r="C2289" t="s">
        <v>56</v>
      </c>
      <c r="D2289" s="6">
        <v>45791</v>
      </c>
      <c r="E2289" t="str">
        <f>VLOOKUP(B2289,'PROCV GERENTES BD'!A:B,2,0)</f>
        <v>PROSPECTAR</v>
      </c>
      <c r="F2289" s="4" t="str">
        <f t="shared" si="179"/>
        <v>2025-05-1</v>
      </c>
      <c r="G2289" t="str">
        <f t="shared" si="175"/>
        <v>PROSPECTAR</v>
      </c>
      <c r="H2289" t="str">
        <f t="shared" si="176"/>
        <v>PRODUTOS PORTEIRAO COM DIST E REP LTDA EPP</v>
      </c>
      <c r="I2289">
        <f t="shared" si="177"/>
        <v>0</v>
      </c>
      <c r="J2289">
        <f t="shared" si="178"/>
        <v>1</v>
      </c>
    </row>
    <row r="2290" spans="1:10" x14ac:dyDescent="0.25">
      <c r="A2290" t="s">
        <v>494</v>
      </c>
      <c r="B2290" t="s">
        <v>250</v>
      </c>
      <c r="C2290" t="s">
        <v>56</v>
      </c>
      <c r="D2290" s="6">
        <v>45791</v>
      </c>
      <c r="E2290" t="str">
        <f>VLOOKUP(B2290,'PROCV GERENTES BD'!A:B,2,0)</f>
        <v>NOELI SALETE</v>
      </c>
      <c r="F2290" s="4" t="str">
        <f t="shared" si="179"/>
        <v>2025-05-1</v>
      </c>
      <c r="G2290" t="str">
        <f t="shared" si="175"/>
        <v>NOELI SALETE</v>
      </c>
      <c r="H2290" t="str">
        <f t="shared" si="176"/>
        <v>SMARTCENTERGROUP COMERCIO DE EQUIPAMENTOS DE INFOR</v>
      </c>
      <c r="I2290">
        <f t="shared" si="177"/>
        <v>0</v>
      </c>
      <c r="J2290">
        <f t="shared" si="178"/>
        <v>1</v>
      </c>
    </row>
    <row r="2291" spans="1:10" x14ac:dyDescent="0.25">
      <c r="A2291" t="s">
        <v>321</v>
      </c>
      <c r="B2291" t="s">
        <v>253</v>
      </c>
      <c r="C2291" t="s">
        <v>56</v>
      </c>
      <c r="D2291" s="6">
        <v>45791</v>
      </c>
      <c r="E2291" t="str">
        <f>VLOOKUP(B2291,'PROCV GERENTES BD'!A:B,2,0)</f>
        <v>THAYNA/COMERCIAL</v>
      </c>
      <c r="F2291" s="4" t="str">
        <f t="shared" si="179"/>
        <v>2025-05-1</v>
      </c>
      <c r="G2291" t="str">
        <f t="shared" si="175"/>
        <v>THAYNA/COMERCIAL</v>
      </c>
      <c r="H2291" t="str">
        <f t="shared" si="176"/>
        <v>MUTCD CENTRO DE DISTRIBUICAO DE IND FABRICANTE DE</v>
      </c>
      <c r="I2291">
        <f t="shared" si="177"/>
        <v>0</v>
      </c>
      <c r="J2291">
        <f t="shared" si="178"/>
        <v>1</v>
      </c>
    </row>
    <row r="2292" spans="1:10" x14ac:dyDescent="0.25">
      <c r="A2292" t="s">
        <v>80</v>
      </c>
      <c r="B2292" t="s">
        <v>81</v>
      </c>
      <c r="C2292" t="s">
        <v>72</v>
      </c>
      <c r="D2292" s="6">
        <v>45791</v>
      </c>
      <c r="E2292" t="str">
        <f>VLOOKUP(B2292,'PROCV GERENTES BD'!A:B,2,0)</f>
        <v>CAIO</v>
      </c>
      <c r="F2292" s="4" t="str">
        <f t="shared" si="179"/>
        <v>2025-05-1</v>
      </c>
      <c r="G2292" t="str">
        <f t="shared" si="175"/>
        <v>CAIO</v>
      </c>
      <c r="H2292" t="str">
        <f t="shared" si="176"/>
        <v>TP DISTRIBUIDORA DE PECAS LTDA EPP</v>
      </c>
      <c r="I2292">
        <f t="shared" si="177"/>
        <v>1</v>
      </c>
      <c r="J2292">
        <f t="shared" si="178"/>
        <v>0</v>
      </c>
    </row>
    <row r="2293" spans="1:10" x14ac:dyDescent="0.25">
      <c r="A2293" t="s">
        <v>78</v>
      </c>
      <c r="B2293" t="s">
        <v>79</v>
      </c>
      <c r="C2293" t="s">
        <v>56</v>
      </c>
      <c r="D2293" s="6">
        <v>45791</v>
      </c>
      <c r="E2293" t="str">
        <f>VLOOKUP(B2293,'PROCV GERENTES BD'!A:B,2,0)</f>
        <v>NOELI SALETE</v>
      </c>
      <c r="F2293" s="4" t="str">
        <f t="shared" si="179"/>
        <v>2025-05-1</v>
      </c>
      <c r="G2293" t="str">
        <f t="shared" si="175"/>
        <v>NOELI SALETE</v>
      </c>
      <c r="H2293" t="str">
        <f t="shared" si="176"/>
        <v>SMARTCENTER SOLUCOES INTELIGENTES LTDA ME</v>
      </c>
      <c r="I2293">
        <f t="shared" si="177"/>
        <v>0</v>
      </c>
      <c r="J2293">
        <f t="shared" si="178"/>
        <v>1</v>
      </c>
    </row>
    <row r="2294" spans="1:10" x14ac:dyDescent="0.25">
      <c r="A2294" t="s">
        <v>436</v>
      </c>
      <c r="B2294" t="s">
        <v>186</v>
      </c>
      <c r="C2294" t="s">
        <v>59</v>
      </c>
      <c r="D2294" s="6">
        <v>45791</v>
      </c>
      <c r="E2294" t="str">
        <f>VLOOKUP(B2294,'PROCV GERENTES BD'!A:B,2,0)</f>
        <v xml:space="preserve">MARCUS VINICIUS </v>
      </c>
      <c r="F2294" s="4" t="str">
        <f t="shared" si="179"/>
        <v>2025-05-1</v>
      </c>
      <c r="G2294" t="str">
        <f t="shared" si="175"/>
        <v xml:space="preserve">MARCUS VINICIUS </v>
      </c>
      <c r="H2294" t="str">
        <f t="shared" si="176"/>
        <v>LABOR ELETRIC INDUSTRIA E COMERCIO UNIPESSOAL LTDA</v>
      </c>
      <c r="I2294">
        <f t="shared" si="177"/>
        <v>0</v>
      </c>
      <c r="J2294">
        <f t="shared" si="178"/>
        <v>0</v>
      </c>
    </row>
    <row r="2295" spans="1:10" x14ac:dyDescent="0.25">
      <c r="A2295" t="s">
        <v>524</v>
      </c>
      <c r="B2295" t="s">
        <v>286</v>
      </c>
      <c r="C2295" t="s">
        <v>56</v>
      </c>
      <c r="D2295" s="6">
        <v>45791</v>
      </c>
      <c r="E2295" t="str">
        <f>VLOOKUP(B2295,'PROCV GERENTES BD'!A:B,2,0)</f>
        <v xml:space="preserve">ROGERIO </v>
      </c>
      <c r="F2295" s="4" t="str">
        <f t="shared" si="179"/>
        <v>2025-05-1</v>
      </c>
      <c r="G2295" t="str">
        <f t="shared" si="175"/>
        <v xml:space="preserve">ROGERIO </v>
      </c>
      <c r="H2295" t="str">
        <f t="shared" si="176"/>
        <v>MUNDYSERVICE COMERCIO DE PECAS E ASSISTENCIA TECNI</v>
      </c>
      <c r="I2295">
        <f t="shared" si="177"/>
        <v>0</v>
      </c>
      <c r="J2295">
        <f t="shared" si="178"/>
        <v>1</v>
      </c>
    </row>
    <row r="2296" spans="1:10" x14ac:dyDescent="0.25">
      <c r="A2296" t="s">
        <v>70</v>
      </c>
      <c r="B2296" t="s">
        <v>71</v>
      </c>
      <c r="C2296" t="s">
        <v>56</v>
      </c>
      <c r="D2296" s="6">
        <v>45791</v>
      </c>
      <c r="E2296" t="str">
        <f>VLOOKUP(B2296,'PROCV GERENTES BD'!A:B,2,0)</f>
        <v>SEM GERENTE</v>
      </c>
      <c r="F2296" s="4" t="str">
        <f t="shared" si="179"/>
        <v>2025-05-1</v>
      </c>
      <c r="G2296" t="str">
        <f t="shared" si="175"/>
        <v>SEM GERENTE</v>
      </c>
      <c r="H2296" t="str">
        <f t="shared" si="176"/>
        <v>SOCIAL S/A</v>
      </c>
      <c r="I2296">
        <f t="shared" si="177"/>
        <v>0</v>
      </c>
      <c r="J2296">
        <f t="shared" si="178"/>
        <v>1</v>
      </c>
    </row>
    <row r="2297" spans="1:10" x14ac:dyDescent="0.25">
      <c r="A2297" t="s">
        <v>68</v>
      </c>
      <c r="B2297" t="s">
        <v>69</v>
      </c>
      <c r="C2297" t="s">
        <v>56</v>
      </c>
      <c r="D2297" s="6">
        <v>45791</v>
      </c>
      <c r="E2297" t="str">
        <f>VLOOKUP(B2297,'PROCV GERENTES BD'!A:B,2,0)</f>
        <v>FITZ</v>
      </c>
      <c r="F2297" s="4" t="str">
        <f t="shared" si="179"/>
        <v>2025-05-1</v>
      </c>
      <c r="G2297" t="str">
        <f t="shared" si="175"/>
        <v>FITZ</v>
      </c>
      <c r="H2297" t="str">
        <f t="shared" si="176"/>
        <v>MAPP COM IMPORTACAO EXPORTACAO IND PRODUTOS ALIMEN</v>
      </c>
      <c r="I2297">
        <f t="shared" si="177"/>
        <v>0</v>
      </c>
      <c r="J2297">
        <f t="shared" si="178"/>
        <v>1</v>
      </c>
    </row>
    <row r="2298" spans="1:10" x14ac:dyDescent="0.25">
      <c r="A2298" t="s">
        <v>507</v>
      </c>
      <c r="B2298" t="s">
        <v>265</v>
      </c>
      <c r="C2298" t="s">
        <v>72</v>
      </c>
      <c r="D2298" s="6">
        <v>45791</v>
      </c>
      <c r="E2298" t="str">
        <f>VLOOKUP(B2298,'PROCV GERENTES BD'!A:B,2,0)</f>
        <v>SEM GERENTE</v>
      </c>
      <c r="F2298" s="4" t="str">
        <f t="shared" si="179"/>
        <v>2025-05-1</v>
      </c>
      <c r="G2298" t="str">
        <f t="shared" si="175"/>
        <v>SEM GERENTE</v>
      </c>
      <c r="H2298" t="str">
        <f t="shared" si="176"/>
        <v>PLATINUM INDUSTRIA DE CONFECCOES LTDA</v>
      </c>
      <c r="I2298">
        <f t="shared" si="177"/>
        <v>1</v>
      </c>
      <c r="J2298">
        <f t="shared" si="178"/>
        <v>0</v>
      </c>
    </row>
    <row r="2299" spans="1:10" x14ac:dyDescent="0.25">
      <c r="A2299" t="s">
        <v>324</v>
      </c>
      <c r="B2299" t="s">
        <v>287</v>
      </c>
      <c r="C2299" t="s">
        <v>56</v>
      </c>
      <c r="D2299" s="6">
        <v>45791</v>
      </c>
      <c r="E2299" t="str">
        <f>VLOOKUP(B2299,'PROCV GERENTES BD'!A:B,2,0)</f>
        <v>PROSPECTAR</v>
      </c>
      <c r="F2299" s="4" t="str">
        <f t="shared" si="179"/>
        <v>2025-05-1</v>
      </c>
      <c r="G2299" t="str">
        <f t="shared" si="175"/>
        <v>PROSPECTAR</v>
      </c>
      <c r="H2299" t="str">
        <f t="shared" si="176"/>
        <v>STA TECHCANA LTDA</v>
      </c>
      <c r="I2299">
        <f t="shared" si="177"/>
        <v>0</v>
      </c>
      <c r="J2299">
        <f t="shared" si="178"/>
        <v>1</v>
      </c>
    </row>
    <row r="2300" spans="1:10" x14ac:dyDescent="0.25">
      <c r="A2300" t="s">
        <v>361</v>
      </c>
      <c r="B2300" t="s">
        <v>103</v>
      </c>
      <c r="C2300" t="s">
        <v>56</v>
      </c>
      <c r="D2300" s="6">
        <v>45791</v>
      </c>
      <c r="E2300" t="str">
        <f>VLOOKUP(B2300,'PROCV GERENTES BD'!A:B,2,0)</f>
        <v>PRISCILA METZ</v>
      </c>
      <c r="F2300" s="4" t="str">
        <f t="shared" si="179"/>
        <v>2025-05-1</v>
      </c>
      <c r="G2300" t="str">
        <f t="shared" si="175"/>
        <v>PRISCILA METZ</v>
      </c>
      <c r="H2300" t="str">
        <f t="shared" si="176"/>
        <v>ESSENZA INDUSTRIA QUIMICA LTDA</v>
      </c>
      <c r="I2300">
        <f t="shared" si="177"/>
        <v>0</v>
      </c>
      <c r="J2300">
        <f t="shared" si="178"/>
        <v>1</v>
      </c>
    </row>
    <row r="2301" spans="1:10" x14ac:dyDescent="0.25">
      <c r="A2301" t="s">
        <v>62</v>
      </c>
      <c r="B2301" t="s">
        <v>63</v>
      </c>
      <c r="C2301" t="s">
        <v>59</v>
      </c>
      <c r="D2301" s="6">
        <v>45791</v>
      </c>
      <c r="E2301" t="str">
        <f>VLOOKUP(B2301,'PROCV GERENTES BD'!A:B,2,0)</f>
        <v xml:space="preserve">ROGERIO </v>
      </c>
      <c r="F2301" s="4" t="str">
        <f t="shared" si="179"/>
        <v>2025-05-1</v>
      </c>
      <c r="G2301" t="str">
        <f t="shared" si="175"/>
        <v xml:space="preserve">ROGERIO </v>
      </c>
      <c r="H2301" t="str">
        <f t="shared" si="176"/>
        <v>RODOVIEIRA TRANSPORTE LTDA</v>
      </c>
      <c r="I2301">
        <f t="shared" si="177"/>
        <v>0</v>
      </c>
      <c r="J2301">
        <f t="shared" si="178"/>
        <v>0</v>
      </c>
    </row>
    <row r="2302" spans="1:10" x14ac:dyDescent="0.25">
      <c r="A2302" t="s">
        <v>366</v>
      </c>
      <c r="B2302" t="s">
        <v>111</v>
      </c>
      <c r="C2302" t="s">
        <v>56</v>
      </c>
      <c r="D2302" s="6">
        <v>45791</v>
      </c>
      <c r="E2302" t="str">
        <f>VLOOKUP(B2302,'PROCV GERENTES BD'!A:B,2,0)</f>
        <v>DIOGO AZEVEDO</v>
      </c>
      <c r="F2302" s="4" t="str">
        <f t="shared" si="179"/>
        <v>2025-05-1</v>
      </c>
      <c r="G2302" t="str">
        <f t="shared" si="175"/>
        <v>DIOGO AZEVEDO</v>
      </c>
      <c r="H2302" t="str">
        <f t="shared" si="176"/>
        <v>INDUSTRIA E CERVEJARIA ARTESANAL DE MINAS GERAIS L</v>
      </c>
      <c r="I2302">
        <f t="shared" si="177"/>
        <v>0</v>
      </c>
      <c r="J2302">
        <f t="shared" si="178"/>
        <v>1</v>
      </c>
    </row>
    <row r="2303" spans="1:10" x14ac:dyDescent="0.25">
      <c r="A2303" t="s">
        <v>525</v>
      </c>
      <c r="B2303" t="s">
        <v>288</v>
      </c>
      <c r="C2303" t="s">
        <v>56</v>
      </c>
      <c r="D2303" s="6">
        <v>45791</v>
      </c>
      <c r="E2303" t="str">
        <f>VLOOKUP(B2303,'PROCV GERENTES BD'!A:B,2,0)</f>
        <v>CAIO</v>
      </c>
      <c r="F2303" s="4" t="str">
        <f t="shared" si="179"/>
        <v>2025-05-1</v>
      </c>
      <c r="G2303" t="str">
        <f t="shared" si="175"/>
        <v>CAIO</v>
      </c>
      <c r="H2303" t="str">
        <f t="shared" si="176"/>
        <v>DLTX INDUSTRIA E COMERCIO LTDA EPP</v>
      </c>
      <c r="I2303">
        <f t="shared" si="177"/>
        <v>0</v>
      </c>
      <c r="J2303">
        <f t="shared" si="178"/>
        <v>1</v>
      </c>
    </row>
    <row r="2304" spans="1:10" x14ac:dyDescent="0.25">
      <c r="A2304" t="s">
        <v>328</v>
      </c>
      <c r="B2304" t="s">
        <v>271</v>
      </c>
      <c r="C2304" t="s">
        <v>56</v>
      </c>
      <c r="D2304" s="6">
        <v>45791</v>
      </c>
      <c r="E2304" t="str">
        <f>VLOOKUP(B2304,'PROCV GERENTES BD'!A:B,2,0)</f>
        <v>RAFAEL PARISE</v>
      </c>
      <c r="F2304" s="4" t="str">
        <f t="shared" si="179"/>
        <v>2025-05-1</v>
      </c>
      <c r="G2304" t="str">
        <f t="shared" si="175"/>
        <v>RAFAEL PARISE</v>
      </c>
      <c r="H2304" t="str">
        <f t="shared" si="176"/>
        <v>METALCROMO METALIZACAO E CROMO DURO INDUSTRIAL LTD</v>
      </c>
      <c r="I2304">
        <f t="shared" si="177"/>
        <v>0</v>
      </c>
      <c r="J2304">
        <f t="shared" si="178"/>
        <v>1</v>
      </c>
    </row>
    <row r="2305" spans="1:10" x14ac:dyDescent="0.25">
      <c r="A2305" t="s">
        <v>401</v>
      </c>
      <c r="B2305" t="s">
        <v>149</v>
      </c>
      <c r="C2305" t="s">
        <v>72</v>
      </c>
      <c r="D2305" s="6">
        <v>45791</v>
      </c>
      <c r="E2305" t="str">
        <f>VLOOKUP(B2305,'PROCV GERENTES BD'!A:B,2,0)</f>
        <v>THIAGO THEODORO</v>
      </c>
      <c r="F2305" s="4" t="str">
        <f t="shared" si="179"/>
        <v>2025-05-1</v>
      </c>
      <c r="G2305" t="str">
        <f t="shared" si="175"/>
        <v>THIAGO THEODORO</v>
      </c>
      <c r="H2305" t="str">
        <f t="shared" si="176"/>
        <v>MONTAGEM MINAS GERAIS LTDA ME</v>
      </c>
      <c r="I2305">
        <f t="shared" si="177"/>
        <v>1</v>
      </c>
      <c r="J2305">
        <f t="shared" si="178"/>
        <v>0</v>
      </c>
    </row>
    <row r="2306" spans="1:10" x14ac:dyDescent="0.25">
      <c r="A2306" t="s">
        <v>60</v>
      </c>
      <c r="B2306" t="s">
        <v>61</v>
      </c>
      <c r="C2306" t="s">
        <v>56</v>
      </c>
      <c r="D2306" s="6">
        <v>45791</v>
      </c>
      <c r="E2306" t="str">
        <f>VLOOKUP(B2306,'PROCV GERENTES BD'!A:B,2,0)</f>
        <v>CELIO PIMENTA</v>
      </c>
      <c r="F2306" s="4" t="str">
        <f t="shared" si="179"/>
        <v>2025-05-1</v>
      </c>
      <c r="G2306" t="str">
        <f t="shared" ref="G2306:G2369" si="180">E2306</f>
        <v>CELIO PIMENTA</v>
      </c>
      <c r="H2306" t="str">
        <f t="shared" ref="H2306:H2369" si="181">B2306</f>
        <v>WJ CALDEIRARIA INDUSTRIA E COMERCIO LTDA ME</v>
      </c>
      <c r="I2306">
        <f t="shared" ref="I2306:I2369" si="182">IF(C2306="EXCLUSAO  ANOT.INADIMPLENCIA",1,0)</f>
        <v>0</v>
      </c>
      <c r="J2306">
        <f t="shared" ref="J2306:J2369" si="183">IF(C2306="INCLUSAO  ANOT.INADIMPLENCIA",1,0)</f>
        <v>1</v>
      </c>
    </row>
    <row r="2307" spans="1:10" x14ac:dyDescent="0.25">
      <c r="A2307" t="s">
        <v>314</v>
      </c>
      <c r="B2307" t="s">
        <v>108</v>
      </c>
      <c r="C2307" t="s">
        <v>56</v>
      </c>
      <c r="D2307" s="6">
        <v>45791</v>
      </c>
      <c r="E2307" t="str">
        <f>VLOOKUP(B2307,'PROCV GERENTES BD'!A:B,2,0)</f>
        <v>POENATELA</v>
      </c>
      <c r="F2307" s="4" t="str">
        <f t="shared" ref="F2307:F2370" si="184">YEAR(D2307)&amp;"-"&amp;TEXT(MONTH(D2307),"00")&amp;"-"&amp;IF(DAY(D2307)&lt;=15,"1",IF(DAY(D2307)&gt;15,"2",""))</f>
        <v>2025-05-1</v>
      </c>
      <c r="G2307" t="str">
        <f t="shared" si="180"/>
        <v>POENATELA</v>
      </c>
      <c r="H2307" t="str">
        <f t="shared" si="181"/>
        <v>ECOPINUS INDUSTRIA E COMERCIO DE EMBALAGENS DE MAD</v>
      </c>
      <c r="I2307">
        <f t="shared" si="182"/>
        <v>0</v>
      </c>
      <c r="J2307">
        <f t="shared" si="183"/>
        <v>1</v>
      </c>
    </row>
    <row r="2308" spans="1:10" x14ac:dyDescent="0.25">
      <c r="A2308" t="s">
        <v>57</v>
      </c>
      <c r="B2308" t="s">
        <v>58</v>
      </c>
      <c r="C2308" t="s">
        <v>56</v>
      </c>
      <c r="D2308" s="6">
        <v>45791</v>
      </c>
      <c r="E2308" t="str">
        <f>VLOOKUP(B2308,'PROCV GERENTES BD'!A:B,2,0)</f>
        <v>RAFAEL PARISE</v>
      </c>
      <c r="F2308" s="4" t="str">
        <f t="shared" si="184"/>
        <v>2025-05-1</v>
      </c>
      <c r="G2308" t="str">
        <f t="shared" si="180"/>
        <v>RAFAEL PARISE</v>
      </c>
      <c r="H2308" t="str">
        <f t="shared" si="181"/>
        <v>TDR TRANSPORTES LOGISTICA LTDA</v>
      </c>
      <c r="I2308">
        <f t="shared" si="182"/>
        <v>0</v>
      </c>
      <c r="J2308">
        <f t="shared" si="183"/>
        <v>1</v>
      </c>
    </row>
    <row r="2309" spans="1:10" x14ac:dyDescent="0.25">
      <c r="A2309" t="s">
        <v>331</v>
      </c>
      <c r="B2309" t="s">
        <v>126</v>
      </c>
      <c r="C2309" t="s">
        <v>56</v>
      </c>
      <c r="D2309" s="6">
        <v>45791</v>
      </c>
      <c r="E2309" t="str">
        <f>VLOOKUP(B2309,'PROCV GERENTES BD'!A:B,2,0)</f>
        <v>FITZ</v>
      </c>
      <c r="F2309" s="4" t="str">
        <f t="shared" si="184"/>
        <v>2025-05-1</v>
      </c>
      <c r="G2309" t="str">
        <f t="shared" si="180"/>
        <v>FITZ</v>
      </c>
      <c r="H2309" t="str">
        <f t="shared" si="181"/>
        <v>TRANSHENRY TRANSPORTES LTDA</v>
      </c>
      <c r="I2309">
        <f t="shared" si="182"/>
        <v>0</v>
      </c>
      <c r="J2309">
        <f t="shared" si="183"/>
        <v>1</v>
      </c>
    </row>
    <row r="2310" spans="1:10" x14ac:dyDescent="0.25">
      <c r="A2310" t="s">
        <v>313</v>
      </c>
      <c r="B2310" t="s">
        <v>273</v>
      </c>
      <c r="C2310" t="s">
        <v>56</v>
      </c>
      <c r="D2310" s="6">
        <v>45791</v>
      </c>
      <c r="E2310" t="str">
        <f>VLOOKUP(B2310,'PROCV GERENTES BD'!A:B,2,0)</f>
        <v>CAIO</v>
      </c>
      <c r="F2310" s="4" t="str">
        <f t="shared" si="184"/>
        <v>2025-05-1</v>
      </c>
      <c r="G2310" t="str">
        <f t="shared" si="180"/>
        <v>CAIO</v>
      </c>
      <c r="H2310" t="str">
        <f t="shared" si="181"/>
        <v>MECALD MECANICA E CALDEIRARIA LTDA EPP</v>
      </c>
      <c r="I2310">
        <f t="shared" si="182"/>
        <v>0</v>
      </c>
      <c r="J2310">
        <f t="shared" si="183"/>
        <v>1</v>
      </c>
    </row>
    <row r="2311" spans="1:10" x14ac:dyDescent="0.25">
      <c r="A2311" t="s">
        <v>312</v>
      </c>
      <c r="B2311" t="s">
        <v>148</v>
      </c>
      <c r="C2311" t="s">
        <v>72</v>
      </c>
      <c r="D2311" s="6">
        <v>45791</v>
      </c>
      <c r="E2311" t="str">
        <f>VLOOKUP(B2311,'PROCV GERENTES BD'!A:B,2,0)</f>
        <v>NOELI SALETE</v>
      </c>
      <c r="F2311" s="4" t="str">
        <f t="shared" si="184"/>
        <v>2025-05-1</v>
      </c>
      <c r="G2311" t="str">
        <f t="shared" si="180"/>
        <v>NOELI SALETE</v>
      </c>
      <c r="H2311" t="str">
        <f t="shared" si="181"/>
        <v>JMS EMBALAGENS INDUSTRIAIS LTDA</v>
      </c>
      <c r="I2311">
        <f t="shared" si="182"/>
        <v>1</v>
      </c>
      <c r="J2311">
        <f t="shared" si="183"/>
        <v>0</v>
      </c>
    </row>
    <row r="2312" spans="1:10" x14ac:dyDescent="0.25">
      <c r="A2312" t="s">
        <v>332</v>
      </c>
      <c r="B2312" t="s">
        <v>145</v>
      </c>
      <c r="C2312" t="s">
        <v>72</v>
      </c>
      <c r="D2312" s="6">
        <v>45791</v>
      </c>
      <c r="E2312" t="str">
        <f>VLOOKUP(B2312,'PROCV GERENTES BD'!A:B,2,0)</f>
        <v>SEM GERENTE</v>
      </c>
      <c r="F2312" s="4" t="str">
        <f t="shared" si="184"/>
        <v>2025-05-1</v>
      </c>
      <c r="G2312" t="str">
        <f t="shared" si="180"/>
        <v>SEM GERENTE</v>
      </c>
      <c r="H2312" t="str">
        <f t="shared" si="181"/>
        <v>ALLIAGE S A INDUSTRIAS MEDICO ODONTOLOGICA</v>
      </c>
      <c r="I2312">
        <f t="shared" si="182"/>
        <v>1</v>
      </c>
      <c r="J2312">
        <f t="shared" si="183"/>
        <v>0</v>
      </c>
    </row>
    <row r="2313" spans="1:10" x14ac:dyDescent="0.25">
      <c r="A2313" t="s">
        <v>518</v>
      </c>
      <c r="B2313" t="s">
        <v>280</v>
      </c>
      <c r="C2313" t="s">
        <v>72</v>
      </c>
      <c r="D2313" s="6">
        <v>45791</v>
      </c>
      <c r="E2313" t="str">
        <f>VLOOKUP(B2313,'PROCV GERENTES BD'!A:B,2,0)</f>
        <v>CELIO PIMENTA</v>
      </c>
      <c r="F2313" s="4" t="str">
        <f t="shared" si="184"/>
        <v>2025-05-1</v>
      </c>
      <c r="G2313" t="str">
        <f t="shared" si="180"/>
        <v>CELIO PIMENTA</v>
      </c>
      <c r="H2313" t="str">
        <f t="shared" si="181"/>
        <v>PRADO MOREIRA TEXTIL LTDA ME</v>
      </c>
      <c r="I2313">
        <f t="shared" si="182"/>
        <v>1</v>
      </c>
      <c r="J2313">
        <f t="shared" si="183"/>
        <v>0</v>
      </c>
    </row>
    <row r="2314" spans="1:10" x14ac:dyDescent="0.25">
      <c r="A2314" t="s">
        <v>318</v>
      </c>
      <c r="B2314" t="s">
        <v>87</v>
      </c>
      <c r="C2314" t="s">
        <v>56</v>
      </c>
      <c r="D2314" s="6">
        <v>45792</v>
      </c>
      <c r="E2314" t="str">
        <f>VLOOKUP(B2314,'PROCV GERENTES BD'!A:B,2,0)</f>
        <v>CELIO PIMENTA</v>
      </c>
      <c r="F2314" s="4" t="str">
        <f t="shared" si="184"/>
        <v>2025-05-1</v>
      </c>
      <c r="G2314" t="str">
        <f t="shared" si="180"/>
        <v>CELIO PIMENTA</v>
      </c>
      <c r="H2314" t="str">
        <f t="shared" si="181"/>
        <v>MBIOLOG DIAGNOSTICOS LTDA</v>
      </c>
      <c r="I2314">
        <f t="shared" si="182"/>
        <v>0</v>
      </c>
      <c r="J2314">
        <f t="shared" si="183"/>
        <v>1</v>
      </c>
    </row>
    <row r="2315" spans="1:10" x14ac:dyDescent="0.25">
      <c r="A2315" t="s">
        <v>331</v>
      </c>
      <c r="B2315" t="s">
        <v>126</v>
      </c>
      <c r="C2315" t="s">
        <v>72</v>
      </c>
      <c r="D2315" s="6">
        <v>45792</v>
      </c>
      <c r="E2315" t="str">
        <f>VLOOKUP(B2315,'PROCV GERENTES BD'!A:B,2,0)</f>
        <v>FITZ</v>
      </c>
      <c r="F2315" s="4" t="str">
        <f t="shared" si="184"/>
        <v>2025-05-1</v>
      </c>
      <c r="G2315" t="str">
        <f t="shared" si="180"/>
        <v>FITZ</v>
      </c>
      <c r="H2315" t="str">
        <f t="shared" si="181"/>
        <v>TRANSHENRY TRANSPORTES LTDA</v>
      </c>
      <c r="I2315">
        <f t="shared" si="182"/>
        <v>1</v>
      </c>
      <c r="J2315">
        <f t="shared" si="183"/>
        <v>0</v>
      </c>
    </row>
    <row r="2316" spans="1:10" x14ac:dyDescent="0.25">
      <c r="A2316" t="s">
        <v>57</v>
      </c>
      <c r="B2316" t="s">
        <v>58</v>
      </c>
      <c r="C2316" t="s">
        <v>56</v>
      </c>
      <c r="D2316" s="6">
        <v>45792</v>
      </c>
      <c r="E2316" t="str">
        <f>VLOOKUP(B2316,'PROCV GERENTES BD'!A:B,2,0)</f>
        <v>RAFAEL PARISE</v>
      </c>
      <c r="F2316" s="4" t="str">
        <f t="shared" si="184"/>
        <v>2025-05-1</v>
      </c>
      <c r="G2316" t="str">
        <f t="shared" si="180"/>
        <v>RAFAEL PARISE</v>
      </c>
      <c r="H2316" t="str">
        <f t="shared" si="181"/>
        <v>TDR TRANSPORTES LOGISTICA LTDA</v>
      </c>
      <c r="I2316">
        <f t="shared" si="182"/>
        <v>0</v>
      </c>
      <c r="J2316">
        <f t="shared" si="183"/>
        <v>1</v>
      </c>
    </row>
    <row r="2317" spans="1:10" x14ac:dyDescent="0.25">
      <c r="A2317" t="s">
        <v>395</v>
      </c>
      <c r="B2317" t="s">
        <v>141</v>
      </c>
      <c r="C2317" t="s">
        <v>56</v>
      </c>
      <c r="D2317" s="6">
        <v>45792</v>
      </c>
      <c r="E2317" t="str">
        <f>VLOOKUP(B2317,'PROCV GERENTES BD'!A:B,2,0)</f>
        <v>RAFAEL PARISE</v>
      </c>
      <c r="F2317" s="4" t="str">
        <f t="shared" si="184"/>
        <v>2025-05-1</v>
      </c>
      <c r="G2317" t="str">
        <f t="shared" si="180"/>
        <v>RAFAEL PARISE</v>
      </c>
      <c r="H2317" t="str">
        <f t="shared" si="181"/>
        <v>MAIS DISTRIBUIDORA LTDA</v>
      </c>
      <c r="I2317">
        <f t="shared" si="182"/>
        <v>0</v>
      </c>
      <c r="J2317">
        <f t="shared" si="183"/>
        <v>1</v>
      </c>
    </row>
    <row r="2318" spans="1:10" x14ac:dyDescent="0.25">
      <c r="A2318" t="s">
        <v>60</v>
      </c>
      <c r="B2318" t="s">
        <v>61</v>
      </c>
      <c r="C2318" t="s">
        <v>56</v>
      </c>
      <c r="D2318" s="6">
        <v>45792</v>
      </c>
      <c r="E2318" t="str">
        <f>VLOOKUP(B2318,'PROCV GERENTES BD'!A:B,2,0)</f>
        <v>CELIO PIMENTA</v>
      </c>
      <c r="F2318" s="4" t="str">
        <f t="shared" si="184"/>
        <v>2025-05-1</v>
      </c>
      <c r="G2318" t="str">
        <f t="shared" si="180"/>
        <v>CELIO PIMENTA</v>
      </c>
      <c r="H2318" t="str">
        <f t="shared" si="181"/>
        <v>WJ CALDEIRARIA INDUSTRIA E COMERCIO LTDA ME</v>
      </c>
      <c r="I2318">
        <f t="shared" si="182"/>
        <v>0</v>
      </c>
      <c r="J2318">
        <f t="shared" si="183"/>
        <v>1</v>
      </c>
    </row>
    <row r="2319" spans="1:10" x14ac:dyDescent="0.25">
      <c r="A2319" t="s">
        <v>327</v>
      </c>
      <c r="B2319" t="s">
        <v>212</v>
      </c>
      <c r="C2319" t="s">
        <v>56</v>
      </c>
      <c r="D2319" s="6">
        <v>45792</v>
      </c>
      <c r="E2319" t="str">
        <f>VLOOKUP(B2319,'PROCV GERENTES BD'!A:B,2,0)</f>
        <v xml:space="preserve">MARCUS VINICIUS </v>
      </c>
      <c r="F2319" s="4" t="str">
        <f t="shared" si="184"/>
        <v>2025-05-1</v>
      </c>
      <c r="G2319" t="str">
        <f t="shared" si="180"/>
        <v xml:space="preserve">MARCUS VINICIUS </v>
      </c>
      <c r="H2319" t="str">
        <f t="shared" si="181"/>
        <v>COMERCIAL GODINHO FERREIRA LTDA</v>
      </c>
      <c r="I2319">
        <f t="shared" si="182"/>
        <v>0</v>
      </c>
      <c r="J2319">
        <f t="shared" si="183"/>
        <v>1</v>
      </c>
    </row>
    <row r="2320" spans="1:10" x14ac:dyDescent="0.25">
      <c r="A2320" t="s">
        <v>62</v>
      </c>
      <c r="B2320" t="s">
        <v>63</v>
      </c>
      <c r="C2320" t="s">
        <v>56</v>
      </c>
      <c r="D2320" s="6">
        <v>45792</v>
      </c>
      <c r="E2320" t="str">
        <f>VLOOKUP(B2320,'PROCV GERENTES BD'!A:B,2,0)</f>
        <v xml:space="preserve">ROGERIO </v>
      </c>
      <c r="F2320" s="4" t="str">
        <f t="shared" si="184"/>
        <v>2025-05-1</v>
      </c>
      <c r="G2320" t="str">
        <f t="shared" si="180"/>
        <v xml:space="preserve">ROGERIO </v>
      </c>
      <c r="H2320" t="str">
        <f t="shared" si="181"/>
        <v>RODOVIEIRA TRANSPORTE LTDA</v>
      </c>
      <c r="I2320">
        <f t="shared" si="182"/>
        <v>0</v>
      </c>
      <c r="J2320">
        <f t="shared" si="183"/>
        <v>1</v>
      </c>
    </row>
    <row r="2321" spans="1:10" x14ac:dyDescent="0.25">
      <c r="A2321" t="s">
        <v>521</v>
      </c>
      <c r="B2321" t="s">
        <v>282</v>
      </c>
      <c r="C2321" t="s">
        <v>56</v>
      </c>
      <c r="D2321" s="6">
        <v>45792</v>
      </c>
      <c r="E2321" t="str">
        <f>VLOOKUP(B2321,'PROCV GERENTES BD'!A:B,2,0)</f>
        <v>ALISSON DE SOUZA LIMA</v>
      </c>
      <c r="F2321" s="4" t="str">
        <f t="shared" si="184"/>
        <v>2025-05-1</v>
      </c>
      <c r="G2321" t="str">
        <f t="shared" si="180"/>
        <v>ALISSON DE SOUZA LIMA</v>
      </c>
      <c r="H2321" t="str">
        <f t="shared" si="181"/>
        <v>COMERCIAL JLX DISTRIBUIDORA LTDA ME</v>
      </c>
      <c r="I2321">
        <f t="shared" si="182"/>
        <v>0</v>
      </c>
      <c r="J2321">
        <f t="shared" si="183"/>
        <v>1</v>
      </c>
    </row>
    <row r="2322" spans="1:10" x14ac:dyDescent="0.25">
      <c r="A2322" t="s">
        <v>361</v>
      </c>
      <c r="B2322" t="s">
        <v>103</v>
      </c>
      <c r="C2322" t="s">
        <v>72</v>
      </c>
      <c r="D2322" s="6">
        <v>45792</v>
      </c>
      <c r="E2322" t="str">
        <f>VLOOKUP(B2322,'PROCV GERENTES BD'!A:B,2,0)</f>
        <v>PRISCILA METZ</v>
      </c>
      <c r="F2322" s="4" t="str">
        <f t="shared" si="184"/>
        <v>2025-05-1</v>
      </c>
      <c r="G2322" t="str">
        <f t="shared" si="180"/>
        <v>PRISCILA METZ</v>
      </c>
      <c r="H2322" t="str">
        <f t="shared" si="181"/>
        <v>ESSENZA INDUSTRIA QUIMICA LTDA</v>
      </c>
      <c r="I2322">
        <f t="shared" si="182"/>
        <v>1</v>
      </c>
      <c r="J2322">
        <f t="shared" si="183"/>
        <v>0</v>
      </c>
    </row>
    <row r="2323" spans="1:10" x14ac:dyDescent="0.25">
      <c r="A2323" t="s">
        <v>360</v>
      </c>
      <c r="B2323" t="s">
        <v>102</v>
      </c>
      <c r="C2323" t="s">
        <v>56</v>
      </c>
      <c r="D2323" s="6">
        <v>45792</v>
      </c>
      <c r="E2323" t="str">
        <f>VLOOKUP(B2323,'PROCV GERENTES BD'!A:B,2,0)</f>
        <v>POENATELA</v>
      </c>
      <c r="F2323" s="4" t="str">
        <f t="shared" si="184"/>
        <v>2025-05-1</v>
      </c>
      <c r="G2323" t="str">
        <f t="shared" si="180"/>
        <v>POENATELA</v>
      </c>
      <c r="H2323" t="str">
        <f t="shared" si="181"/>
        <v>SUPER HARD TECNOLOGIA EM TRATAMENTO DE SUPERFICIES</v>
      </c>
      <c r="I2323">
        <f t="shared" si="182"/>
        <v>0</v>
      </c>
      <c r="J2323">
        <f t="shared" si="183"/>
        <v>1</v>
      </c>
    </row>
    <row r="2324" spans="1:10" x14ac:dyDescent="0.25">
      <c r="A2324" t="s">
        <v>68</v>
      </c>
      <c r="B2324" t="s">
        <v>69</v>
      </c>
      <c r="C2324" t="s">
        <v>56</v>
      </c>
      <c r="D2324" s="6">
        <v>45792</v>
      </c>
      <c r="E2324" t="str">
        <f>VLOOKUP(B2324,'PROCV GERENTES BD'!A:B,2,0)</f>
        <v>FITZ</v>
      </c>
      <c r="F2324" s="4" t="str">
        <f t="shared" si="184"/>
        <v>2025-05-1</v>
      </c>
      <c r="G2324" t="str">
        <f t="shared" si="180"/>
        <v>FITZ</v>
      </c>
      <c r="H2324" t="str">
        <f t="shared" si="181"/>
        <v>MAPP COM IMPORTACAO EXPORTACAO IND PRODUTOS ALIMEN</v>
      </c>
      <c r="I2324">
        <f t="shared" si="182"/>
        <v>0</v>
      </c>
      <c r="J2324">
        <f t="shared" si="183"/>
        <v>1</v>
      </c>
    </row>
    <row r="2325" spans="1:10" x14ac:dyDescent="0.25">
      <c r="A2325" t="s">
        <v>70</v>
      </c>
      <c r="B2325" t="s">
        <v>71</v>
      </c>
      <c r="C2325" t="s">
        <v>56</v>
      </c>
      <c r="D2325" s="6">
        <v>45792</v>
      </c>
      <c r="E2325" t="str">
        <f>VLOOKUP(B2325,'PROCV GERENTES BD'!A:B,2,0)</f>
        <v>SEM GERENTE</v>
      </c>
      <c r="F2325" s="4" t="str">
        <f t="shared" si="184"/>
        <v>2025-05-1</v>
      </c>
      <c r="G2325" t="str">
        <f t="shared" si="180"/>
        <v>SEM GERENTE</v>
      </c>
      <c r="H2325" t="str">
        <f t="shared" si="181"/>
        <v>SOCIAL S/A</v>
      </c>
      <c r="I2325">
        <f t="shared" si="182"/>
        <v>0</v>
      </c>
      <c r="J2325">
        <f t="shared" si="183"/>
        <v>1</v>
      </c>
    </row>
    <row r="2326" spans="1:10" x14ac:dyDescent="0.25">
      <c r="A2326" t="s">
        <v>322</v>
      </c>
      <c r="B2326" t="s">
        <v>277</v>
      </c>
      <c r="C2326" t="s">
        <v>56</v>
      </c>
      <c r="D2326" s="6">
        <v>45792</v>
      </c>
      <c r="E2326" t="str">
        <f>VLOOKUP(B2326,'PROCV GERENTES BD'!A:B,2,0)</f>
        <v>SEM GERENTE</v>
      </c>
      <c r="F2326" s="4" t="str">
        <f t="shared" si="184"/>
        <v>2025-05-1</v>
      </c>
      <c r="G2326" t="str">
        <f t="shared" si="180"/>
        <v>SEM GERENTE</v>
      </c>
      <c r="H2326" t="str">
        <f t="shared" si="181"/>
        <v>FAC INDUSTRIA E SERVICOS LTDA ME</v>
      </c>
      <c r="I2326">
        <f t="shared" si="182"/>
        <v>0</v>
      </c>
      <c r="J2326">
        <f t="shared" si="183"/>
        <v>1</v>
      </c>
    </row>
    <row r="2327" spans="1:10" x14ac:dyDescent="0.25">
      <c r="A2327" t="s">
        <v>443</v>
      </c>
      <c r="B2327" t="s">
        <v>193</v>
      </c>
      <c r="C2327" t="s">
        <v>56</v>
      </c>
      <c r="D2327" s="6">
        <v>45792</v>
      </c>
      <c r="E2327" t="str">
        <f>VLOOKUP(B2327,'PROCV GERENTES BD'!A:B,2,0)</f>
        <v>ADMINISTRAÇÃO</v>
      </c>
      <c r="F2327" s="4" t="str">
        <f t="shared" si="184"/>
        <v>2025-05-1</v>
      </c>
      <c r="G2327" t="str">
        <f t="shared" si="180"/>
        <v>ADMINISTRAÇÃO</v>
      </c>
      <c r="H2327" t="str">
        <f t="shared" si="181"/>
        <v>CALDEM CONSTRUCOES MECANICAS LTDA EPP</v>
      </c>
      <c r="I2327">
        <f t="shared" si="182"/>
        <v>0</v>
      </c>
      <c r="J2327">
        <f t="shared" si="183"/>
        <v>1</v>
      </c>
    </row>
    <row r="2328" spans="1:10" x14ac:dyDescent="0.25">
      <c r="A2328" t="s">
        <v>506</v>
      </c>
      <c r="B2328" t="s">
        <v>263</v>
      </c>
      <c r="C2328" t="s">
        <v>72</v>
      </c>
      <c r="D2328" s="6">
        <v>45792</v>
      </c>
      <c r="E2328" t="str">
        <f>VLOOKUP(B2328,'PROCV GERENTES BD'!A:B,2,0)</f>
        <v>CELIO PIMENTA</v>
      </c>
      <c r="F2328" s="4" t="str">
        <f t="shared" si="184"/>
        <v>2025-05-1</v>
      </c>
      <c r="G2328" t="str">
        <f t="shared" si="180"/>
        <v>CELIO PIMENTA</v>
      </c>
      <c r="H2328" t="str">
        <f t="shared" si="181"/>
        <v>SEU TRATOR LTDA EPP</v>
      </c>
      <c r="I2328">
        <f t="shared" si="182"/>
        <v>1</v>
      </c>
      <c r="J2328">
        <f t="shared" si="183"/>
        <v>0</v>
      </c>
    </row>
    <row r="2329" spans="1:10" x14ac:dyDescent="0.25">
      <c r="A2329" t="s">
        <v>475</v>
      </c>
      <c r="B2329" t="s">
        <v>231</v>
      </c>
      <c r="C2329" t="s">
        <v>56</v>
      </c>
      <c r="D2329" s="6">
        <v>45792</v>
      </c>
      <c r="E2329" t="str">
        <f>VLOOKUP(B2329,'PROCV GERENTES BD'!A:B,2,0)</f>
        <v>DIOGO AZEVEDO</v>
      </c>
      <c r="F2329" s="4" t="str">
        <f t="shared" si="184"/>
        <v>2025-05-1</v>
      </c>
      <c r="G2329" t="str">
        <f t="shared" si="180"/>
        <v>DIOGO AZEVEDO</v>
      </c>
      <c r="H2329" t="str">
        <f t="shared" si="181"/>
        <v>VGS COMERCIO DE EMBALAGENS DE MADEIRAS LTDA ME</v>
      </c>
      <c r="I2329">
        <f t="shared" si="182"/>
        <v>0</v>
      </c>
      <c r="J2329">
        <f t="shared" si="183"/>
        <v>1</v>
      </c>
    </row>
    <row r="2330" spans="1:10" x14ac:dyDescent="0.25">
      <c r="A2330" t="s">
        <v>391</v>
      </c>
      <c r="B2330" t="s">
        <v>137</v>
      </c>
      <c r="C2330" t="s">
        <v>56</v>
      </c>
      <c r="D2330" s="6">
        <v>45793</v>
      </c>
      <c r="E2330" t="str">
        <f>VLOOKUP(B2330,'PROCV GERENTES BD'!A:B,2,0)</f>
        <v>CELIO PIMENTA</v>
      </c>
      <c r="F2330" s="4" t="str">
        <f t="shared" si="184"/>
        <v>2025-05-2</v>
      </c>
      <c r="G2330" t="str">
        <f t="shared" si="180"/>
        <v>CELIO PIMENTA</v>
      </c>
      <c r="H2330" t="str">
        <f t="shared" si="181"/>
        <v>JR X IMPORT LTDA EPP</v>
      </c>
      <c r="I2330">
        <f t="shared" si="182"/>
        <v>0</v>
      </c>
      <c r="J2330">
        <f t="shared" si="183"/>
        <v>1</v>
      </c>
    </row>
    <row r="2331" spans="1:10" x14ac:dyDescent="0.25">
      <c r="A2331" t="s">
        <v>322</v>
      </c>
      <c r="B2331" t="s">
        <v>277</v>
      </c>
      <c r="C2331" t="s">
        <v>56</v>
      </c>
      <c r="D2331" s="6">
        <v>45793</v>
      </c>
      <c r="E2331" t="str">
        <f>VLOOKUP(B2331,'PROCV GERENTES BD'!A:B,2,0)</f>
        <v>SEM GERENTE</v>
      </c>
      <c r="F2331" s="4" t="str">
        <f t="shared" si="184"/>
        <v>2025-05-2</v>
      </c>
      <c r="G2331" t="str">
        <f t="shared" si="180"/>
        <v>SEM GERENTE</v>
      </c>
      <c r="H2331" t="str">
        <f t="shared" si="181"/>
        <v>FAC INDUSTRIA E SERVICOS LTDA ME</v>
      </c>
      <c r="I2331">
        <f t="shared" si="182"/>
        <v>0</v>
      </c>
      <c r="J2331">
        <f t="shared" si="183"/>
        <v>1</v>
      </c>
    </row>
    <row r="2332" spans="1:10" x14ac:dyDescent="0.25">
      <c r="A2332" t="s">
        <v>378</v>
      </c>
      <c r="B2332" t="s">
        <v>121</v>
      </c>
      <c r="C2332" t="s">
        <v>72</v>
      </c>
      <c r="D2332" s="6">
        <v>45793</v>
      </c>
      <c r="E2332" t="str">
        <f>VLOOKUP(B2332,'PROCV GERENTES BD'!A:B,2,0)</f>
        <v>POENATELA</v>
      </c>
      <c r="F2332" s="4" t="str">
        <f t="shared" si="184"/>
        <v>2025-05-2</v>
      </c>
      <c r="G2332" t="str">
        <f t="shared" si="180"/>
        <v>POENATELA</v>
      </c>
      <c r="H2332" t="str">
        <f t="shared" si="181"/>
        <v>COOPERATIVA TRANSP AUTON CARGAS PASSAG SERVICOS LO</v>
      </c>
      <c r="I2332">
        <f t="shared" si="182"/>
        <v>1</v>
      </c>
      <c r="J2332">
        <f t="shared" si="183"/>
        <v>0</v>
      </c>
    </row>
    <row r="2333" spans="1:10" x14ac:dyDescent="0.25">
      <c r="A2333" t="s">
        <v>524</v>
      </c>
      <c r="B2333" t="s">
        <v>286</v>
      </c>
      <c r="C2333" t="s">
        <v>72</v>
      </c>
      <c r="D2333" s="6">
        <v>45793</v>
      </c>
      <c r="E2333" t="str">
        <f>VLOOKUP(B2333,'PROCV GERENTES BD'!A:B,2,0)</f>
        <v xml:space="preserve">ROGERIO </v>
      </c>
      <c r="F2333" s="4" t="str">
        <f t="shared" si="184"/>
        <v>2025-05-2</v>
      </c>
      <c r="G2333" t="str">
        <f t="shared" si="180"/>
        <v xml:space="preserve">ROGERIO </v>
      </c>
      <c r="H2333" t="str">
        <f t="shared" si="181"/>
        <v>MUNDYSERVICE COMERCIO DE PECAS E ASSISTENCIA TECNI</v>
      </c>
      <c r="I2333">
        <f t="shared" si="182"/>
        <v>1</v>
      </c>
      <c r="J2333">
        <f t="shared" si="183"/>
        <v>0</v>
      </c>
    </row>
    <row r="2334" spans="1:10" x14ac:dyDescent="0.25">
      <c r="A2334" t="s">
        <v>526</v>
      </c>
      <c r="B2334" t="s">
        <v>289</v>
      </c>
      <c r="C2334" t="s">
        <v>56</v>
      </c>
      <c r="D2334" s="6">
        <v>45793</v>
      </c>
      <c r="E2334" t="str">
        <f>VLOOKUP(B2334,'PROCV GERENTES BD'!A:B,2,0)</f>
        <v>ANTECIPA</v>
      </c>
      <c r="F2334" s="4" t="str">
        <f t="shared" si="184"/>
        <v>2025-05-2</v>
      </c>
      <c r="G2334" t="str">
        <f t="shared" si="180"/>
        <v>ANTECIPA</v>
      </c>
      <c r="H2334" t="str">
        <f t="shared" si="181"/>
        <v>CENTRAL DE SUPRIMENTOS INDUSTRIAIS LTDA EPP</v>
      </c>
      <c r="I2334">
        <f t="shared" si="182"/>
        <v>0</v>
      </c>
      <c r="J2334">
        <f t="shared" si="183"/>
        <v>1</v>
      </c>
    </row>
    <row r="2335" spans="1:10" x14ac:dyDescent="0.25">
      <c r="A2335" t="s">
        <v>70</v>
      </c>
      <c r="B2335" t="s">
        <v>71</v>
      </c>
      <c r="C2335" t="s">
        <v>72</v>
      </c>
      <c r="D2335" s="6">
        <v>45793</v>
      </c>
      <c r="E2335" t="str">
        <f>VLOOKUP(B2335,'PROCV GERENTES BD'!A:B,2,0)</f>
        <v>SEM GERENTE</v>
      </c>
      <c r="F2335" s="4" t="str">
        <f t="shared" si="184"/>
        <v>2025-05-2</v>
      </c>
      <c r="G2335" t="str">
        <f t="shared" si="180"/>
        <v>SEM GERENTE</v>
      </c>
      <c r="H2335" t="str">
        <f t="shared" si="181"/>
        <v>SOCIAL S/A</v>
      </c>
      <c r="I2335">
        <f t="shared" si="182"/>
        <v>1</v>
      </c>
      <c r="J2335">
        <f t="shared" si="183"/>
        <v>0</v>
      </c>
    </row>
    <row r="2336" spans="1:10" x14ac:dyDescent="0.25">
      <c r="A2336" t="s">
        <v>68</v>
      </c>
      <c r="B2336" t="s">
        <v>69</v>
      </c>
      <c r="C2336" t="s">
        <v>56</v>
      </c>
      <c r="D2336" s="6">
        <v>45793</v>
      </c>
      <c r="E2336" t="str">
        <f>VLOOKUP(B2336,'PROCV GERENTES BD'!A:B,2,0)</f>
        <v>FITZ</v>
      </c>
      <c r="F2336" s="4" t="str">
        <f t="shared" si="184"/>
        <v>2025-05-2</v>
      </c>
      <c r="G2336" t="str">
        <f t="shared" si="180"/>
        <v>FITZ</v>
      </c>
      <c r="H2336" t="str">
        <f t="shared" si="181"/>
        <v>MAPP COM IMPORTACAO EXPORTACAO IND PRODUTOS ALIMEN</v>
      </c>
      <c r="I2336">
        <f t="shared" si="182"/>
        <v>0</v>
      </c>
      <c r="J2336">
        <f t="shared" si="183"/>
        <v>1</v>
      </c>
    </row>
    <row r="2337" spans="1:10" x14ac:dyDescent="0.25">
      <c r="A2337" t="s">
        <v>527</v>
      </c>
      <c r="B2337" t="s">
        <v>290</v>
      </c>
      <c r="C2337" t="s">
        <v>56</v>
      </c>
      <c r="D2337" s="6">
        <v>45793</v>
      </c>
      <c r="E2337" t="str">
        <f>VLOOKUP(B2337,'PROCV GERENTES BD'!A:B,2,0)</f>
        <v>DALVA</v>
      </c>
      <c r="F2337" s="4" t="str">
        <f t="shared" si="184"/>
        <v>2025-05-2</v>
      </c>
      <c r="G2337" t="str">
        <f t="shared" si="180"/>
        <v>DALVA</v>
      </c>
      <c r="H2337" t="str">
        <f t="shared" si="181"/>
        <v>LTA USINAGEM LTDA EPP</v>
      </c>
      <c r="I2337">
        <f t="shared" si="182"/>
        <v>0</v>
      </c>
      <c r="J2337">
        <f t="shared" si="183"/>
        <v>1</v>
      </c>
    </row>
    <row r="2338" spans="1:10" x14ac:dyDescent="0.25">
      <c r="A2338" t="s">
        <v>360</v>
      </c>
      <c r="B2338" t="s">
        <v>102</v>
      </c>
      <c r="C2338" t="s">
        <v>72</v>
      </c>
      <c r="D2338" s="6">
        <v>45793</v>
      </c>
      <c r="E2338" t="str">
        <f>VLOOKUP(B2338,'PROCV GERENTES BD'!A:B,2,0)</f>
        <v>POENATELA</v>
      </c>
      <c r="F2338" s="4" t="str">
        <f t="shared" si="184"/>
        <v>2025-05-2</v>
      </c>
      <c r="G2338" t="str">
        <f t="shared" si="180"/>
        <v>POENATELA</v>
      </c>
      <c r="H2338" t="str">
        <f t="shared" si="181"/>
        <v>SUPER HARD TECNOLOGIA EM TRATAMENTO DE SUPERFICIES</v>
      </c>
      <c r="I2338">
        <f t="shared" si="182"/>
        <v>1</v>
      </c>
      <c r="J2338">
        <f t="shared" si="183"/>
        <v>0</v>
      </c>
    </row>
    <row r="2339" spans="1:10" x14ac:dyDescent="0.25">
      <c r="A2339" t="s">
        <v>521</v>
      </c>
      <c r="B2339" t="s">
        <v>282</v>
      </c>
      <c r="C2339" t="s">
        <v>56</v>
      </c>
      <c r="D2339" s="6">
        <v>45793</v>
      </c>
      <c r="E2339" t="str">
        <f>VLOOKUP(B2339,'PROCV GERENTES BD'!A:B,2,0)</f>
        <v>ALISSON DE SOUZA LIMA</v>
      </c>
      <c r="F2339" s="4" t="str">
        <f t="shared" si="184"/>
        <v>2025-05-2</v>
      </c>
      <c r="G2339" t="str">
        <f t="shared" si="180"/>
        <v>ALISSON DE SOUZA LIMA</v>
      </c>
      <c r="H2339" t="str">
        <f t="shared" si="181"/>
        <v>COMERCIAL JLX DISTRIBUIDORA LTDA ME</v>
      </c>
      <c r="I2339">
        <f t="shared" si="182"/>
        <v>0</v>
      </c>
      <c r="J2339">
        <f t="shared" si="183"/>
        <v>1</v>
      </c>
    </row>
    <row r="2340" spans="1:10" x14ac:dyDescent="0.25">
      <c r="A2340" t="s">
        <v>326</v>
      </c>
      <c r="B2340" t="s">
        <v>86</v>
      </c>
      <c r="C2340" t="s">
        <v>56</v>
      </c>
      <c r="D2340" s="6">
        <v>45793</v>
      </c>
      <c r="E2340" t="str">
        <f>VLOOKUP(B2340,'PROCV GERENTES BD'!A:B,2,0)</f>
        <v>CELIO PIMENTA</v>
      </c>
      <c r="F2340" s="4" t="str">
        <f t="shared" si="184"/>
        <v>2025-05-2</v>
      </c>
      <c r="G2340" t="str">
        <f t="shared" si="180"/>
        <v>CELIO PIMENTA</v>
      </c>
      <c r="H2340" t="str">
        <f t="shared" si="181"/>
        <v>IMPORTEXTIL COMERCIO DE TECIDOS LTDA</v>
      </c>
      <c r="I2340">
        <f t="shared" si="182"/>
        <v>0</v>
      </c>
      <c r="J2340">
        <f t="shared" si="183"/>
        <v>1</v>
      </c>
    </row>
    <row r="2341" spans="1:10" x14ac:dyDescent="0.25">
      <c r="A2341" t="s">
        <v>315</v>
      </c>
      <c r="B2341" t="s">
        <v>291</v>
      </c>
      <c r="C2341" t="s">
        <v>56</v>
      </c>
      <c r="D2341" s="6">
        <v>45793</v>
      </c>
      <c r="E2341" t="str">
        <f>VLOOKUP(B2341,'PROCV GERENTES BD'!A:B,2,0)</f>
        <v>CAIO</v>
      </c>
      <c r="F2341" s="4" t="str">
        <f t="shared" si="184"/>
        <v>2025-05-2</v>
      </c>
      <c r="G2341" t="str">
        <f t="shared" si="180"/>
        <v>CAIO</v>
      </c>
      <c r="H2341" t="str">
        <f t="shared" si="181"/>
        <v>GLOBALMAX INDUSTRIA PLASTICA S/A</v>
      </c>
      <c r="I2341">
        <f t="shared" si="182"/>
        <v>0</v>
      </c>
      <c r="J2341">
        <f t="shared" si="183"/>
        <v>1</v>
      </c>
    </row>
    <row r="2342" spans="1:10" x14ac:dyDescent="0.25">
      <c r="A2342" t="s">
        <v>395</v>
      </c>
      <c r="B2342" t="s">
        <v>141</v>
      </c>
      <c r="C2342" t="s">
        <v>56</v>
      </c>
      <c r="D2342" s="6">
        <v>45793</v>
      </c>
      <c r="E2342" t="str">
        <f>VLOOKUP(B2342,'PROCV GERENTES BD'!A:B,2,0)</f>
        <v>RAFAEL PARISE</v>
      </c>
      <c r="F2342" s="4" t="str">
        <f t="shared" si="184"/>
        <v>2025-05-2</v>
      </c>
      <c r="G2342" t="str">
        <f t="shared" si="180"/>
        <v>RAFAEL PARISE</v>
      </c>
      <c r="H2342" t="str">
        <f t="shared" si="181"/>
        <v>MAIS DISTRIBUIDORA LTDA</v>
      </c>
      <c r="I2342">
        <f t="shared" si="182"/>
        <v>0</v>
      </c>
      <c r="J2342">
        <f t="shared" si="183"/>
        <v>1</v>
      </c>
    </row>
    <row r="2343" spans="1:10" x14ac:dyDescent="0.25">
      <c r="A2343" t="s">
        <v>393</v>
      </c>
      <c r="B2343" t="s">
        <v>139</v>
      </c>
      <c r="C2343" t="s">
        <v>56</v>
      </c>
      <c r="D2343" s="6">
        <v>45793</v>
      </c>
      <c r="E2343" t="str">
        <f>VLOOKUP(B2343,'PROCV GERENTES BD'!A:B,2,0)</f>
        <v xml:space="preserve">MARCUS VINICIUS </v>
      </c>
      <c r="F2343" s="4" t="str">
        <f t="shared" si="184"/>
        <v>2025-05-2</v>
      </c>
      <c r="G2343" t="str">
        <f t="shared" si="180"/>
        <v xml:space="preserve">MARCUS VINICIUS </v>
      </c>
      <c r="H2343" t="str">
        <f t="shared" si="181"/>
        <v>RODOANEL REFORMADORA DE IMPLEMENTOS RODOVIARIOS LT</v>
      </c>
      <c r="I2343">
        <f t="shared" si="182"/>
        <v>0</v>
      </c>
      <c r="J2343">
        <f t="shared" si="183"/>
        <v>1</v>
      </c>
    </row>
    <row r="2344" spans="1:10" x14ac:dyDescent="0.25">
      <c r="A2344" t="s">
        <v>331</v>
      </c>
      <c r="B2344" t="s">
        <v>126</v>
      </c>
      <c r="C2344" t="s">
        <v>56</v>
      </c>
      <c r="D2344" s="6">
        <v>45793</v>
      </c>
      <c r="E2344" t="str">
        <f>VLOOKUP(B2344,'PROCV GERENTES BD'!A:B,2,0)</f>
        <v>FITZ</v>
      </c>
      <c r="F2344" s="4" t="str">
        <f t="shared" si="184"/>
        <v>2025-05-2</v>
      </c>
      <c r="G2344" t="str">
        <f t="shared" si="180"/>
        <v>FITZ</v>
      </c>
      <c r="H2344" t="str">
        <f t="shared" si="181"/>
        <v>TRANSHENRY TRANSPORTES LTDA</v>
      </c>
      <c r="I2344">
        <f t="shared" si="182"/>
        <v>0</v>
      </c>
      <c r="J2344">
        <f t="shared" si="183"/>
        <v>1</v>
      </c>
    </row>
    <row r="2345" spans="1:10" x14ac:dyDescent="0.25">
      <c r="A2345" t="s">
        <v>423</v>
      </c>
      <c r="B2345" t="s">
        <v>172</v>
      </c>
      <c r="C2345" t="s">
        <v>72</v>
      </c>
      <c r="D2345" s="6">
        <v>45793</v>
      </c>
      <c r="E2345" t="str">
        <f>VLOOKUP(B2345,'PROCV GERENTES BD'!A:B,2,0)</f>
        <v>FITZ</v>
      </c>
      <c r="F2345" s="4" t="str">
        <f t="shared" si="184"/>
        <v>2025-05-2</v>
      </c>
      <c r="G2345" t="str">
        <f t="shared" si="180"/>
        <v>FITZ</v>
      </c>
      <c r="H2345" t="str">
        <f t="shared" si="181"/>
        <v>STA SERVICOS LTDA</v>
      </c>
      <c r="I2345">
        <f t="shared" si="182"/>
        <v>1</v>
      </c>
      <c r="J2345">
        <f t="shared" si="183"/>
        <v>0</v>
      </c>
    </row>
    <row r="2346" spans="1:10" x14ac:dyDescent="0.25">
      <c r="A2346" t="s">
        <v>528</v>
      </c>
      <c r="B2346" t="s">
        <v>292</v>
      </c>
      <c r="C2346" t="s">
        <v>336</v>
      </c>
      <c r="D2346" s="6">
        <v>45793</v>
      </c>
      <c r="E2346" t="str">
        <f>VLOOKUP(B2346,'PROCV GERENTES BD'!A:B,2,0)</f>
        <v>PROSPECTAR</v>
      </c>
      <c r="F2346" s="4" t="str">
        <f t="shared" si="184"/>
        <v>2025-05-2</v>
      </c>
      <c r="G2346" t="str">
        <f t="shared" si="180"/>
        <v>PROSPECTAR</v>
      </c>
      <c r="H2346" t="str">
        <f t="shared" si="181"/>
        <v>NUTRIBEM SAL E RACOES LTDA</v>
      </c>
      <c r="I2346">
        <f t="shared" si="182"/>
        <v>0</v>
      </c>
      <c r="J2346">
        <f t="shared" si="183"/>
        <v>0</v>
      </c>
    </row>
    <row r="2347" spans="1:10" x14ac:dyDescent="0.25">
      <c r="A2347" t="s">
        <v>321</v>
      </c>
      <c r="B2347" t="s">
        <v>253</v>
      </c>
      <c r="C2347" t="s">
        <v>72</v>
      </c>
      <c r="D2347" s="6">
        <v>45793</v>
      </c>
      <c r="E2347" t="str">
        <f>VLOOKUP(B2347,'PROCV GERENTES BD'!A:B,2,0)</f>
        <v>THAYNA/COMERCIAL</v>
      </c>
      <c r="F2347" s="4" t="str">
        <f t="shared" si="184"/>
        <v>2025-05-2</v>
      </c>
      <c r="G2347" t="str">
        <f t="shared" si="180"/>
        <v>THAYNA/COMERCIAL</v>
      </c>
      <c r="H2347" t="str">
        <f t="shared" si="181"/>
        <v>MUTCD CENTRO DE DISTRIBUICAO DE IND FABRICANTE DE</v>
      </c>
      <c r="I2347">
        <f t="shared" si="182"/>
        <v>1</v>
      </c>
      <c r="J2347">
        <f t="shared" si="183"/>
        <v>0</v>
      </c>
    </row>
    <row r="2348" spans="1:10" x14ac:dyDescent="0.25">
      <c r="A2348" t="s">
        <v>474</v>
      </c>
      <c r="B2348" t="s">
        <v>230</v>
      </c>
      <c r="C2348" t="s">
        <v>56</v>
      </c>
      <c r="D2348" s="6">
        <v>45794</v>
      </c>
      <c r="E2348" t="str">
        <f>VLOOKUP(B2348,'PROCV GERENTES BD'!A:B,2,0)</f>
        <v>CELIO PIMENTA</v>
      </c>
      <c r="F2348" s="4" t="str">
        <f t="shared" si="184"/>
        <v>2025-05-2</v>
      </c>
      <c r="G2348" t="str">
        <f t="shared" si="180"/>
        <v>CELIO PIMENTA</v>
      </c>
      <c r="H2348" t="str">
        <f t="shared" si="181"/>
        <v>ACO X LTDA ME</v>
      </c>
      <c r="I2348">
        <f t="shared" si="182"/>
        <v>0</v>
      </c>
      <c r="J2348">
        <f t="shared" si="183"/>
        <v>1</v>
      </c>
    </row>
    <row r="2349" spans="1:10" x14ac:dyDescent="0.25">
      <c r="A2349" t="s">
        <v>487</v>
      </c>
      <c r="B2349" t="s">
        <v>243</v>
      </c>
      <c r="C2349" t="s">
        <v>72</v>
      </c>
      <c r="D2349" s="6">
        <v>45794</v>
      </c>
      <c r="E2349" t="str">
        <f>VLOOKUP(B2349,'PROCV GERENTES BD'!A:B,2,0)</f>
        <v>FITZ</v>
      </c>
      <c r="F2349" s="4" t="str">
        <f t="shared" si="184"/>
        <v>2025-05-2</v>
      </c>
      <c r="G2349" t="str">
        <f t="shared" si="180"/>
        <v>FITZ</v>
      </c>
      <c r="H2349" t="str">
        <f t="shared" si="181"/>
        <v>ONFARM BRASIL LTDA ME</v>
      </c>
      <c r="I2349">
        <f t="shared" si="182"/>
        <v>1</v>
      </c>
      <c r="J2349">
        <f t="shared" si="183"/>
        <v>0</v>
      </c>
    </row>
    <row r="2350" spans="1:10" x14ac:dyDescent="0.25">
      <c r="A2350" t="s">
        <v>471</v>
      </c>
      <c r="B2350" t="s">
        <v>227</v>
      </c>
      <c r="C2350" t="s">
        <v>56</v>
      </c>
      <c r="D2350" s="6">
        <v>45794</v>
      </c>
      <c r="E2350" t="str">
        <f>VLOOKUP(B2350,'PROCV GERENTES BD'!A:B,2,0)</f>
        <v>ADMINISTRAÇÃO</v>
      </c>
      <c r="F2350" s="4" t="str">
        <f t="shared" si="184"/>
        <v>2025-05-2</v>
      </c>
      <c r="G2350" t="str">
        <f t="shared" si="180"/>
        <v>ADMINISTRAÇÃO</v>
      </c>
      <c r="H2350" t="str">
        <f t="shared" si="181"/>
        <v>A C ESPORTES S A F</v>
      </c>
      <c r="I2350">
        <f t="shared" si="182"/>
        <v>0</v>
      </c>
      <c r="J2350">
        <f t="shared" si="183"/>
        <v>1</v>
      </c>
    </row>
    <row r="2351" spans="1:10" x14ac:dyDescent="0.25">
      <c r="A2351" t="s">
        <v>321</v>
      </c>
      <c r="B2351" t="s">
        <v>253</v>
      </c>
      <c r="C2351" t="s">
        <v>72</v>
      </c>
      <c r="D2351" s="6">
        <v>45794</v>
      </c>
      <c r="E2351" t="str">
        <f>VLOOKUP(B2351,'PROCV GERENTES BD'!A:B,2,0)</f>
        <v>THAYNA/COMERCIAL</v>
      </c>
      <c r="F2351" s="4" t="str">
        <f t="shared" si="184"/>
        <v>2025-05-2</v>
      </c>
      <c r="G2351" t="str">
        <f t="shared" si="180"/>
        <v>THAYNA/COMERCIAL</v>
      </c>
      <c r="H2351" t="str">
        <f t="shared" si="181"/>
        <v>MUTCD CENTRO DE DISTRIBUICAO DE IND FABRICANTE DE</v>
      </c>
      <c r="I2351">
        <f t="shared" si="182"/>
        <v>1</v>
      </c>
      <c r="J2351">
        <f t="shared" si="183"/>
        <v>0</v>
      </c>
    </row>
    <row r="2352" spans="1:10" x14ac:dyDescent="0.25">
      <c r="A2352" t="s">
        <v>378</v>
      </c>
      <c r="B2352" t="s">
        <v>121</v>
      </c>
      <c r="C2352" t="s">
        <v>56</v>
      </c>
      <c r="D2352" s="6">
        <v>45794</v>
      </c>
      <c r="E2352" t="str">
        <f>VLOOKUP(B2352,'PROCV GERENTES BD'!A:B,2,0)</f>
        <v>POENATELA</v>
      </c>
      <c r="F2352" s="4" t="str">
        <f t="shared" si="184"/>
        <v>2025-05-2</v>
      </c>
      <c r="G2352" t="str">
        <f t="shared" si="180"/>
        <v>POENATELA</v>
      </c>
      <c r="H2352" t="str">
        <f t="shared" si="181"/>
        <v>COOPERATIVA TRANSP AUTON CARGAS PASSAG SERVICOS LO</v>
      </c>
      <c r="I2352">
        <f t="shared" si="182"/>
        <v>0</v>
      </c>
      <c r="J2352">
        <f t="shared" si="183"/>
        <v>1</v>
      </c>
    </row>
    <row r="2353" spans="1:10" x14ac:dyDescent="0.25">
      <c r="A2353" t="s">
        <v>78</v>
      </c>
      <c r="B2353" t="s">
        <v>79</v>
      </c>
      <c r="C2353" t="s">
        <v>56</v>
      </c>
      <c r="D2353" s="6">
        <v>45794</v>
      </c>
      <c r="E2353" t="str">
        <f>VLOOKUP(B2353,'PROCV GERENTES BD'!A:B,2,0)</f>
        <v>NOELI SALETE</v>
      </c>
      <c r="F2353" s="4" t="str">
        <f t="shared" si="184"/>
        <v>2025-05-2</v>
      </c>
      <c r="G2353" t="str">
        <f t="shared" si="180"/>
        <v>NOELI SALETE</v>
      </c>
      <c r="H2353" t="str">
        <f t="shared" si="181"/>
        <v>SMARTCENTER SOLUCOES INTELIGENTES LTDA ME</v>
      </c>
      <c r="I2353">
        <f t="shared" si="182"/>
        <v>0</v>
      </c>
      <c r="J2353">
        <f t="shared" si="183"/>
        <v>1</v>
      </c>
    </row>
    <row r="2354" spans="1:10" x14ac:dyDescent="0.25">
      <c r="A2354" t="s">
        <v>523</v>
      </c>
      <c r="B2354" t="s">
        <v>284</v>
      </c>
      <c r="C2354" t="s">
        <v>72</v>
      </c>
      <c r="D2354" s="6">
        <v>45794</v>
      </c>
      <c r="E2354" t="str">
        <f>VLOOKUP(B2354,'PROCV GERENTES BD'!A:B,2,0)</f>
        <v>ALISSON DE SOUZA LIMA</v>
      </c>
      <c r="F2354" s="4" t="str">
        <f t="shared" si="184"/>
        <v>2025-05-2</v>
      </c>
      <c r="G2354" t="str">
        <f t="shared" si="180"/>
        <v>ALISSON DE SOUZA LIMA</v>
      </c>
      <c r="H2354" t="str">
        <f t="shared" si="181"/>
        <v>COMERCIAL GTS INFORMATICA LTDA EPP</v>
      </c>
      <c r="I2354">
        <f t="shared" si="182"/>
        <v>1</v>
      </c>
      <c r="J2354">
        <f t="shared" si="183"/>
        <v>0</v>
      </c>
    </row>
    <row r="2355" spans="1:10" x14ac:dyDescent="0.25">
      <c r="A2355" t="s">
        <v>523</v>
      </c>
      <c r="B2355" t="s">
        <v>284</v>
      </c>
      <c r="C2355" t="s">
        <v>77</v>
      </c>
      <c r="D2355" s="6">
        <v>45794</v>
      </c>
      <c r="E2355" t="str">
        <f>VLOOKUP(B2355,'PROCV GERENTES BD'!A:B,2,0)</f>
        <v>ALISSON DE SOUZA LIMA</v>
      </c>
      <c r="F2355" s="4" t="str">
        <f t="shared" si="184"/>
        <v>2025-05-2</v>
      </c>
      <c r="G2355" t="str">
        <f t="shared" si="180"/>
        <v>ALISSON DE SOUZA LIMA</v>
      </c>
      <c r="H2355" t="str">
        <f t="shared" si="181"/>
        <v>COMERCIAL GTS INFORMATICA LTDA EPP</v>
      </c>
      <c r="I2355">
        <f t="shared" si="182"/>
        <v>0</v>
      </c>
      <c r="J2355">
        <f t="shared" si="183"/>
        <v>0</v>
      </c>
    </row>
    <row r="2356" spans="1:10" x14ac:dyDescent="0.25">
      <c r="A2356" t="s">
        <v>70</v>
      </c>
      <c r="B2356" t="s">
        <v>71</v>
      </c>
      <c r="C2356" t="s">
        <v>56</v>
      </c>
      <c r="D2356" s="6">
        <v>45794</v>
      </c>
      <c r="E2356" t="str">
        <f>VLOOKUP(B2356,'PROCV GERENTES BD'!A:B,2,0)</f>
        <v>SEM GERENTE</v>
      </c>
      <c r="F2356" s="4" t="str">
        <f t="shared" si="184"/>
        <v>2025-05-2</v>
      </c>
      <c r="G2356" t="str">
        <f t="shared" si="180"/>
        <v>SEM GERENTE</v>
      </c>
      <c r="H2356" t="str">
        <f t="shared" si="181"/>
        <v>SOCIAL S/A</v>
      </c>
      <c r="I2356">
        <f t="shared" si="182"/>
        <v>0</v>
      </c>
      <c r="J2356">
        <f t="shared" si="183"/>
        <v>1</v>
      </c>
    </row>
    <row r="2357" spans="1:10" x14ac:dyDescent="0.25">
      <c r="A2357" t="s">
        <v>68</v>
      </c>
      <c r="B2357" t="s">
        <v>69</v>
      </c>
      <c r="C2357" t="s">
        <v>56</v>
      </c>
      <c r="D2357" s="6">
        <v>45794</v>
      </c>
      <c r="E2357" t="str">
        <f>VLOOKUP(B2357,'PROCV GERENTES BD'!A:B,2,0)</f>
        <v>FITZ</v>
      </c>
      <c r="F2357" s="4" t="str">
        <f t="shared" si="184"/>
        <v>2025-05-2</v>
      </c>
      <c r="G2357" t="str">
        <f t="shared" si="180"/>
        <v>FITZ</v>
      </c>
      <c r="H2357" t="str">
        <f t="shared" si="181"/>
        <v>MAPP COM IMPORTACAO EXPORTACAO IND PRODUTOS ALIMEN</v>
      </c>
      <c r="I2357">
        <f t="shared" si="182"/>
        <v>0</v>
      </c>
      <c r="J2357">
        <f t="shared" si="183"/>
        <v>1</v>
      </c>
    </row>
    <row r="2358" spans="1:10" x14ac:dyDescent="0.25">
      <c r="A2358" t="s">
        <v>317</v>
      </c>
      <c r="B2358" t="s">
        <v>211</v>
      </c>
      <c r="C2358" t="s">
        <v>56</v>
      </c>
      <c r="D2358" s="6">
        <v>45794</v>
      </c>
      <c r="E2358" t="str">
        <f>VLOOKUP(B2358,'PROCV GERENTES BD'!A:B,2,0)</f>
        <v xml:space="preserve">MARCUS VINICIUS </v>
      </c>
      <c r="F2358" s="4" t="str">
        <f t="shared" si="184"/>
        <v>2025-05-2</v>
      </c>
      <c r="G2358" t="str">
        <f t="shared" si="180"/>
        <v xml:space="preserve">MARCUS VINICIUS </v>
      </c>
      <c r="H2358" t="str">
        <f t="shared" si="181"/>
        <v>INDUSTRIA E COMERCIO DE CHURRASQUEIRAS BOM JESUS L</v>
      </c>
      <c r="I2358">
        <f t="shared" si="182"/>
        <v>0</v>
      </c>
      <c r="J2358">
        <f t="shared" si="183"/>
        <v>1</v>
      </c>
    </row>
    <row r="2359" spans="1:10" x14ac:dyDescent="0.25">
      <c r="A2359" t="s">
        <v>66</v>
      </c>
      <c r="B2359" t="s">
        <v>67</v>
      </c>
      <c r="C2359" t="s">
        <v>56</v>
      </c>
      <c r="D2359" s="6">
        <v>45794</v>
      </c>
      <c r="E2359" t="str">
        <f>VLOOKUP(B2359,'PROCV GERENTES BD'!A:B,2,0)</f>
        <v xml:space="preserve">MARCUS VINICIUS </v>
      </c>
      <c r="F2359" s="4" t="str">
        <f t="shared" si="184"/>
        <v>2025-05-2</v>
      </c>
      <c r="G2359" t="str">
        <f t="shared" si="180"/>
        <v xml:space="preserve">MARCUS VINICIUS </v>
      </c>
      <c r="H2359" t="str">
        <f t="shared" si="181"/>
        <v>COM IND DE CEREAIS E TRANSPORTES MACIEL LTDA</v>
      </c>
      <c r="I2359">
        <f t="shared" si="182"/>
        <v>0</v>
      </c>
      <c r="J2359">
        <f t="shared" si="183"/>
        <v>1</v>
      </c>
    </row>
    <row r="2360" spans="1:10" x14ac:dyDescent="0.25">
      <c r="A2360" t="s">
        <v>361</v>
      </c>
      <c r="B2360" t="s">
        <v>103</v>
      </c>
      <c r="C2360" t="s">
        <v>56</v>
      </c>
      <c r="D2360" s="6">
        <v>45794</v>
      </c>
      <c r="E2360" t="str">
        <f>VLOOKUP(B2360,'PROCV GERENTES BD'!A:B,2,0)</f>
        <v>PRISCILA METZ</v>
      </c>
      <c r="F2360" s="4" t="str">
        <f t="shared" si="184"/>
        <v>2025-05-2</v>
      </c>
      <c r="G2360" t="str">
        <f t="shared" si="180"/>
        <v>PRISCILA METZ</v>
      </c>
      <c r="H2360" t="str">
        <f t="shared" si="181"/>
        <v>ESSENZA INDUSTRIA QUIMICA LTDA</v>
      </c>
      <c r="I2360">
        <f t="shared" si="182"/>
        <v>0</v>
      </c>
      <c r="J2360">
        <f t="shared" si="183"/>
        <v>1</v>
      </c>
    </row>
    <row r="2361" spans="1:10" x14ac:dyDescent="0.25">
      <c r="A2361" t="s">
        <v>380</v>
      </c>
      <c r="B2361" t="s">
        <v>123</v>
      </c>
      <c r="C2361" t="s">
        <v>56</v>
      </c>
      <c r="D2361" s="6">
        <v>45794</v>
      </c>
      <c r="E2361" t="str">
        <f>VLOOKUP(B2361,'PROCV GERENTES BD'!A:B,2,0)</f>
        <v>ANTONIO CARLOS</v>
      </c>
      <c r="F2361" s="4" t="str">
        <f t="shared" si="184"/>
        <v>2025-05-2</v>
      </c>
      <c r="G2361" t="str">
        <f t="shared" si="180"/>
        <v>ANTONIO CARLOS</v>
      </c>
      <c r="H2361" t="str">
        <f t="shared" si="181"/>
        <v>PREMOLDADOS MATOSINHOS LTDA EPP</v>
      </c>
      <c r="I2361">
        <f t="shared" si="182"/>
        <v>0</v>
      </c>
      <c r="J2361">
        <f t="shared" si="183"/>
        <v>1</v>
      </c>
    </row>
    <row r="2362" spans="1:10" x14ac:dyDescent="0.25">
      <c r="A2362" t="s">
        <v>64</v>
      </c>
      <c r="B2362" t="s">
        <v>65</v>
      </c>
      <c r="C2362" t="s">
        <v>56</v>
      </c>
      <c r="D2362" s="6">
        <v>45794</v>
      </c>
      <c r="E2362" t="str">
        <f>VLOOKUP(B2362,'PROCV GERENTES BD'!A:B,2,0)</f>
        <v>ADMINISTRAÇÃO</v>
      </c>
      <c r="F2362" s="4" t="str">
        <f t="shared" si="184"/>
        <v>2025-05-2</v>
      </c>
      <c r="G2362" t="str">
        <f t="shared" si="180"/>
        <v>ADMINISTRAÇÃO</v>
      </c>
      <c r="H2362" t="str">
        <f t="shared" si="181"/>
        <v>BIOTECH LOGISTICA LTDA</v>
      </c>
      <c r="I2362">
        <f t="shared" si="182"/>
        <v>0</v>
      </c>
      <c r="J2362">
        <f t="shared" si="183"/>
        <v>1</v>
      </c>
    </row>
    <row r="2363" spans="1:10" x14ac:dyDescent="0.25">
      <c r="A2363" t="s">
        <v>521</v>
      </c>
      <c r="B2363" t="s">
        <v>282</v>
      </c>
      <c r="C2363" t="s">
        <v>56</v>
      </c>
      <c r="D2363" s="6">
        <v>45794</v>
      </c>
      <c r="E2363" t="str">
        <f>VLOOKUP(B2363,'PROCV GERENTES BD'!A:B,2,0)</f>
        <v>ALISSON DE SOUZA LIMA</v>
      </c>
      <c r="F2363" s="4" t="str">
        <f t="shared" si="184"/>
        <v>2025-05-2</v>
      </c>
      <c r="G2363" t="str">
        <f t="shared" si="180"/>
        <v>ALISSON DE SOUZA LIMA</v>
      </c>
      <c r="H2363" t="str">
        <f t="shared" si="181"/>
        <v>COMERCIAL JLX DISTRIBUIDORA LTDA ME</v>
      </c>
      <c r="I2363">
        <f t="shared" si="182"/>
        <v>0</v>
      </c>
      <c r="J2363">
        <f t="shared" si="183"/>
        <v>1</v>
      </c>
    </row>
    <row r="2364" spans="1:10" x14ac:dyDescent="0.25">
      <c r="A2364" t="s">
        <v>326</v>
      </c>
      <c r="B2364" t="s">
        <v>86</v>
      </c>
      <c r="C2364" t="s">
        <v>56</v>
      </c>
      <c r="D2364" s="6">
        <v>45794</v>
      </c>
      <c r="E2364" t="str">
        <f>VLOOKUP(B2364,'PROCV GERENTES BD'!A:B,2,0)</f>
        <v>CELIO PIMENTA</v>
      </c>
      <c r="F2364" s="4" t="str">
        <f t="shared" si="184"/>
        <v>2025-05-2</v>
      </c>
      <c r="G2364" t="str">
        <f t="shared" si="180"/>
        <v>CELIO PIMENTA</v>
      </c>
      <c r="H2364" t="str">
        <f t="shared" si="181"/>
        <v>IMPORTEXTIL COMERCIO DE TECIDOS LTDA</v>
      </c>
      <c r="I2364">
        <f t="shared" si="182"/>
        <v>0</v>
      </c>
      <c r="J2364">
        <f t="shared" si="183"/>
        <v>1</v>
      </c>
    </row>
    <row r="2365" spans="1:10" x14ac:dyDescent="0.25">
      <c r="A2365" t="s">
        <v>488</v>
      </c>
      <c r="B2365" t="s">
        <v>244</v>
      </c>
      <c r="C2365" t="s">
        <v>72</v>
      </c>
      <c r="D2365" s="6">
        <v>45794</v>
      </c>
      <c r="E2365" t="str">
        <f>VLOOKUP(B2365,'PROCV GERENTES BD'!A:B,2,0)</f>
        <v>POENATELA</v>
      </c>
      <c r="F2365" s="4" t="str">
        <f t="shared" si="184"/>
        <v>2025-05-2</v>
      </c>
      <c r="G2365" t="str">
        <f t="shared" si="180"/>
        <v>POENATELA</v>
      </c>
      <c r="H2365" t="str">
        <f t="shared" si="181"/>
        <v>PARANAIBA FERTILIZANTES IND E COM LTDA EM RECUPERA</v>
      </c>
      <c r="I2365">
        <f t="shared" si="182"/>
        <v>1</v>
      </c>
      <c r="J2365">
        <f t="shared" si="183"/>
        <v>0</v>
      </c>
    </row>
    <row r="2366" spans="1:10" x14ac:dyDescent="0.25">
      <c r="A2366" t="s">
        <v>366</v>
      </c>
      <c r="B2366" t="s">
        <v>111</v>
      </c>
      <c r="C2366" t="s">
        <v>56</v>
      </c>
      <c r="D2366" s="6">
        <v>45794</v>
      </c>
      <c r="E2366" t="str">
        <f>VLOOKUP(B2366,'PROCV GERENTES BD'!A:B,2,0)</f>
        <v>DIOGO AZEVEDO</v>
      </c>
      <c r="F2366" s="4" t="str">
        <f t="shared" si="184"/>
        <v>2025-05-2</v>
      </c>
      <c r="G2366" t="str">
        <f t="shared" si="180"/>
        <v>DIOGO AZEVEDO</v>
      </c>
      <c r="H2366" t="str">
        <f t="shared" si="181"/>
        <v>INDUSTRIA E CERVEJARIA ARTESANAL DE MINAS GERAIS L</v>
      </c>
      <c r="I2366">
        <f t="shared" si="182"/>
        <v>0</v>
      </c>
      <c r="J2366">
        <f t="shared" si="183"/>
        <v>1</v>
      </c>
    </row>
    <row r="2367" spans="1:10" x14ac:dyDescent="0.25">
      <c r="A2367" t="s">
        <v>369</v>
      </c>
      <c r="B2367" t="s">
        <v>113</v>
      </c>
      <c r="C2367" t="s">
        <v>56</v>
      </c>
      <c r="D2367" s="6">
        <v>45794</v>
      </c>
      <c r="E2367" t="str">
        <f>VLOOKUP(B2367,'PROCV GERENTES BD'!A:B,2,0)</f>
        <v>PRISCILA METZ</v>
      </c>
      <c r="F2367" s="4" t="str">
        <f t="shared" si="184"/>
        <v>2025-05-2</v>
      </c>
      <c r="G2367" t="str">
        <f t="shared" si="180"/>
        <v>PRISCILA METZ</v>
      </c>
      <c r="H2367" t="str">
        <f t="shared" si="181"/>
        <v>HERBAMED LABORATORIO NUTRACEUTICO LTDA</v>
      </c>
      <c r="I2367">
        <f t="shared" si="182"/>
        <v>0</v>
      </c>
      <c r="J2367">
        <f t="shared" si="183"/>
        <v>1</v>
      </c>
    </row>
    <row r="2368" spans="1:10" x14ac:dyDescent="0.25">
      <c r="A2368" t="s">
        <v>395</v>
      </c>
      <c r="B2368" t="s">
        <v>141</v>
      </c>
      <c r="C2368" t="s">
        <v>56</v>
      </c>
      <c r="D2368" s="6">
        <v>45794</v>
      </c>
      <c r="E2368" t="str">
        <f>VLOOKUP(B2368,'PROCV GERENTES BD'!A:B,2,0)</f>
        <v>RAFAEL PARISE</v>
      </c>
      <c r="F2368" s="4" t="str">
        <f t="shared" si="184"/>
        <v>2025-05-2</v>
      </c>
      <c r="G2368" t="str">
        <f t="shared" si="180"/>
        <v>RAFAEL PARISE</v>
      </c>
      <c r="H2368" t="str">
        <f t="shared" si="181"/>
        <v>MAIS DISTRIBUIDORA LTDA</v>
      </c>
      <c r="I2368">
        <f t="shared" si="182"/>
        <v>0</v>
      </c>
      <c r="J2368">
        <f t="shared" si="183"/>
        <v>1</v>
      </c>
    </row>
    <row r="2369" spans="1:10" x14ac:dyDescent="0.25">
      <c r="A2369" t="s">
        <v>314</v>
      </c>
      <c r="B2369" t="s">
        <v>108</v>
      </c>
      <c r="C2369" t="s">
        <v>77</v>
      </c>
      <c r="D2369" s="6">
        <v>45794</v>
      </c>
      <c r="E2369" t="str">
        <f>VLOOKUP(B2369,'PROCV GERENTES BD'!A:B,2,0)</f>
        <v>POENATELA</v>
      </c>
      <c r="F2369" s="4" t="str">
        <f t="shared" si="184"/>
        <v>2025-05-2</v>
      </c>
      <c r="G2369" t="str">
        <f t="shared" si="180"/>
        <v>POENATELA</v>
      </c>
      <c r="H2369" t="str">
        <f t="shared" si="181"/>
        <v>ECOPINUS INDUSTRIA E COMERCIO DE EMBALAGENS DE MAD</v>
      </c>
      <c r="I2369">
        <f t="shared" si="182"/>
        <v>0</v>
      </c>
      <c r="J2369">
        <f t="shared" si="183"/>
        <v>0</v>
      </c>
    </row>
    <row r="2370" spans="1:10" x14ac:dyDescent="0.25">
      <c r="A2370" t="s">
        <v>393</v>
      </c>
      <c r="B2370" t="s">
        <v>139</v>
      </c>
      <c r="C2370" t="s">
        <v>56</v>
      </c>
      <c r="D2370" s="6">
        <v>45794</v>
      </c>
      <c r="E2370" t="str">
        <f>VLOOKUP(B2370,'PROCV GERENTES BD'!A:B,2,0)</f>
        <v xml:space="preserve">MARCUS VINICIUS </v>
      </c>
      <c r="F2370" s="4" t="str">
        <f t="shared" si="184"/>
        <v>2025-05-2</v>
      </c>
      <c r="G2370" t="str">
        <f t="shared" ref="G2370:G2433" si="185">E2370</f>
        <v xml:space="preserve">MARCUS VINICIUS </v>
      </c>
      <c r="H2370" t="str">
        <f t="shared" ref="H2370:H2433" si="186">B2370</f>
        <v>RODOANEL REFORMADORA DE IMPLEMENTOS RODOVIARIOS LT</v>
      </c>
      <c r="I2370">
        <f t="shared" ref="I2370:I2433" si="187">IF(C2370="EXCLUSAO  ANOT.INADIMPLENCIA",1,0)</f>
        <v>0</v>
      </c>
      <c r="J2370">
        <f t="shared" ref="J2370:J2433" si="188">IF(C2370="INCLUSAO  ANOT.INADIMPLENCIA",1,0)</f>
        <v>1</v>
      </c>
    </row>
    <row r="2371" spans="1:10" x14ac:dyDescent="0.25">
      <c r="A2371" t="s">
        <v>57</v>
      </c>
      <c r="B2371" t="s">
        <v>58</v>
      </c>
      <c r="C2371" t="s">
        <v>56</v>
      </c>
      <c r="D2371" s="6">
        <v>45794</v>
      </c>
      <c r="E2371" t="str">
        <f>VLOOKUP(B2371,'PROCV GERENTES BD'!A:B,2,0)</f>
        <v>RAFAEL PARISE</v>
      </c>
      <c r="F2371" s="4" t="str">
        <f t="shared" ref="F2371:F2434" si="189">YEAR(D2371)&amp;"-"&amp;TEXT(MONTH(D2371),"00")&amp;"-"&amp;IF(DAY(D2371)&lt;=15,"1",IF(DAY(D2371)&gt;15,"2",""))</f>
        <v>2025-05-2</v>
      </c>
      <c r="G2371" t="str">
        <f t="shared" si="185"/>
        <v>RAFAEL PARISE</v>
      </c>
      <c r="H2371" t="str">
        <f t="shared" si="186"/>
        <v>TDR TRANSPORTES LOGISTICA LTDA</v>
      </c>
      <c r="I2371">
        <f t="shared" si="187"/>
        <v>0</v>
      </c>
      <c r="J2371">
        <f t="shared" si="188"/>
        <v>1</v>
      </c>
    </row>
    <row r="2372" spans="1:10" x14ac:dyDescent="0.25">
      <c r="A2372" t="s">
        <v>511</v>
      </c>
      <c r="B2372" t="s">
        <v>268</v>
      </c>
      <c r="C2372" t="s">
        <v>72</v>
      </c>
      <c r="D2372" s="6">
        <v>45794</v>
      </c>
      <c r="E2372" t="str">
        <f>VLOOKUP(B2372,'PROCV GERENTES BD'!A:B,2,0)</f>
        <v>PRISCILA METZ</v>
      </c>
      <c r="F2372" s="4" t="str">
        <f t="shared" si="189"/>
        <v>2025-05-2</v>
      </c>
      <c r="G2372" t="str">
        <f t="shared" si="185"/>
        <v>PRISCILA METZ</v>
      </c>
      <c r="H2372" t="str">
        <f t="shared" si="186"/>
        <v>ANDRADE ELETRO TECNICA LTDA EPP</v>
      </c>
      <c r="I2372">
        <f t="shared" si="187"/>
        <v>1</v>
      </c>
      <c r="J2372">
        <f t="shared" si="188"/>
        <v>0</v>
      </c>
    </row>
    <row r="2373" spans="1:10" x14ac:dyDescent="0.25">
      <c r="A2373" t="s">
        <v>529</v>
      </c>
      <c r="B2373" t="s">
        <v>293</v>
      </c>
      <c r="C2373" t="s">
        <v>56</v>
      </c>
      <c r="D2373" s="6">
        <v>45794</v>
      </c>
      <c r="E2373" t="str">
        <f>VLOOKUP(B2373,'PROCV GERENTES BD'!A:B,2,0)</f>
        <v>CELIO PIMENTA</v>
      </c>
      <c r="F2373" s="4" t="str">
        <f t="shared" si="189"/>
        <v>2025-05-2</v>
      </c>
      <c r="G2373" t="str">
        <f t="shared" si="185"/>
        <v>CELIO PIMENTA</v>
      </c>
      <c r="H2373" t="str">
        <f t="shared" si="186"/>
        <v>LINGERIE E CIA LTDA ME</v>
      </c>
      <c r="I2373">
        <f t="shared" si="187"/>
        <v>0</v>
      </c>
      <c r="J2373">
        <f t="shared" si="188"/>
        <v>1</v>
      </c>
    </row>
    <row r="2374" spans="1:10" x14ac:dyDescent="0.25">
      <c r="A2374" t="s">
        <v>497</v>
      </c>
      <c r="B2374" t="s">
        <v>294</v>
      </c>
      <c r="C2374" t="s">
        <v>336</v>
      </c>
      <c r="D2374" s="6">
        <v>45796</v>
      </c>
      <c r="E2374" t="str">
        <f>VLOOKUP(B2374,'PROCV GERENTES BD'!A:B,2,0)</f>
        <v>PROSPECTAR</v>
      </c>
      <c r="F2374" s="4" t="str">
        <f t="shared" si="189"/>
        <v>2025-05-2</v>
      </c>
      <c r="G2374" t="str">
        <f t="shared" si="185"/>
        <v>PROSPECTAR</v>
      </c>
      <c r="H2374" t="str">
        <f t="shared" si="186"/>
        <v>SAFRA AGRICOLA E PECUARIA LTDA</v>
      </c>
      <c r="I2374">
        <f t="shared" si="187"/>
        <v>0</v>
      </c>
      <c r="J2374">
        <f t="shared" si="188"/>
        <v>0</v>
      </c>
    </row>
    <row r="2375" spans="1:10" x14ac:dyDescent="0.25">
      <c r="A2375" t="s">
        <v>497</v>
      </c>
      <c r="B2375" t="s">
        <v>294</v>
      </c>
      <c r="C2375" t="s">
        <v>77</v>
      </c>
      <c r="D2375" s="6">
        <v>45796</v>
      </c>
      <c r="E2375" t="str">
        <f>VLOOKUP(B2375,'PROCV GERENTES BD'!A:B,2,0)</f>
        <v>PROSPECTAR</v>
      </c>
      <c r="F2375" s="4" t="str">
        <f t="shared" si="189"/>
        <v>2025-05-2</v>
      </c>
      <c r="G2375" t="str">
        <f t="shared" si="185"/>
        <v>PROSPECTAR</v>
      </c>
      <c r="H2375" t="str">
        <f t="shared" si="186"/>
        <v>SAFRA AGRICOLA E PECUARIA LTDA</v>
      </c>
      <c r="I2375">
        <f t="shared" si="187"/>
        <v>0</v>
      </c>
      <c r="J2375">
        <f t="shared" si="188"/>
        <v>0</v>
      </c>
    </row>
    <row r="2376" spans="1:10" x14ac:dyDescent="0.25">
      <c r="A2376" t="s">
        <v>481</v>
      </c>
      <c r="B2376" t="s">
        <v>237</v>
      </c>
      <c r="C2376" t="s">
        <v>77</v>
      </c>
      <c r="D2376" s="6">
        <v>45796</v>
      </c>
      <c r="E2376" t="str">
        <f>VLOOKUP(B2376,'PROCV GERENTES BD'!A:B,2,0)</f>
        <v>PARTNER SECURITIZADORA</v>
      </c>
      <c r="F2376" s="4" t="str">
        <f t="shared" si="189"/>
        <v>2025-05-2</v>
      </c>
      <c r="G2376" t="str">
        <f t="shared" si="185"/>
        <v>PARTNER SECURITIZADORA</v>
      </c>
      <c r="H2376" t="str">
        <f t="shared" si="186"/>
        <v>ALTAG NEGOCIOS AGRICOLAS LTDA</v>
      </c>
      <c r="I2376">
        <f t="shared" si="187"/>
        <v>0</v>
      </c>
      <c r="J2376">
        <f t="shared" si="188"/>
        <v>0</v>
      </c>
    </row>
    <row r="2377" spans="1:10" x14ac:dyDescent="0.25">
      <c r="A2377" t="s">
        <v>383</v>
      </c>
      <c r="B2377" t="s">
        <v>127</v>
      </c>
      <c r="C2377" t="s">
        <v>72</v>
      </c>
      <c r="D2377" s="6">
        <v>45797</v>
      </c>
      <c r="E2377" t="str">
        <f>VLOOKUP(B2377,'PROCV GERENTES BD'!A:B,2,0)</f>
        <v>NATALIA NUBIA</v>
      </c>
      <c r="F2377" s="4" t="str">
        <f t="shared" si="189"/>
        <v>2025-05-2</v>
      </c>
      <c r="G2377" t="str">
        <f t="shared" si="185"/>
        <v>NATALIA NUBIA</v>
      </c>
      <c r="H2377" t="str">
        <f t="shared" si="186"/>
        <v>FARINELLI NUTRIMENTOS LTDA</v>
      </c>
      <c r="I2377">
        <f t="shared" si="187"/>
        <v>1</v>
      </c>
      <c r="J2377">
        <f t="shared" si="188"/>
        <v>0</v>
      </c>
    </row>
    <row r="2378" spans="1:10" x14ac:dyDescent="0.25">
      <c r="A2378" t="s">
        <v>66</v>
      </c>
      <c r="B2378" t="s">
        <v>67</v>
      </c>
      <c r="C2378" t="s">
        <v>56</v>
      </c>
      <c r="D2378" s="6">
        <v>45797</v>
      </c>
      <c r="E2378" t="str">
        <f>VLOOKUP(B2378,'PROCV GERENTES BD'!A:B,2,0)</f>
        <v xml:space="preserve">MARCUS VINICIUS </v>
      </c>
      <c r="F2378" s="4" t="str">
        <f t="shared" si="189"/>
        <v>2025-05-2</v>
      </c>
      <c r="G2378" t="str">
        <f t="shared" si="185"/>
        <v xml:space="preserve">MARCUS VINICIUS </v>
      </c>
      <c r="H2378" t="str">
        <f t="shared" si="186"/>
        <v>COM IND DE CEREAIS E TRANSPORTES MACIEL LTDA</v>
      </c>
      <c r="I2378">
        <f t="shared" si="187"/>
        <v>0</v>
      </c>
      <c r="J2378">
        <f t="shared" si="188"/>
        <v>1</v>
      </c>
    </row>
    <row r="2379" spans="1:10" x14ac:dyDescent="0.25">
      <c r="A2379" t="s">
        <v>317</v>
      </c>
      <c r="B2379" t="s">
        <v>211</v>
      </c>
      <c r="C2379" t="s">
        <v>72</v>
      </c>
      <c r="D2379" s="6">
        <v>45797</v>
      </c>
      <c r="E2379" t="str">
        <f>VLOOKUP(B2379,'PROCV GERENTES BD'!A:B,2,0)</f>
        <v xml:space="preserve">MARCUS VINICIUS </v>
      </c>
      <c r="F2379" s="4" t="str">
        <f t="shared" si="189"/>
        <v>2025-05-2</v>
      </c>
      <c r="G2379" t="str">
        <f t="shared" si="185"/>
        <v xml:space="preserve">MARCUS VINICIUS </v>
      </c>
      <c r="H2379" t="str">
        <f t="shared" si="186"/>
        <v>INDUSTRIA E COMERCIO DE CHURRASQUEIRAS BOM JESUS L</v>
      </c>
      <c r="I2379">
        <f t="shared" si="187"/>
        <v>1</v>
      </c>
      <c r="J2379">
        <f t="shared" si="188"/>
        <v>0</v>
      </c>
    </row>
    <row r="2380" spans="1:10" x14ac:dyDescent="0.25">
      <c r="A2380" t="s">
        <v>68</v>
      </c>
      <c r="B2380" t="s">
        <v>69</v>
      </c>
      <c r="C2380" t="s">
        <v>56</v>
      </c>
      <c r="D2380" s="6">
        <v>45797</v>
      </c>
      <c r="E2380" t="str">
        <f>VLOOKUP(B2380,'PROCV GERENTES BD'!A:B,2,0)</f>
        <v>FITZ</v>
      </c>
      <c r="F2380" s="4" t="str">
        <f t="shared" si="189"/>
        <v>2025-05-2</v>
      </c>
      <c r="G2380" t="str">
        <f t="shared" si="185"/>
        <v>FITZ</v>
      </c>
      <c r="H2380" t="str">
        <f t="shared" si="186"/>
        <v>MAPP COM IMPORTACAO EXPORTACAO IND PRODUTOS ALIMEN</v>
      </c>
      <c r="I2380">
        <f t="shared" si="187"/>
        <v>0</v>
      </c>
      <c r="J2380">
        <f t="shared" si="188"/>
        <v>1</v>
      </c>
    </row>
    <row r="2381" spans="1:10" x14ac:dyDescent="0.25">
      <c r="A2381" t="s">
        <v>70</v>
      </c>
      <c r="B2381" t="s">
        <v>71</v>
      </c>
      <c r="C2381" t="s">
        <v>72</v>
      </c>
      <c r="D2381" s="6">
        <v>45797</v>
      </c>
      <c r="E2381" t="str">
        <f>VLOOKUP(B2381,'PROCV GERENTES BD'!A:B,2,0)</f>
        <v>SEM GERENTE</v>
      </c>
      <c r="F2381" s="4" t="str">
        <f t="shared" si="189"/>
        <v>2025-05-2</v>
      </c>
      <c r="G2381" t="str">
        <f t="shared" si="185"/>
        <v>SEM GERENTE</v>
      </c>
      <c r="H2381" t="str">
        <f t="shared" si="186"/>
        <v>SOCIAL S/A</v>
      </c>
      <c r="I2381">
        <f t="shared" si="187"/>
        <v>1</v>
      </c>
      <c r="J2381">
        <f t="shared" si="188"/>
        <v>0</v>
      </c>
    </row>
    <row r="2382" spans="1:10" x14ac:dyDescent="0.25">
      <c r="A2382" t="s">
        <v>456</v>
      </c>
      <c r="B2382" t="s">
        <v>208</v>
      </c>
      <c r="C2382" t="s">
        <v>56</v>
      </c>
      <c r="D2382" s="6">
        <v>45797</v>
      </c>
      <c r="E2382" t="str">
        <f>VLOOKUP(B2382,'PROCV GERENTES BD'!A:B,2,0)</f>
        <v>PRISCILA METZ</v>
      </c>
      <c r="F2382" s="4" t="str">
        <f t="shared" si="189"/>
        <v>2025-05-2</v>
      </c>
      <c r="G2382" t="str">
        <f t="shared" si="185"/>
        <v>PRISCILA METZ</v>
      </c>
      <c r="H2382" t="str">
        <f t="shared" si="186"/>
        <v>M TRATORES LTDA EPP</v>
      </c>
      <c r="I2382">
        <f t="shared" si="187"/>
        <v>0</v>
      </c>
      <c r="J2382">
        <f t="shared" si="188"/>
        <v>1</v>
      </c>
    </row>
    <row r="2383" spans="1:10" x14ac:dyDescent="0.25">
      <c r="A2383" t="s">
        <v>523</v>
      </c>
      <c r="B2383" t="s">
        <v>284</v>
      </c>
      <c r="C2383" t="s">
        <v>72</v>
      </c>
      <c r="D2383" s="6">
        <v>45797</v>
      </c>
      <c r="E2383" t="str">
        <f>VLOOKUP(B2383,'PROCV GERENTES BD'!A:B,2,0)</f>
        <v>ALISSON DE SOUZA LIMA</v>
      </c>
      <c r="F2383" s="4" t="str">
        <f t="shared" si="189"/>
        <v>2025-05-2</v>
      </c>
      <c r="G2383" t="str">
        <f t="shared" si="185"/>
        <v>ALISSON DE SOUZA LIMA</v>
      </c>
      <c r="H2383" t="str">
        <f t="shared" si="186"/>
        <v>COMERCIAL GTS INFORMATICA LTDA EPP</v>
      </c>
      <c r="I2383">
        <f t="shared" si="187"/>
        <v>1</v>
      </c>
      <c r="J2383">
        <f t="shared" si="188"/>
        <v>0</v>
      </c>
    </row>
    <row r="2384" spans="1:10" x14ac:dyDescent="0.25">
      <c r="A2384" t="s">
        <v>324</v>
      </c>
      <c r="B2384" t="s">
        <v>287</v>
      </c>
      <c r="C2384" t="s">
        <v>56</v>
      </c>
      <c r="D2384" s="6">
        <v>45797</v>
      </c>
      <c r="E2384" t="str">
        <f>VLOOKUP(B2384,'PROCV GERENTES BD'!A:B,2,0)</f>
        <v>PROSPECTAR</v>
      </c>
      <c r="F2384" s="4" t="str">
        <f t="shared" si="189"/>
        <v>2025-05-2</v>
      </c>
      <c r="G2384" t="str">
        <f t="shared" si="185"/>
        <v>PROSPECTAR</v>
      </c>
      <c r="H2384" t="str">
        <f t="shared" si="186"/>
        <v>STA TECHCANA LTDA</v>
      </c>
      <c r="I2384">
        <f t="shared" si="187"/>
        <v>0</v>
      </c>
      <c r="J2384">
        <f t="shared" si="188"/>
        <v>1</v>
      </c>
    </row>
    <row r="2385" spans="1:10" x14ac:dyDescent="0.25">
      <c r="A2385" t="s">
        <v>78</v>
      </c>
      <c r="B2385" t="s">
        <v>79</v>
      </c>
      <c r="C2385" t="s">
        <v>56</v>
      </c>
      <c r="D2385" s="6">
        <v>45797</v>
      </c>
      <c r="E2385" t="str">
        <f>VLOOKUP(B2385,'PROCV GERENTES BD'!A:B,2,0)</f>
        <v>NOELI SALETE</v>
      </c>
      <c r="F2385" s="4" t="str">
        <f t="shared" si="189"/>
        <v>2025-05-2</v>
      </c>
      <c r="G2385" t="str">
        <f t="shared" si="185"/>
        <v>NOELI SALETE</v>
      </c>
      <c r="H2385" t="str">
        <f t="shared" si="186"/>
        <v>SMARTCENTER SOLUCOES INTELIGENTES LTDA ME</v>
      </c>
      <c r="I2385">
        <f t="shared" si="187"/>
        <v>0</v>
      </c>
      <c r="J2385">
        <f t="shared" si="188"/>
        <v>1</v>
      </c>
    </row>
    <row r="2386" spans="1:10" x14ac:dyDescent="0.25">
      <c r="A2386" t="s">
        <v>82</v>
      </c>
      <c r="B2386" t="s">
        <v>83</v>
      </c>
      <c r="C2386" t="s">
        <v>56</v>
      </c>
      <c r="D2386" s="6">
        <v>45797</v>
      </c>
      <c r="E2386" t="str">
        <f>VLOOKUP(B2386,'PROCV GERENTES BD'!A:B,2,0)</f>
        <v>RAFAEL PARISE</v>
      </c>
      <c r="F2386" s="4" t="str">
        <f t="shared" si="189"/>
        <v>2025-05-2</v>
      </c>
      <c r="G2386" t="str">
        <f t="shared" si="185"/>
        <v>RAFAEL PARISE</v>
      </c>
      <c r="H2386" t="str">
        <f t="shared" si="186"/>
        <v>UNITA AUTO PECAS LTDA EPP</v>
      </c>
      <c r="I2386">
        <f t="shared" si="187"/>
        <v>0</v>
      </c>
      <c r="J2386">
        <f t="shared" si="188"/>
        <v>1</v>
      </c>
    </row>
    <row r="2387" spans="1:10" x14ac:dyDescent="0.25">
      <c r="A2387" t="s">
        <v>321</v>
      </c>
      <c r="B2387" t="s">
        <v>253</v>
      </c>
      <c r="C2387" t="s">
        <v>72</v>
      </c>
      <c r="D2387" s="6">
        <v>45797</v>
      </c>
      <c r="E2387" t="str">
        <f>VLOOKUP(B2387,'PROCV GERENTES BD'!A:B,2,0)</f>
        <v>THAYNA/COMERCIAL</v>
      </c>
      <c r="F2387" s="4" t="str">
        <f t="shared" si="189"/>
        <v>2025-05-2</v>
      </c>
      <c r="G2387" t="str">
        <f t="shared" si="185"/>
        <v>THAYNA/COMERCIAL</v>
      </c>
      <c r="H2387" t="str">
        <f t="shared" si="186"/>
        <v>MUTCD CENTRO DE DISTRIBUICAO DE IND FABRICANTE DE</v>
      </c>
      <c r="I2387">
        <f t="shared" si="187"/>
        <v>1</v>
      </c>
      <c r="J2387">
        <f t="shared" si="188"/>
        <v>0</v>
      </c>
    </row>
    <row r="2388" spans="1:10" x14ac:dyDescent="0.25">
      <c r="A2388" t="s">
        <v>494</v>
      </c>
      <c r="B2388" t="s">
        <v>250</v>
      </c>
      <c r="C2388" t="s">
        <v>56</v>
      </c>
      <c r="D2388" s="6">
        <v>45797</v>
      </c>
      <c r="E2388" t="str">
        <f>VLOOKUP(B2388,'PROCV GERENTES BD'!A:B,2,0)</f>
        <v>NOELI SALETE</v>
      </c>
      <c r="F2388" s="4" t="str">
        <f t="shared" si="189"/>
        <v>2025-05-2</v>
      </c>
      <c r="G2388" t="str">
        <f t="shared" si="185"/>
        <v>NOELI SALETE</v>
      </c>
      <c r="H2388" t="str">
        <f t="shared" si="186"/>
        <v>SMARTCENTERGROUP COMERCIO DE EQUIPAMENTOS DE INFOR</v>
      </c>
      <c r="I2388">
        <f t="shared" si="187"/>
        <v>0</v>
      </c>
      <c r="J2388">
        <f t="shared" si="188"/>
        <v>1</v>
      </c>
    </row>
    <row r="2389" spans="1:10" x14ac:dyDescent="0.25">
      <c r="A2389" t="s">
        <v>511</v>
      </c>
      <c r="B2389" t="s">
        <v>268</v>
      </c>
      <c r="C2389" t="s">
        <v>72</v>
      </c>
      <c r="D2389" s="6">
        <v>45797</v>
      </c>
      <c r="E2389" t="str">
        <f>VLOOKUP(B2389,'PROCV GERENTES BD'!A:B,2,0)</f>
        <v>PRISCILA METZ</v>
      </c>
      <c r="F2389" s="4" t="str">
        <f t="shared" si="189"/>
        <v>2025-05-2</v>
      </c>
      <c r="G2389" t="str">
        <f t="shared" si="185"/>
        <v>PRISCILA METZ</v>
      </c>
      <c r="H2389" t="str">
        <f t="shared" si="186"/>
        <v>ANDRADE ELETRO TECNICA LTDA EPP</v>
      </c>
      <c r="I2389">
        <f t="shared" si="187"/>
        <v>1</v>
      </c>
      <c r="J2389">
        <f t="shared" si="188"/>
        <v>0</v>
      </c>
    </row>
    <row r="2390" spans="1:10" x14ac:dyDescent="0.25">
      <c r="A2390" t="s">
        <v>529</v>
      </c>
      <c r="B2390" t="s">
        <v>293</v>
      </c>
      <c r="C2390" t="s">
        <v>56</v>
      </c>
      <c r="D2390" s="6">
        <v>45797</v>
      </c>
      <c r="E2390" t="str">
        <f>VLOOKUP(B2390,'PROCV GERENTES BD'!A:B,2,0)</f>
        <v>CELIO PIMENTA</v>
      </c>
      <c r="F2390" s="4" t="str">
        <f t="shared" si="189"/>
        <v>2025-05-2</v>
      </c>
      <c r="G2390" t="str">
        <f t="shared" si="185"/>
        <v>CELIO PIMENTA</v>
      </c>
      <c r="H2390" t="str">
        <f t="shared" si="186"/>
        <v>LINGERIE E CIA LTDA ME</v>
      </c>
      <c r="I2390">
        <f t="shared" si="187"/>
        <v>0</v>
      </c>
      <c r="J2390">
        <f t="shared" si="188"/>
        <v>1</v>
      </c>
    </row>
    <row r="2391" spans="1:10" x14ac:dyDescent="0.25">
      <c r="A2391" t="s">
        <v>518</v>
      </c>
      <c r="B2391" t="s">
        <v>280</v>
      </c>
      <c r="C2391" t="s">
        <v>56</v>
      </c>
      <c r="D2391" s="6">
        <v>45797</v>
      </c>
      <c r="E2391" t="str">
        <f>VLOOKUP(B2391,'PROCV GERENTES BD'!A:B,2,0)</f>
        <v>CELIO PIMENTA</v>
      </c>
      <c r="F2391" s="4" t="str">
        <f t="shared" si="189"/>
        <v>2025-05-2</v>
      </c>
      <c r="G2391" t="str">
        <f t="shared" si="185"/>
        <v>CELIO PIMENTA</v>
      </c>
      <c r="H2391" t="str">
        <f t="shared" si="186"/>
        <v>PRADO MOREIRA TEXTIL LTDA ME</v>
      </c>
      <c r="I2391">
        <f t="shared" si="187"/>
        <v>0</v>
      </c>
      <c r="J2391">
        <f t="shared" si="188"/>
        <v>1</v>
      </c>
    </row>
    <row r="2392" spans="1:10" x14ac:dyDescent="0.25">
      <c r="A2392" t="s">
        <v>378</v>
      </c>
      <c r="B2392" t="s">
        <v>121</v>
      </c>
      <c r="C2392" t="s">
        <v>56</v>
      </c>
      <c r="D2392" s="6">
        <v>45797</v>
      </c>
      <c r="E2392" t="str">
        <f>VLOOKUP(B2392,'PROCV GERENTES BD'!A:B,2,0)</f>
        <v>POENATELA</v>
      </c>
      <c r="F2392" s="4" t="str">
        <f t="shared" si="189"/>
        <v>2025-05-2</v>
      </c>
      <c r="G2392" t="str">
        <f t="shared" si="185"/>
        <v>POENATELA</v>
      </c>
      <c r="H2392" t="str">
        <f t="shared" si="186"/>
        <v>COOPERATIVA TRANSP AUTON CARGAS PASSAG SERVICOS LO</v>
      </c>
      <c r="I2392">
        <f t="shared" si="187"/>
        <v>0</v>
      </c>
      <c r="J2392">
        <f t="shared" si="188"/>
        <v>1</v>
      </c>
    </row>
    <row r="2393" spans="1:10" x14ac:dyDescent="0.25">
      <c r="A2393" t="s">
        <v>333</v>
      </c>
      <c r="B2393" t="s">
        <v>129</v>
      </c>
      <c r="C2393" t="s">
        <v>59</v>
      </c>
      <c r="D2393" s="6">
        <v>45797</v>
      </c>
      <c r="E2393" t="str">
        <f>VLOOKUP(B2393,'PROCV GERENTES BD'!A:B,2,0)</f>
        <v xml:space="preserve">ROGERIO </v>
      </c>
      <c r="F2393" s="4" t="str">
        <f t="shared" si="189"/>
        <v>2025-05-2</v>
      </c>
      <c r="G2393" t="str">
        <f t="shared" si="185"/>
        <v xml:space="preserve">ROGERIO </v>
      </c>
      <c r="H2393" t="str">
        <f t="shared" si="186"/>
        <v>BIBE PRODUTOS INFANTIS LTDA</v>
      </c>
      <c r="I2393">
        <f t="shared" si="187"/>
        <v>0</v>
      </c>
      <c r="J2393">
        <f t="shared" si="188"/>
        <v>0</v>
      </c>
    </row>
    <row r="2394" spans="1:10" x14ac:dyDescent="0.25">
      <c r="A2394" t="s">
        <v>420</v>
      </c>
      <c r="B2394" t="s">
        <v>169</v>
      </c>
      <c r="C2394" t="s">
        <v>56</v>
      </c>
      <c r="D2394" s="6">
        <v>45797</v>
      </c>
      <c r="E2394" t="str">
        <f>VLOOKUP(B2394,'PROCV GERENTES BD'!A:B,2,0)</f>
        <v>FITZ</v>
      </c>
      <c r="F2394" s="4" t="str">
        <f t="shared" si="189"/>
        <v>2025-05-2</v>
      </c>
      <c r="G2394" t="str">
        <f t="shared" si="185"/>
        <v>FITZ</v>
      </c>
      <c r="H2394" t="str">
        <f t="shared" si="186"/>
        <v>MORIA PRESTACAO DE SERVICOS LTDA ME</v>
      </c>
      <c r="I2394">
        <f t="shared" si="187"/>
        <v>0</v>
      </c>
      <c r="J2394">
        <f t="shared" si="188"/>
        <v>1</v>
      </c>
    </row>
    <row r="2395" spans="1:10" x14ac:dyDescent="0.25">
      <c r="A2395" t="s">
        <v>361</v>
      </c>
      <c r="B2395" t="s">
        <v>103</v>
      </c>
      <c r="C2395" t="s">
        <v>56</v>
      </c>
      <c r="D2395" s="6">
        <v>45797</v>
      </c>
      <c r="E2395" t="str">
        <f>VLOOKUP(B2395,'PROCV GERENTES BD'!A:B,2,0)</f>
        <v>PRISCILA METZ</v>
      </c>
      <c r="F2395" s="4" t="str">
        <f t="shared" si="189"/>
        <v>2025-05-2</v>
      </c>
      <c r="G2395" t="str">
        <f t="shared" si="185"/>
        <v>PRISCILA METZ</v>
      </c>
      <c r="H2395" t="str">
        <f t="shared" si="186"/>
        <v>ESSENZA INDUSTRIA QUIMICA LTDA</v>
      </c>
      <c r="I2395">
        <f t="shared" si="187"/>
        <v>0</v>
      </c>
      <c r="J2395">
        <f t="shared" si="188"/>
        <v>1</v>
      </c>
    </row>
    <row r="2396" spans="1:10" x14ac:dyDescent="0.25">
      <c r="A2396" t="s">
        <v>493</v>
      </c>
      <c r="B2396" t="s">
        <v>249</v>
      </c>
      <c r="C2396" t="s">
        <v>56</v>
      </c>
      <c r="D2396" s="6">
        <v>45797</v>
      </c>
      <c r="E2396" t="str">
        <f>VLOOKUP(B2396,'PROCV GERENTES BD'!A:B,2,0)</f>
        <v>FITZ</v>
      </c>
      <c r="F2396" s="4" t="str">
        <f t="shared" si="189"/>
        <v>2025-05-2</v>
      </c>
      <c r="G2396" t="str">
        <f t="shared" si="185"/>
        <v>FITZ</v>
      </c>
      <c r="H2396" t="str">
        <f t="shared" si="186"/>
        <v>GOIARTE SOLUCOES CONSTRUTIVAS EM CONCRETO LTDA</v>
      </c>
      <c r="I2396">
        <f t="shared" si="187"/>
        <v>0</v>
      </c>
      <c r="J2396">
        <f t="shared" si="188"/>
        <v>1</v>
      </c>
    </row>
    <row r="2397" spans="1:10" x14ac:dyDescent="0.25">
      <c r="A2397" t="s">
        <v>530</v>
      </c>
      <c r="B2397" t="s">
        <v>297</v>
      </c>
      <c r="C2397" t="s">
        <v>72</v>
      </c>
      <c r="D2397" s="6">
        <v>45797</v>
      </c>
      <c r="E2397" t="str">
        <f>VLOOKUP(B2397,'PROCV GERENTES BD'!A:B,2,0)</f>
        <v>CAIO</v>
      </c>
      <c r="F2397" s="4" t="str">
        <f t="shared" si="189"/>
        <v>2025-05-2</v>
      </c>
      <c r="G2397" t="str">
        <f t="shared" si="185"/>
        <v>CAIO</v>
      </c>
      <c r="H2397" t="str">
        <f t="shared" si="186"/>
        <v>C V T O IND E COM LTDA EPP</v>
      </c>
      <c r="I2397">
        <f t="shared" si="187"/>
        <v>1</v>
      </c>
      <c r="J2397">
        <f t="shared" si="188"/>
        <v>0</v>
      </c>
    </row>
    <row r="2398" spans="1:10" x14ac:dyDescent="0.25">
      <c r="A2398" t="s">
        <v>484</v>
      </c>
      <c r="B2398" t="s">
        <v>240</v>
      </c>
      <c r="C2398" t="s">
        <v>72</v>
      </c>
      <c r="D2398" s="6">
        <v>45797</v>
      </c>
      <c r="E2398" t="str">
        <f>VLOOKUP(B2398,'PROCV GERENTES BD'!A:B,2,0)</f>
        <v>PRISCILA METZ</v>
      </c>
      <c r="F2398" s="4" t="str">
        <f t="shared" si="189"/>
        <v>2025-05-2</v>
      </c>
      <c r="G2398" t="str">
        <f t="shared" si="185"/>
        <v>PRISCILA METZ</v>
      </c>
      <c r="H2398" t="str">
        <f t="shared" si="186"/>
        <v>TERRAPLAST INDUSTRIA E COMERCIO DE EQUIPAMENTOS DE</v>
      </c>
      <c r="I2398">
        <f t="shared" si="187"/>
        <v>1</v>
      </c>
      <c r="J2398">
        <f t="shared" si="188"/>
        <v>0</v>
      </c>
    </row>
    <row r="2399" spans="1:10" x14ac:dyDescent="0.25">
      <c r="A2399" t="s">
        <v>531</v>
      </c>
      <c r="B2399" t="s">
        <v>295</v>
      </c>
      <c r="C2399" t="s">
        <v>59</v>
      </c>
      <c r="D2399" s="6">
        <v>45797</v>
      </c>
      <c r="E2399" t="str">
        <f>VLOOKUP(B2399,'PROCV GERENTES BD'!A:B,2,0)</f>
        <v>ADMINISTRAÇÃO</v>
      </c>
      <c r="F2399" s="4" t="str">
        <f t="shared" si="189"/>
        <v>2025-05-2</v>
      </c>
      <c r="G2399" t="str">
        <f t="shared" si="185"/>
        <v>ADMINISTRAÇÃO</v>
      </c>
      <c r="H2399" t="str">
        <f t="shared" si="186"/>
        <v>REFRACONT BRASIL LTDA</v>
      </c>
      <c r="I2399">
        <f t="shared" si="187"/>
        <v>0</v>
      </c>
      <c r="J2399">
        <f t="shared" si="188"/>
        <v>0</v>
      </c>
    </row>
    <row r="2400" spans="1:10" x14ac:dyDescent="0.25">
      <c r="A2400" t="s">
        <v>532</v>
      </c>
      <c r="B2400" t="s">
        <v>296</v>
      </c>
      <c r="C2400" t="s">
        <v>56</v>
      </c>
      <c r="D2400" s="6">
        <v>45797</v>
      </c>
      <c r="E2400" t="str">
        <f>VLOOKUP(B2400,'PROCV GERENTES BD'!A:B,2,0)</f>
        <v>DALVA</v>
      </c>
      <c r="F2400" s="4" t="str">
        <f t="shared" si="189"/>
        <v>2025-05-2</v>
      </c>
      <c r="G2400" t="str">
        <f t="shared" si="185"/>
        <v>DALVA</v>
      </c>
      <c r="H2400" t="str">
        <f t="shared" si="186"/>
        <v>FRAITECH INTELIGENCIA EM AUTOMACAO LTDA</v>
      </c>
      <c r="I2400">
        <f t="shared" si="187"/>
        <v>0</v>
      </c>
      <c r="J2400">
        <f t="shared" si="188"/>
        <v>1</v>
      </c>
    </row>
    <row r="2401" spans="1:10" x14ac:dyDescent="0.25">
      <c r="A2401" t="s">
        <v>331</v>
      </c>
      <c r="B2401" t="s">
        <v>126</v>
      </c>
      <c r="C2401" t="s">
        <v>56</v>
      </c>
      <c r="D2401" s="6">
        <v>45797</v>
      </c>
      <c r="E2401" t="str">
        <f>VLOOKUP(B2401,'PROCV GERENTES BD'!A:B,2,0)</f>
        <v>FITZ</v>
      </c>
      <c r="F2401" s="4" t="str">
        <f t="shared" si="189"/>
        <v>2025-05-2</v>
      </c>
      <c r="G2401" t="str">
        <f t="shared" si="185"/>
        <v>FITZ</v>
      </c>
      <c r="H2401" t="str">
        <f t="shared" si="186"/>
        <v>TRANSHENRY TRANSPORTES LTDA</v>
      </c>
      <c r="I2401">
        <f t="shared" si="187"/>
        <v>0</v>
      </c>
      <c r="J2401">
        <f t="shared" si="188"/>
        <v>1</v>
      </c>
    </row>
    <row r="2402" spans="1:10" x14ac:dyDescent="0.25">
      <c r="A2402" t="s">
        <v>360</v>
      </c>
      <c r="B2402" t="s">
        <v>102</v>
      </c>
      <c r="C2402" t="s">
        <v>56</v>
      </c>
      <c r="D2402" s="6">
        <v>45797</v>
      </c>
      <c r="E2402" t="str">
        <f>VLOOKUP(B2402,'PROCV GERENTES BD'!A:B,2,0)</f>
        <v>POENATELA</v>
      </c>
      <c r="F2402" s="4" t="str">
        <f t="shared" si="189"/>
        <v>2025-05-2</v>
      </c>
      <c r="G2402" t="str">
        <f t="shared" si="185"/>
        <v>POENATELA</v>
      </c>
      <c r="H2402" t="str">
        <f t="shared" si="186"/>
        <v>SUPER HARD TECNOLOGIA EM TRATAMENTO DE SUPERFICIES</v>
      </c>
      <c r="I2402">
        <f t="shared" si="187"/>
        <v>0</v>
      </c>
      <c r="J2402">
        <f t="shared" si="188"/>
        <v>1</v>
      </c>
    </row>
    <row r="2403" spans="1:10" x14ac:dyDescent="0.25">
      <c r="A2403" t="s">
        <v>330</v>
      </c>
      <c r="B2403" t="s">
        <v>116</v>
      </c>
      <c r="C2403" t="s">
        <v>56</v>
      </c>
      <c r="D2403" s="6">
        <v>45797</v>
      </c>
      <c r="E2403" t="str">
        <f>VLOOKUP(B2403,'PROCV GERENTES BD'!A:B,2,0)</f>
        <v>FITZ</v>
      </c>
      <c r="F2403" s="4" t="str">
        <f t="shared" si="189"/>
        <v>2025-05-2</v>
      </c>
      <c r="G2403" t="str">
        <f t="shared" si="185"/>
        <v>FITZ</v>
      </c>
      <c r="H2403" t="str">
        <f t="shared" si="186"/>
        <v>SIAP COMERCIO DE PRODUTOS AGROPECUARIOS LTDA</v>
      </c>
      <c r="I2403">
        <f t="shared" si="187"/>
        <v>0</v>
      </c>
      <c r="J2403">
        <f t="shared" si="188"/>
        <v>1</v>
      </c>
    </row>
    <row r="2404" spans="1:10" x14ac:dyDescent="0.25">
      <c r="A2404" t="s">
        <v>371</v>
      </c>
      <c r="B2404" t="s">
        <v>115</v>
      </c>
      <c r="C2404" t="s">
        <v>72</v>
      </c>
      <c r="D2404" s="6">
        <v>45797</v>
      </c>
      <c r="E2404" t="str">
        <f>VLOOKUP(B2404,'PROCV GERENTES BD'!A:B,2,0)</f>
        <v>ANDERSON FRAGA</v>
      </c>
      <c r="F2404" s="4" t="str">
        <f t="shared" si="189"/>
        <v>2025-05-2</v>
      </c>
      <c r="G2404" t="str">
        <f t="shared" si="185"/>
        <v>ANDERSON FRAGA</v>
      </c>
      <c r="H2404" t="str">
        <f t="shared" si="186"/>
        <v>AMP INDUSTRIA E COMERCIO DE CONDUTORES LTDA</v>
      </c>
      <c r="I2404">
        <f t="shared" si="187"/>
        <v>1</v>
      </c>
      <c r="J2404">
        <f t="shared" si="188"/>
        <v>0</v>
      </c>
    </row>
    <row r="2405" spans="1:10" x14ac:dyDescent="0.25">
      <c r="A2405" t="s">
        <v>60</v>
      </c>
      <c r="B2405" t="s">
        <v>61</v>
      </c>
      <c r="C2405" t="s">
        <v>56</v>
      </c>
      <c r="D2405" s="6">
        <v>45797</v>
      </c>
      <c r="E2405" t="str">
        <f>VLOOKUP(B2405,'PROCV GERENTES BD'!A:B,2,0)</f>
        <v>CELIO PIMENTA</v>
      </c>
      <c r="F2405" s="4" t="str">
        <f t="shared" si="189"/>
        <v>2025-05-2</v>
      </c>
      <c r="G2405" t="str">
        <f t="shared" si="185"/>
        <v>CELIO PIMENTA</v>
      </c>
      <c r="H2405" t="str">
        <f t="shared" si="186"/>
        <v>WJ CALDEIRARIA INDUSTRIA E COMERCIO LTDA ME</v>
      </c>
      <c r="I2405">
        <f t="shared" si="187"/>
        <v>0</v>
      </c>
      <c r="J2405">
        <f t="shared" si="188"/>
        <v>1</v>
      </c>
    </row>
    <row r="2406" spans="1:10" x14ac:dyDescent="0.25">
      <c r="A2406" t="s">
        <v>62</v>
      </c>
      <c r="B2406" t="s">
        <v>63</v>
      </c>
      <c r="C2406" t="s">
        <v>72</v>
      </c>
      <c r="D2406" s="6">
        <v>45797</v>
      </c>
      <c r="E2406" t="str">
        <f>VLOOKUP(B2406,'PROCV GERENTES BD'!A:B,2,0)</f>
        <v xml:space="preserve">ROGERIO </v>
      </c>
      <c r="F2406" s="4" t="str">
        <f t="shared" si="189"/>
        <v>2025-05-2</v>
      </c>
      <c r="G2406" t="str">
        <f t="shared" si="185"/>
        <v xml:space="preserve">ROGERIO </v>
      </c>
      <c r="H2406" t="str">
        <f t="shared" si="186"/>
        <v>RODOVIEIRA TRANSPORTE LTDA</v>
      </c>
      <c r="I2406">
        <f t="shared" si="187"/>
        <v>1</v>
      </c>
      <c r="J2406">
        <f t="shared" si="188"/>
        <v>0</v>
      </c>
    </row>
    <row r="2407" spans="1:10" x14ac:dyDescent="0.25">
      <c r="A2407" t="s">
        <v>521</v>
      </c>
      <c r="B2407" t="s">
        <v>282</v>
      </c>
      <c r="C2407" t="s">
        <v>56</v>
      </c>
      <c r="D2407" s="6">
        <v>45797</v>
      </c>
      <c r="E2407" t="str">
        <f>VLOOKUP(B2407,'PROCV GERENTES BD'!A:B,2,0)</f>
        <v>ALISSON DE SOUZA LIMA</v>
      </c>
      <c r="F2407" s="4" t="str">
        <f t="shared" si="189"/>
        <v>2025-05-2</v>
      </c>
      <c r="G2407" t="str">
        <f t="shared" si="185"/>
        <v>ALISSON DE SOUZA LIMA</v>
      </c>
      <c r="H2407" t="str">
        <f t="shared" si="186"/>
        <v>COMERCIAL JLX DISTRIBUIDORA LTDA ME</v>
      </c>
      <c r="I2407">
        <f t="shared" si="187"/>
        <v>0</v>
      </c>
      <c r="J2407">
        <f t="shared" si="188"/>
        <v>1</v>
      </c>
    </row>
    <row r="2408" spans="1:10" x14ac:dyDescent="0.25">
      <c r="A2408" t="s">
        <v>64</v>
      </c>
      <c r="B2408" t="s">
        <v>65</v>
      </c>
      <c r="C2408" t="s">
        <v>56</v>
      </c>
      <c r="D2408" s="6">
        <v>45797</v>
      </c>
      <c r="E2408" t="str">
        <f>VLOOKUP(B2408,'PROCV GERENTES BD'!A:B,2,0)</f>
        <v>ADMINISTRAÇÃO</v>
      </c>
      <c r="F2408" s="4" t="str">
        <f t="shared" si="189"/>
        <v>2025-05-2</v>
      </c>
      <c r="G2408" t="str">
        <f t="shared" si="185"/>
        <v>ADMINISTRAÇÃO</v>
      </c>
      <c r="H2408" t="str">
        <f t="shared" si="186"/>
        <v>BIOTECH LOGISTICA LTDA</v>
      </c>
      <c r="I2408">
        <f t="shared" si="187"/>
        <v>0</v>
      </c>
      <c r="J2408">
        <f t="shared" si="188"/>
        <v>1</v>
      </c>
    </row>
    <row r="2409" spans="1:10" x14ac:dyDescent="0.25">
      <c r="A2409" t="s">
        <v>380</v>
      </c>
      <c r="B2409" t="s">
        <v>123</v>
      </c>
      <c r="C2409" t="s">
        <v>56</v>
      </c>
      <c r="D2409" s="6">
        <v>45797</v>
      </c>
      <c r="E2409" t="str">
        <f>VLOOKUP(B2409,'PROCV GERENTES BD'!A:B,2,0)</f>
        <v>ANTONIO CARLOS</v>
      </c>
      <c r="F2409" s="4" t="str">
        <f t="shared" si="189"/>
        <v>2025-05-2</v>
      </c>
      <c r="G2409" t="str">
        <f t="shared" si="185"/>
        <v>ANTONIO CARLOS</v>
      </c>
      <c r="H2409" t="str">
        <f t="shared" si="186"/>
        <v>PREMOLDADOS MATOSINHOS LTDA EPP</v>
      </c>
      <c r="I2409">
        <f t="shared" si="187"/>
        <v>0</v>
      </c>
      <c r="J2409">
        <f t="shared" si="188"/>
        <v>1</v>
      </c>
    </row>
    <row r="2410" spans="1:10" x14ac:dyDescent="0.25">
      <c r="A2410" t="s">
        <v>57</v>
      </c>
      <c r="B2410" t="s">
        <v>58</v>
      </c>
      <c r="C2410" t="s">
        <v>56</v>
      </c>
      <c r="D2410" s="6">
        <v>45797</v>
      </c>
      <c r="E2410" t="str">
        <f>VLOOKUP(B2410,'PROCV GERENTES BD'!A:B,2,0)</f>
        <v>RAFAEL PARISE</v>
      </c>
      <c r="F2410" s="4" t="str">
        <f t="shared" si="189"/>
        <v>2025-05-2</v>
      </c>
      <c r="G2410" t="str">
        <f t="shared" si="185"/>
        <v>RAFAEL PARISE</v>
      </c>
      <c r="H2410" t="str">
        <f t="shared" si="186"/>
        <v>TDR TRANSPORTES LOGISTICA LTDA</v>
      </c>
      <c r="I2410">
        <f t="shared" si="187"/>
        <v>0</v>
      </c>
      <c r="J2410">
        <f t="shared" si="188"/>
        <v>1</v>
      </c>
    </row>
    <row r="2411" spans="1:10" x14ac:dyDescent="0.25">
      <c r="A2411" t="s">
        <v>512</v>
      </c>
      <c r="B2411" t="s">
        <v>272</v>
      </c>
      <c r="C2411" t="s">
        <v>56</v>
      </c>
      <c r="D2411" s="6">
        <v>45797</v>
      </c>
      <c r="E2411" t="str">
        <f>VLOOKUP(B2411,'PROCV GERENTES BD'!A:B,2,0)</f>
        <v>NOELI SALETE</v>
      </c>
      <c r="F2411" s="4" t="str">
        <f t="shared" si="189"/>
        <v>2025-05-2</v>
      </c>
      <c r="G2411" t="str">
        <f t="shared" si="185"/>
        <v>NOELI SALETE</v>
      </c>
      <c r="H2411" t="str">
        <f t="shared" si="186"/>
        <v>TRANSPORTES TRANS BERTIN LTDA</v>
      </c>
      <c r="I2411">
        <f t="shared" si="187"/>
        <v>0</v>
      </c>
      <c r="J2411">
        <f t="shared" si="188"/>
        <v>1</v>
      </c>
    </row>
    <row r="2412" spans="1:10" x14ac:dyDescent="0.25">
      <c r="A2412" t="s">
        <v>383</v>
      </c>
      <c r="B2412" t="s">
        <v>127</v>
      </c>
      <c r="C2412" t="s">
        <v>72</v>
      </c>
      <c r="D2412" s="6">
        <v>45798</v>
      </c>
      <c r="E2412" t="str">
        <f>VLOOKUP(B2412,'PROCV GERENTES BD'!A:B,2,0)</f>
        <v>NATALIA NUBIA</v>
      </c>
      <c r="F2412" s="4" t="str">
        <f t="shared" si="189"/>
        <v>2025-05-2</v>
      </c>
      <c r="G2412" t="str">
        <f t="shared" si="185"/>
        <v>NATALIA NUBIA</v>
      </c>
      <c r="H2412" t="str">
        <f t="shared" si="186"/>
        <v>FARINELLI NUTRIMENTOS LTDA</v>
      </c>
      <c r="I2412">
        <f t="shared" si="187"/>
        <v>1</v>
      </c>
      <c r="J2412">
        <f t="shared" si="188"/>
        <v>0</v>
      </c>
    </row>
    <row r="2413" spans="1:10" x14ac:dyDescent="0.25">
      <c r="A2413" t="s">
        <v>494</v>
      </c>
      <c r="B2413" t="s">
        <v>250</v>
      </c>
      <c r="C2413" t="s">
        <v>56</v>
      </c>
      <c r="D2413" s="6">
        <v>45798</v>
      </c>
      <c r="E2413" t="str">
        <f>VLOOKUP(B2413,'PROCV GERENTES BD'!A:B,2,0)</f>
        <v>NOELI SALETE</v>
      </c>
      <c r="F2413" s="4" t="str">
        <f t="shared" si="189"/>
        <v>2025-05-2</v>
      </c>
      <c r="G2413" t="str">
        <f t="shared" si="185"/>
        <v>NOELI SALETE</v>
      </c>
      <c r="H2413" t="str">
        <f t="shared" si="186"/>
        <v>SMARTCENTERGROUP COMERCIO DE EQUIPAMENTOS DE INFOR</v>
      </c>
      <c r="I2413">
        <f t="shared" si="187"/>
        <v>0</v>
      </c>
      <c r="J2413">
        <f t="shared" si="188"/>
        <v>1</v>
      </c>
    </row>
    <row r="2414" spans="1:10" x14ac:dyDescent="0.25">
      <c r="A2414" t="s">
        <v>321</v>
      </c>
      <c r="B2414" t="s">
        <v>253</v>
      </c>
      <c r="C2414" t="s">
        <v>72</v>
      </c>
      <c r="D2414" s="6">
        <v>45798</v>
      </c>
      <c r="E2414" t="str">
        <f>VLOOKUP(B2414,'PROCV GERENTES BD'!A:B,2,0)</f>
        <v>THAYNA/COMERCIAL</v>
      </c>
      <c r="F2414" s="4" t="str">
        <f t="shared" si="189"/>
        <v>2025-05-2</v>
      </c>
      <c r="G2414" t="str">
        <f t="shared" si="185"/>
        <v>THAYNA/COMERCIAL</v>
      </c>
      <c r="H2414" t="str">
        <f t="shared" si="186"/>
        <v>MUTCD CENTRO DE DISTRIBUICAO DE IND FABRICANTE DE</v>
      </c>
      <c r="I2414">
        <f t="shared" si="187"/>
        <v>1</v>
      </c>
      <c r="J2414">
        <f t="shared" si="188"/>
        <v>0</v>
      </c>
    </row>
    <row r="2415" spans="1:10" x14ac:dyDescent="0.25">
      <c r="A2415" t="s">
        <v>378</v>
      </c>
      <c r="B2415" t="s">
        <v>121</v>
      </c>
      <c r="C2415" t="s">
        <v>72</v>
      </c>
      <c r="D2415" s="6">
        <v>45798</v>
      </c>
      <c r="E2415" t="str">
        <f>VLOOKUP(B2415,'PROCV GERENTES BD'!A:B,2,0)</f>
        <v>POENATELA</v>
      </c>
      <c r="F2415" s="4" t="str">
        <f t="shared" si="189"/>
        <v>2025-05-2</v>
      </c>
      <c r="G2415" t="str">
        <f t="shared" si="185"/>
        <v>POENATELA</v>
      </c>
      <c r="H2415" t="str">
        <f t="shared" si="186"/>
        <v>COOPERATIVA TRANSP AUTON CARGAS PASSAG SERVICOS LO</v>
      </c>
      <c r="I2415">
        <f t="shared" si="187"/>
        <v>1</v>
      </c>
      <c r="J2415">
        <f t="shared" si="188"/>
        <v>0</v>
      </c>
    </row>
    <row r="2416" spans="1:10" x14ac:dyDescent="0.25">
      <c r="A2416" t="s">
        <v>78</v>
      </c>
      <c r="B2416" t="s">
        <v>79</v>
      </c>
      <c r="C2416" t="s">
        <v>56</v>
      </c>
      <c r="D2416" s="6">
        <v>45798</v>
      </c>
      <c r="E2416" t="str">
        <f>VLOOKUP(B2416,'PROCV GERENTES BD'!A:B,2,0)</f>
        <v>NOELI SALETE</v>
      </c>
      <c r="F2416" s="4" t="str">
        <f t="shared" si="189"/>
        <v>2025-05-2</v>
      </c>
      <c r="G2416" t="str">
        <f t="shared" si="185"/>
        <v>NOELI SALETE</v>
      </c>
      <c r="H2416" t="str">
        <f t="shared" si="186"/>
        <v>SMARTCENTER SOLUCOES INTELIGENTES LTDA ME</v>
      </c>
      <c r="I2416">
        <f t="shared" si="187"/>
        <v>0</v>
      </c>
      <c r="J2416">
        <f t="shared" si="188"/>
        <v>1</v>
      </c>
    </row>
    <row r="2417" spans="1:10" x14ac:dyDescent="0.25">
      <c r="A2417" t="s">
        <v>523</v>
      </c>
      <c r="B2417" t="s">
        <v>284</v>
      </c>
      <c r="C2417" t="s">
        <v>72</v>
      </c>
      <c r="D2417" s="6">
        <v>45798</v>
      </c>
      <c r="E2417" t="str">
        <f>VLOOKUP(B2417,'PROCV GERENTES BD'!A:B,2,0)</f>
        <v>ALISSON DE SOUZA LIMA</v>
      </c>
      <c r="F2417" s="4" t="str">
        <f t="shared" si="189"/>
        <v>2025-05-2</v>
      </c>
      <c r="G2417" t="str">
        <f t="shared" si="185"/>
        <v>ALISSON DE SOUZA LIMA</v>
      </c>
      <c r="H2417" t="str">
        <f t="shared" si="186"/>
        <v>COMERCIAL GTS INFORMATICA LTDA EPP</v>
      </c>
      <c r="I2417">
        <f t="shared" si="187"/>
        <v>1</v>
      </c>
      <c r="J2417">
        <f t="shared" si="188"/>
        <v>0</v>
      </c>
    </row>
    <row r="2418" spans="1:10" x14ac:dyDescent="0.25">
      <c r="A2418" t="s">
        <v>70</v>
      </c>
      <c r="B2418" t="s">
        <v>71</v>
      </c>
      <c r="C2418" t="s">
        <v>56</v>
      </c>
      <c r="D2418" s="6">
        <v>45798</v>
      </c>
      <c r="E2418" t="str">
        <f>VLOOKUP(B2418,'PROCV GERENTES BD'!A:B,2,0)</f>
        <v>SEM GERENTE</v>
      </c>
      <c r="F2418" s="4" t="str">
        <f t="shared" si="189"/>
        <v>2025-05-2</v>
      </c>
      <c r="G2418" t="str">
        <f t="shared" si="185"/>
        <v>SEM GERENTE</v>
      </c>
      <c r="H2418" t="str">
        <f t="shared" si="186"/>
        <v>SOCIAL S/A</v>
      </c>
      <c r="I2418">
        <f t="shared" si="187"/>
        <v>0</v>
      </c>
      <c r="J2418">
        <f t="shared" si="188"/>
        <v>1</v>
      </c>
    </row>
    <row r="2419" spans="1:10" x14ac:dyDescent="0.25">
      <c r="A2419" t="s">
        <v>68</v>
      </c>
      <c r="B2419" t="s">
        <v>69</v>
      </c>
      <c r="C2419" t="s">
        <v>56</v>
      </c>
      <c r="D2419" s="6">
        <v>45798</v>
      </c>
      <c r="E2419" t="str">
        <f>VLOOKUP(B2419,'PROCV GERENTES BD'!A:B,2,0)</f>
        <v>FITZ</v>
      </c>
      <c r="F2419" s="4" t="str">
        <f t="shared" si="189"/>
        <v>2025-05-2</v>
      </c>
      <c r="G2419" t="str">
        <f t="shared" si="185"/>
        <v>FITZ</v>
      </c>
      <c r="H2419" t="str">
        <f t="shared" si="186"/>
        <v>MAPP COM IMPORTACAO EXPORTACAO IND PRODUTOS ALIMEN</v>
      </c>
      <c r="I2419">
        <f t="shared" si="187"/>
        <v>0</v>
      </c>
      <c r="J2419">
        <f t="shared" si="188"/>
        <v>1</v>
      </c>
    </row>
    <row r="2420" spans="1:10" x14ac:dyDescent="0.25">
      <c r="A2420" t="s">
        <v>483</v>
      </c>
      <c r="B2420" t="s">
        <v>239</v>
      </c>
      <c r="C2420" t="s">
        <v>72</v>
      </c>
      <c r="D2420" s="6">
        <v>45798</v>
      </c>
      <c r="E2420" t="str">
        <f>VLOOKUP(B2420,'PROCV GERENTES BD'!A:B,2,0)</f>
        <v>POENATELA</v>
      </c>
      <c r="F2420" s="4" t="str">
        <f t="shared" si="189"/>
        <v>2025-05-2</v>
      </c>
      <c r="G2420" t="str">
        <f t="shared" si="185"/>
        <v>POENATELA</v>
      </c>
      <c r="H2420" t="str">
        <f t="shared" si="186"/>
        <v>JUATUBA MOVEIS E EMBALAGENS LTDA</v>
      </c>
      <c r="I2420">
        <f t="shared" si="187"/>
        <v>1</v>
      </c>
      <c r="J2420">
        <f t="shared" si="188"/>
        <v>0</v>
      </c>
    </row>
    <row r="2421" spans="1:10" x14ac:dyDescent="0.25">
      <c r="A2421" t="s">
        <v>420</v>
      </c>
      <c r="B2421" t="s">
        <v>169</v>
      </c>
      <c r="C2421" t="s">
        <v>56</v>
      </c>
      <c r="D2421" s="6">
        <v>45798</v>
      </c>
      <c r="E2421" t="str">
        <f>VLOOKUP(B2421,'PROCV GERENTES BD'!A:B,2,0)</f>
        <v>FITZ</v>
      </c>
      <c r="F2421" s="4" t="str">
        <f t="shared" si="189"/>
        <v>2025-05-2</v>
      </c>
      <c r="G2421" t="str">
        <f t="shared" si="185"/>
        <v>FITZ</v>
      </c>
      <c r="H2421" t="str">
        <f t="shared" si="186"/>
        <v>MORIA PRESTACAO DE SERVICOS LTDA ME</v>
      </c>
      <c r="I2421">
        <f t="shared" si="187"/>
        <v>0</v>
      </c>
      <c r="J2421">
        <f t="shared" si="188"/>
        <v>1</v>
      </c>
    </row>
    <row r="2422" spans="1:10" x14ac:dyDescent="0.25">
      <c r="A2422" t="s">
        <v>434</v>
      </c>
      <c r="B2422" t="s">
        <v>184</v>
      </c>
      <c r="C2422" t="s">
        <v>56</v>
      </c>
      <c r="D2422" s="6">
        <v>45798</v>
      </c>
      <c r="E2422" t="str">
        <f>VLOOKUP(B2422,'PROCV GERENTES BD'!A:B,2,0)</f>
        <v>WHELKYA IRIS</v>
      </c>
      <c r="F2422" s="4" t="str">
        <f t="shared" si="189"/>
        <v>2025-05-2</v>
      </c>
      <c r="G2422" t="str">
        <f t="shared" si="185"/>
        <v>WHELKYA IRIS</v>
      </c>
      <c r="H2422" t="str">
        <f t="shared" si="186"/>
        <v>JFIX INDUSTRIA QUIMICA LTDA ME</v>
      </c>
      <c r="I2422">
        <f t="shared" si="187"/>
        <v>0</v>
      </c>
      <c r="J2422">
        <f t="shared" si="188"/>
        <v>1</v>
      </c>
    </row>
    <row r="2423" spans="1:10" x14ac:dyDescent="0.25">
      <c r="A2423" t="s">
        <v>380</v>
      </c>
      <c r="B2423" t="s">
        <v>123</v>
      </c>
      <c r="C2423" t="s">
        <v>56</v>
      </c>
      <c r="D2423" s="6">
        <v>45798</v>
      </c>
      <c r="E2423" t="str">
        <f>VLOOKUP(B2423,'PROCV GERENTES BD'!A:B,2,0)</f>
        <v>ANTONIO CARLOS</v>
      </c>
      <c r="F2423" s="4" t="str">
        <f t="shared" si="189"/>
        <v>2025-05-2</v>
      </c>
      <c r="G2423" t="str">
        <f t="shared" si="185"/>
        <v>ANTONIO CARLOS</v>
      </c>
      <c r="H2423" t="str">
        <f t="shared" si="186"/>
        <v>PREMOLDADOS MATOSINHOS LTDA EPP</v>
      </c>
      <c r="I2423">
        <f t="shared" si="187"/>
        <v>0</v>
      </c>
      <c r="J2423">
        <f t="shared" si="188"/>
        <v>1</v>
      </c>
    </row>
    <row r="2424" spans="1:10" x14ac:dyDescent="0.25">
      <c r="A2424" t="s">
        <v>325</v>
      </c>
      <c r="B2424" t="s">
        <v>210</v>
      </c>
      <c r="C2424" t="s">
        <v>72</v>
      </c>
      <c r="D2424" s="6">
        <v>45798</v>
      </c>
      <c r="E2424" t="str">
        <f>VLOOKUP(B2424,'PROCV GERENTES BD'!A:B,2,0)</f>
        <v>JOSE ROBERTO</v>
      </c>
      <c r="F2424" s="4" t="str">
        <f t="shared" si="189"/>
        <v>2025-05-2</v>
      </c>
      <c r="G2424" t="str">
        <f t="shared" si="185"/>
        <v>JOSE ROBERTO</v>
      </c>
      <c r="H2424" t="str">
        <f t="shared" si="186"/>
        <v>FUNDACAO DE ENSINO E PESQUISA DO SUL DE MINAS FEPE</v>
      </c>
      <c r="I2424">
        <f t="shared" si="187"/>
        <v>1</v>
      </c>
      <c r="J2424">
        <f t="shared" si="188"/>
        <v>0</v>
      </c>
    </row>
    <row r="2425" spans="1:10" x14ac:dyDescent="0.25">
      <c r="A2425" t="s">
        <v>509</v>
      </c>
      <c r="B2425" t="s">
        <v>267</v>
      </c>
      <c r="C2425" t="s">
        <v>56</v>
      </c>
      <c r="D2425" s="6">
        <v>45798</v>
      </c>
      <c r="E2425" t="str">
        <f>VLOOKUP(B2425,'PROCV GERENTES BD'!A:B,2,0)</f>
        <v>SEM GERENTE</v>
      </c>
      <c r="F2425" s="4" t="str">
        <f t="shared" si="189"/>
        <v>2025-05-2</v>
      </c>
      <c r="G2425" t="str">
        <f t="shared" si="185"/>
        <v>SEM GERENTE</v>
      </c>
      <c r="H2425" t="str">
        <f t="shared" si="186"/>
        <v>ENGREMAT ENG PROJETO MANUTENCAO INSPECAO MONTAGENS</v>
      </c>
      <c r="I2425">
        <f t="shared" si="187"/>
        <v>0</v>
      </c>
      <c r="J2425">
        <f t="shared" si="188"/>
        <v>1</v>
      </c>
    </row>
    <row r="2426" spans="1:10" x14ac:dyDescent="0.25">
      <c r="A2426" t="s">
        <v>521</v>
      </c>
      <c r="B2426" t="s">
        <v>282</v>
      </c>
      <c r="C2426" t="s">
        <v>59</v>
      </c>
      <c r="D2426" s="6">
        <v>45798</v>
      </c>
      <c r="E2426" t="str">
        <f>VLOOKUP(B2426,'PROCV GERENTES BD'!A:B,2,0)</f>
        <v>ALISSON DE SOUZA LIMA</v>
      </c>
      <c r="F2426" s="4" t="str">
        <f t="shared" si="189"/>
        <v>2025-05-2</v>
      </c>
      <c r="G2426" t="str">
        <f t="shared" si="185"/>
        <v>ALISSON DE SOUZA LIMA</v>
      </c>
      <c r="H2426" t="str">
        <f t="shared" si="186"/>
        <v>COMERCIAL JLX DISTRIBUIDORA LTDA ME</v>
      </c>
      <c r="I2426">
        <f t="shared" si="187"/>
        <v>0</v>
      </c>
      <c r="J2426">
        <f t="shared" si="188"/>
        <v>0</v>
      </c>
    </row>
    <row r="2427" spans="1:10" x14ac:dyDescent="0.25">
      <c r="A2427" t="s">
        <v>326</v>
      </c>
      <c r="B2427" t="s">
        <v>86</v>
      </c>
      <c r="C2427" t="s">
        <v>56</v>
      </c>
      <c r="D2427" s="6">
        <v>45798</v>
      </c>
      <c r="E2427" t="str">
        <f>VLOOKUP(B2427,'PROCV GERENTES BD'!A:B,2,0)</f>
        <v>CELIO PIMENTA</v>
      </c>
      <c r="F2427" s="4" t="str">
        <f t="shared" si="189"/>
        <v>2025-05-2</v>
      </c>
      <c r="G2427" t="str">
        <f t="shared" si="185"/>
        <v>CELIO PIMENTA</v>
      </c>
      <c r="H2427" t="str">
        <f t="shared" si="186"/>
        <v>IMPORTEXTIL COMERCIO DE TECIDOS LTDA</v>
      </c>
      <c r="I2427">
        <f t="shared" si="187"/>
        <v>0</v>
      </c>
      <c r="J2427">
        <f t="shared" si="188"/>
        <v>1</v>
      </c>
    </row>
    <row r="2428" spans="1:10" x14ac:dyDescent="0.25">
      <c r="A2428" t="s">
        <v>62</v>
      </c>
      <c r="B2428" t="s">
        <v>63</v>
      </c>
      <c r="C2428" t="s">
        <v>56</v>
      </c>
      <c r="D2428" s="6">
        <v>45798</v>
      </c>
      <c r="E2428" t="str">
        <f>VLOOKUP(B2428,'PROCV GERENTES BD'!A:B,2,0)</f>
        <v xml:space="preserve">ROGERIO </v>
      </c>
      <c r="F2428" s="4" t="str">
        <f t="shared" si="189"/>
        <v>2025-05-2</v>
      </c>
      <c r="G2428" t="str">
        <f t="shared" si="185"/>
        <v xml:space="preserve">ROGERIO </v>
      </c>
      <c r="H2428" t="str">
        <f t="shared" si="186"/>
        <v>RODOVIEIRA TRANSPORTE LTDA</v>
      </c>
      <c r="I2428">
        <f t="shared" si="187"/>
        <v>0</v>
      </c>
      <c r="J2428">
        <f t="shared" si="188"/>
        <v>1</v>
      </c>
    </row>
    <row r="2429" spans="1:10" x14ac:dyDescent="0.25">
      <c r="A2429" t="s">
        <v>327</v>
      </c>
      <c r="B2429" t="s">
        <v>212</v>
      </c>
      <c r="C2429" t="s">
        <v>56</v>
      </c>
      <c r="D2429" s="6">
        <v>45798</v>
      </c>
      <c r="E2429" t="str">
        <f>VLOOKUP(B2429,'PROCV GERENTES BD'!A:B,2,0)</f>
        <v xml:space="preserve">MARCUS VINICIUS </v>
      </c>
      <c r="F2429" s="4" t="str">
        <f t="shared" si="189"/>
        <v>2025-05-2</v>
      </c>
      <c r="G2429" t="str">
        <f t="shared" si="185"/>
        <v xml:space="preserve">MARCUS VINICIUS </v>
      </c>
      <c r="H2429" t="str">
        <f t="shared" si="186"/>
        <v>COMERCIAL GODINHO FERREIRA LTDA</v>
      </c>
      <c r="I2429">
        <f t="shared" si="187"/>
        <v>0</v>
      </c>
      <c r="J2429">
        <f t="shared" si="188"/>
        <v>1</v>
      </c>
    </row>
    <row r="2430" spans="1:10" x14ac:dyDescent="0.25">
      <c r="A2430" t="s">
        <v>339</v>
      </c>
      <c r="B2430" t="s">
        <v>151</v>
      </c>
      <c r="C2430" t="s">
        <v>56</v>
      </c>
      <c r="D2430" s="6">
        <v>45798</v>
      </c>
      <c r="E2430" t="str">
        <f>VLOOKUP(B2430,'PROCV GERENTES BD'!A:B,2,0)</f>
        <v>ADMINISTRAÇÃO</v>
      </c>
      <c r="F2430" s="4" t="str">
        <f t="shared" si="189"/>
        <v>2025-05-2</v>
      </c>
      <c r="G2430" t="str">
        <f t="shared" si="185"/>
        <v>ADMINISTRAÇÃO</v>
      </c>
      <c r="H2430" t="str">
        <f t="shared" si="186"/>
        <v>BOM PASTOR PAPEIS LTDA EM RECUPERACAO JUDICIAL</v>
      </c>
      <c r="I2430">
        <f t="shared" si="187"/>
        <v>0</v>
      </c>
      <c r="J2430">
        <f t="shared" si="188"/>
        <v>1</v>
      </c>
    </row>
    <row r="2431" spans="1:10" x14ac:dyDescent="0.25">
      <c r="A2431" t="s">
        <v>57</v>
      </c>
      <c r="B2431" t="s">
        <v>58</v>
      </c>
      <c r="C2431" t="s">
        <v>56</v>
      </c>
      <c r="D2431" s="6">
        <v>45798</v>
      </c>
      <c r="E2431" t="str">
        <f>VLOOKUP(B2431,'PROCV GERENTES BD'!A:B,2,0)</f>
        <v>RAFAEL PARISE</v>
      </c>
      <c r="F2431" s="4" t="str">
        <f t="shared" si="189"/>
        <v>2025-05-2</v>
      </c>
      <c r="G2431" t="str">
        <f t="shared" si="185"/>
        <v>RAFAEL PARISE</v>
      </c>
      <c r="H2431" t="str">
        <f t="shared" si="186"/>
        <v>TDR TRANSPORTES LOGISTICA LTDA</v>
      </c>
      <c r="I2431">
        <f t="shared" si="187"/>
        <v>0</v>
      </c>
      <c r="J2431">
        <f t="shared" si="188"/>
        <v>1</v>
      </c>
    </row>
    <row r="2432" spans="1:10" x14ac:dyDescent="0.25">
      <c r="A2432" t="s">
        <v>330</v>
      </c>
      <c r="B2432" t="s">
        <v>116</v>
      </c>
      <c r="C2432" t="s">
        <v>56</v>
      </c>
      <c r="D2432" s="6">
        <v>45798</v>
      </c>
      <c r="E2432" t="str">
        <f>VLOOKUP(B2432,'PROCV GERENTES BD'!A:B,2,0)</f>
        <v>FITZ</v>
      </c>
      <c r="F2432" s="4" t="str">
        <f t="shared" si="189"/>
        <v>2025-05-2</v>
      </c>
      <c r="G2432" t="str">
        <f t="shared" si="185"/>
        <v>FITZ</v>
      </c>
      <c r="H2432" t="str">
        <f t="shared" si="186"/>
        <v>SIAP COMERCIO DE PRODUTOS AGROPECUARIOS LTDA</v>
      </c>
      <c r="I2432">
        <f t="shared" si="187"/>
        <v>0</v>
      </c>
      <c r="J2432">
        <f t="shared" si="188"/>
        <v>1</v>
      </c>
    </row>
    <row r="2433" spans="1:10" x14ac:dyDescent="0.25">
      <c r="A2433" t="s">
        <v>331</v>
      </c>
      <c r="B2433" t="s">
        <v>126</v>
      </c>
      <c r="C2433" t="s">
        <v>72</v>
      </c>
      <c r="D2433" s="6">
        <v>45798</v>
      </c>
      <c r="E2433" t="str">
        <f>VLOOKUP(B2433,'PROCV GERENTES BD'!A:B,2,0)</f>
        <v>FITZ</v>
      </c>
      <c r="F2433" s="4" t="str">
        <f t="shared" si="189"/>
        <v>2025-05-2</v>
      </c>
      <c r="G2433" t="str">
        <f t="shared" si="185"/>
        <v>FITZ</v>
      </c>
      <c r="H2433" t="str">
        <f t="shared" si="186"/>
        <v>TRANSHENRY TRANSPORTES LTDA</v>
      </c>
      <c r="I2433">
        <f t="shared" si="187"/>
        <v>1</v>
      </c>
      <c r="J2433">
        <f t="shared" si="188"/>
        <v>0</v>
      </c>
    </row>
    <row r="2434" spans="1:10" x14ac:dyDescent="0.25">
      <c r="A2434" t="s">
        <v>531</v>
      </c>
      <c r="B2434" t="s">
        <v>295</v>
      </c>
      <c r="C2434" t="s">
        <v>72</v>
      </c>
      <c r="D2434" s="6">
        <v>45798</v>
      </c>
      <c r="E2434" t="str">
        <f>VLOOKUP(B2434,'PROCV GERENTES BD'!A:B,2,0)</f>
        <v>ADMINISTRAÇÃO</v>
      </c>
      <c r="F2434" s="4" t="str">
        <f t="shared" si="189"/>
        <v>2025-05-2</v>
      </c>
      <c r="G2434" t="str">
        <f t="shared" ref="G2434:G2497" si="190">E2434</f>
        <v>ADMINISTRAÇÃO</v>
      </c>
      <c r="H2434" t="str">
        <f t="shared" ref="H2434:H2497" si="191">B2434</f>
        <v>REFRACONT BRASIL LTDA</v>
      </c>
      <c r="I2434">
        <f t="shared" ref="I2434:I2497" si="192">IF(C2434="EXCLUSAO  ANOT.INADIMPLENCIA",1,0)</f>
        <v>1</v>
      </c>
      <c r="J2434">
        <f t="shared" ref="J2434:J2497" si="193">IF(C2434="INCLUSAO  ANOT.INADIMPLENCIA",1,0)</f>
        <v>0</v>
      </c>
    </row>
    <row r="2435" spans="1:10" x14ac:dyDescent="0.25">
      <c r="A2435" t="s">
        <v>376</v>
      </c>
      <c r="B2435" t="s">
        <v>118</v>
      </c>
      <c r="C2435" t="s">
        <v>56</v>
      </c>
      <c r="D2435" s="6">
        <v>45798</v>
      </c>
      <c r="E2435" t="str">
        <f>VLOOKUP(B2435,'PROCV GERENTES BD'!A:B,2,0)</f>
        <v>ADMINISTRAÇÃO</v>
      </c>
      <c r="F2435" s="4" t="str">
        <f t="shared" ref="F2435:F2498" si="194">YEAR(D2435)&amp;"-"&amp;TEXT(MONTH(D2435),"00")&amp;"-"&amp;IF(DAY(D2435)&lt;=15,"1",IF(DAY(D2435)&gt;15,"2",""))</f>
        <v>2025-05-2</v>
      </c>
      <c r="G2435" t="str">
        <f t="shared" si="190"/>
        <v>ADMINISTRAÇÃO</v>
      </c>
      <c r="H2435" t="str">
        <f t="shared" si="191"/>
        <v>ARTECAL ELETROCENTROS S/A</v>
      </c>
      <c r="I2435">
        <f t="shared" si="192"/>
        <v>0</v>
      </c>
      <c r="J2435">
        <f t="shared" si="193"/>
        <v>1</v>
      </c>
    </row>
    <row r="2436" spans="1:10" x14ac:dyDescent="0.25">
      <c r="A2436" t="s">
        <v>468</v>
      </c>
      <c r="B2436" t="s">
        <v>224</v>
      </c>
      <c r="C2436" t="s">
        <v>336</v>
      </c>
      <c r="D2436" s="6">
        <v>45798</v>
      </c>
      <c r="E2436" t="str">
        <f>VLOOKUP(B2436,'PROCV GERENTES BD'!A:B,2,0)</f>
        <v>CELIO PIMENTA</v>
      </c>
      <c r="F2436" s="4" t="str">
        <f t="shared" si="194"/>
        <v>2025-05-2</v>
      </c>
      <c r="G2436" t="str">
        <f t="shared" si="190"/>
        <v>CELIO PIMENTA</v>
      </c>
      <c r="H2436" t="str">
        <f t="shared" si="191"/>
        <v>MINAS CLEAN DISTRIBUIDORA DE PRODUTOS PARA LIMPEZA</v>
      </c>
      <c r="I2436">
        <f t="shared" si="192"/>
        <v>0</v>
      </c>
      <c r="J2436">
        <f t="shared" si="193"/>
        <v>0</v>
      </c>
    </row>
    <row r="2437" spans="1:10" x14ac:dyDescent="0.25">
      <c r="A2437" t="s">
        <v>511</v>
      </c>
      <c r="B2437" t="s">
        <v>268</v>
      </c>
      <c r="C2437" t="s">
        <v>72</v>
      </c>
      <c r="D2437" s="6">
        <v>45798</v>
      </c>
      <c r="E2437" t="str">
        <f>VLOOKUP(B2437,'PROCV GERENTES BD'!A:B,2,0)</f>
        <v>PRISCILA METZ</v>
      </c>
      <c r="F2437" s="4" t="str">
        <f t="shared" si="194"/>
        <v>2025-05-2</v>
      </c>
      <c r="G2437" t="str">
        <f t="shared" si="190"/>
        <v>PRISCILA METZ</v>
      </c>
      <c r="H2437" t="str">
        <f t="shared" si="191"/>
        <v>ANDRADE ELETRO TECNICA LTDA EPP</v>
      </c>
      <c r="I2437">
        <f t="shared" si="192"/>
        <v>1</v>
      </c>
      <c r="J2437">
        <f t="shared" si="193"/>
        <v>0</v>
      </c>
    </row>
    <row r="2438" spans="1:10" x14ac:dyDescent="0.25">
      <c r="A2438" t="s">
        <v>510</v>
      </c>
      <c r="B2438" t="s">
        <v>269</v>
      </c>
      <c r="C2438" t="s">
        <v>56</v>
      </c>
      <c r="D2438" s="6">
        <v>45799</v>
      </c>
      <c r="E2438" t="str">
        <f>VLOOKUP(B2438,'PROCV GERENTES BD'!A:B,2,0)</f>
        <v>ANTECIPA</v>
      </c>
      <c r="F2438" s="4" t="str">
        <f t="shared" si="194"/>
        <v>2025-05-2</v>
      </c>
      <c r="G2438" t="str">
        <f t="shared" si="190"/>
        <v>ANTECIPA</v>
      </c>
      <c r="H2438" t="str">
        <f t="shared" si="191"/>
        <v>CONSTRUENGE ENGENHARIA E GERENCIAMENTO LTDA</v>
      </c>
      <c r="I2438">
        <f t="shared" si="192"/>
        <v>0</v>
      </c>
      <c r="J2438">
        <f t="shared" si="193"/>
        <v>1</v>
      </c>
    </row>
    <row r="2439" spans="1:10" x14ac:dyDescent="0.25">
      <c r="A2439" t="s">
        <v>475</v>
      </c>
      <c r="B2439" t="s">
        <v>231</v>
      </c>
      <c r="C2439" t="s">
        <v>72</v>
      </c>
      <c r="D2439" s="6">
        <v>45799</v>
      </c>
      <c r="E2439" t="str">
        <f>VLOOKUP(B2439,'PROCV GERENTES BD'!A:B,2,0)</f>
        <v>DIOGO AZEVEDO</v>
      </c>
      <c r="F2439" s="4" t="str">
        <f t="shared" si="194"/>
        <v>2025-05-2</v>
      </c>
      <c r="G2439" t="str">
        <f t="shared" si="190"/>
        <v>DIOGO AZEVEDO</v>
      </c>
      <c r="H2439" t="str">
        <f t="shared" si="191"/>
        <v>VGS COMERCIO DE EMBALAGENS DE MADEIRAS LTDA ME</v>
      </c>
      <c r="I2439">
        <f t="shared" si="192"/>
        <v>1</v>
      </c>
      <c r="J2439">
        <f t="shared" si="193"/>
        <v>0</v>
      </c>
    </row>
    <row r="2440" spans="1:10" x14ac:dyDescent="0.25">
      <c r="A2440" t="s">
        <v>498</v>
      </c>
      <c r="B2440" t="s">
        <v>255</v>
      </c>
      <c r="C2440" t="s">
        <v>72</v>
      </c>
      <c r="D2440" s="6">
        <v>45799</v>
      </c>
      <c r="E2440" t="str">
        <f>VLOOKUP(B2440,'PROCV GERENTES BD'!A:B,2,0)</f>
        <v>PROSPECTAR</v>
      </c>
      <c r="F2440" s="4" t="str">
        <f t="shared" si="194"/>
        <v>2025-05-2</v>
      </c>
      <c r="G2440" t="str">
        <f t="shared" si="190"/>
        <v>PROSPECTAR</v>
      </c>
      <c r="H2440" t="str">
        <f t="shared" si="191"/>
        <v>PRODUTOS PORTEIRAO COM DIST E REP LTDA EPP</v>
      </c>
      <c r="I2440">
        <f t="shared" si="192"/>
        <v>1</v>
      </c>
      <c r="J2440">
        <f t="shared" si="193"/>
        <v>0</v>
      </c>
    </row>
    <row r="2441" spans="1:10" x14ac:dyDescent="0.25">
      <c r="A2441" t="s">
        <v>522</v>
      </c>
      <c r="B2441" t="s">
        <v>285</v>
      </c>
      <c r="C2441" t="s">
        <v>72</v>
      </c>
      <c r="D2441" s="6">
        <v>45799</v>
      </c>
      <c r="E2441" t="str">
        <f>VLOOKUP(B2441,'PROCV GERENTES BD'!A:B,2,0)</f>
        <v>PROSPER</v>
      </c>
      <c r="F2441" s="4" t="str">
        <f t="shared" si="194"/>
        <v>2025-05-2</v>
      </c>
      <c r="G2441" t="str">
        <f t="shared" si="190"/>
        <v>PROSPER</v>
      </c>
      <c r="H2441" t="str">
        <f t="shared" si="191"/>
        <v>MAIS PURA AGUA MINERAL LTDA EPP</v>
      </c>
      <c r="I2441">
        <f t="shared" si="192"/>
        <v>1</v>
      </c>
      <c r="J2441">
        <f t="shared" si="193"/>
        <v>0</v>
      </c>
    </row>
    <row r="2442" spans="1:10" x14ac:dyDescent="0.25">
      <c r="A2442" t="s">
        <v>407</v>
      </c>
      <c r="B2442" t="s">
        <v>156</v>
      </c>
      <c r="C2442" t="s">
        <v>337</v>
      </c>
      <c r="D2442" s="6">
        <v>45799</v>
      </c>
      <c r="E2442" t="str">
        <f>VLOOKUP(B2442,'PROCV GERENTES BD'!A:B,2,0)</f>
        <v>ADMINISTRAÇÃO</v>
      </c>
      <c r="F2442" s="4" t="str">
        <f t="shared" si="194"/>
        <v>2025-05-2</v>
      </c>
      <c r="G2442" t="str">
        <f t="shared" si="190"/>
        <v>ADMINISTRAÇÃO</v>
      </c>
      <c r="H2442" t="str">
        <f t="shared" si="191"/>
        <v>ALPS FOMENTO MERCANTIL LTDA</v>
      </c>
      <c r="I2442">
        <f t="shared" si="192"/>
        <v>0</v>
      </c>
      <c r="J2442">
        <f t="shared" si="193"/>
        <v>0</v>
      </c>
    </row>
    <row r="2443" spans="1:10" x14ac:dyDescent="0.25">
      <c r="A2443" t="s">
        <v>82</v>
      </c>
      <c r="B2443" t="s">
        <v>83</v>
      </c>
      <c r="C2443" t="s">
        <v>72</v>
      </c>
      <c r="D2443" s="6">
        <v>45799</v>
      </c>
      <c r="E2443" t="str">
        <f>VLOOKUP(B2443,'PROCV GERENTES BD'!A:B,2,0)</f>
        <v>RAFAEL PARISE</v>
      </c>
      <c r="F2443" s="4" t="str">
        <f t="shared" si="194"/>
        <v>2025-05-2</v>
      </c>
      <c r="G2443" t="str">
        <f t="shared" si="190"/>
        <v>RAFAEL PARISE</v>
      </c>
      <c r="H2443" t="str">
        <f t="shared" si="191"/>
        <v>UNITA AUTO PECAS LTDA EPP</v>
      </c>
      <c r="I2443">
        <f t="shared" si="192"/>
        <v>1</v>
      </c>
      <c r="J2443">
        <f t="shared" si="193"/>
        <v>0</v>
      </c>
    </row>
    <row r="2444" spans="1:10" x14ac:dyDescent="0.25">
      <c r="A2444" t="s">
        <v>378</v>
      </c>
      <c r="B2444" t="s">
        <v>121</v>
      </c>
      <c r="C2444" t="s">
        <v>56</v>
      </c>
      <c r="D2444" s="6">
        <v>45799</v>
      </c>
      <c r="E2444" t="str">
        <f>VLOOKUP(B2444,'PROCV GERENTES BD'!A:B,2,0)</f>
        <v>POENATELA</v>
      </c>
      <c r="F2444" s="4" t="str">
        <f t="shared" si="194"/>
        <v>2025-05-2</v>
      </c>
      <c r="G2444" t="str">
        <f t="shared" si="190"/>
        <v>POENATELA</v>
      </c>
      <c r="H2444" t="str">
        <f t="shared" si="191"/>
        <v>COOPERATIVA TRANSP AUTON CARGAS PASSAG SERVICOS LO</v>
      </c>
      <c r="I2444">
        <f t="shared" si="192"/>
        <v>0</v>
      </c>
      <c r="J2444">
        <f t="shared" si="193"/>
        <v>1</v>
      </c>
    </row>
    <row r="2445" spans="1:10" x14ac:dyDescent="0.25">
      <c r="A2445" t="s">
        <v>70</v>
      </c>
      <c r="B2445" t="s">
        <v>71</v>
      </c>
      <c r="C2445" t="s">
        <v>56</v>
      </c>
      <c r="D2445" s="6">
        <v>45799</v>
      </c>
      <c r="E2445" t="str">
        <f>VLOOKUP(B2445,'PROCV GERENTES BD'!A:B,2,0)</f>
        <v>SEM GERENTE</v>
      </c>
      <c r="F2445" s="4" t="str">
        <f t="shared" si="194"/>
        <v>2025-05-2</v>
      </c>
      <c r="G2445" t="str">
        <f t="shared" si="190"/>
        <v>SEM GERENTE</v>
      </c>
      <c r="H2445" t="str">
        <f t="shared" si="191"/>
        <v>SOCIAL S/A</v>
      </c>
      <c r="I2445">
        <f t="shared" si="192"/>
        <v>0</v>
      </c>
      <c r="J2445">
        <f t="shared" si="193"/>
        <v>1</v>
      </c>
    </row>
    <row r="2446" spans="1:10" x14ac:dyDescent="0.25">
      <c r="A2446" t="s">
        <v>507</v>
      </c>
      <c r="B2446" t="s">
        <v>265</v>
      </c>
      <c r="C2446" t="s">
        <v>56</v>
      </c>
      <c r="D2446" s="6">
        <v>45799</v>
      </c>
      <c r="E2446" t="str">
        <f>VLOOKUP(B2446,'PROCV GERENTES BD'!A:B,2,0)</f>
        <v>SEM GERENTE</v>
      </c>
      <c r="F2446" s="4" t="str">
        <f t="shared" si="194"/>
        <v>2025-05-2</v>
      </c>
      <c r="G2446" t="str">
        <f t="shared" si="190"/>
        <v>SEM GERENTE</v>
      </c>
      <c r="H2446" t="str">
        <f t="shared" si="191"/>
        <v>PLATINUM INDUSTRIA DE CONFECCOES LTDA</v>
      </c>
      <c r="I2446">
        <f t="shared" si="192"/>
        <v>0</v>
      </c>
      <c r="J2446">
        <f t="shared" si="193"/>
        <v>1</v>
      </c>
    </row>
    <row r="2447" spans="1:10" x14ac:dyDescent="0.25">
      <c r="A2447" t="s">
        <v>420</v>
      </c>
      <c r="B2447" t="s">
        <v>169</v>
      </c>
      <c r="C2447" t="s">
        <v>72</v>
      </c>
      <c r="D2447" s="6">
        <v>45799</v>
      </c>
      <c r="E2447" t="str">
        <f>VLOOKUP(B2447,'PROCV GERENTES BD'!A:B,2,0)</f>
        <v>FITZ</v>
      </c>
      <c r="F2447" s="4" t="str">
        <f t="shared" si="194"/>
        <v>2025-05-2</v>
      </c>
      <c r="G2447" t="str">
        <f t="shared" si="190"/>
        <v>FITZ</v>
      </c>
      <c r="H2447" t="str">
        <f t="shared" si="191"/>
        <v>MORIA PRESTACAO DE SERVICOS LTDA ME</v>
      </c>
      <c r="I2447">
        <f t="shared" si="192"/>
        <v>1</v>
      </c>
      <c r="J2447">
        <f t="shared" si="193"/>
        <v>0</v>
      </c>
    </row>
    <row r="2448" spans="1:10" x14ac:dyDescent="0.25">
      <c r="A2448" t="s">
        <v>361</v>
      </c>
      <c r="B2448" t="s">
        <v>103</v>
      </c>
      <c r="C2448" t="s">
        <v>56</v>
      </c>
      <c r="D2448" s="6">
        <v>45799</v>
      </c>
      <c r="E2448" t="str">
        <f>VLOOKUP(B2448,'PROCV GERENTES BD'!A:B,2,0)</f>
        <v>PRISCILA METZ</v>
      </c>
      <c r="F2448" s="4" t="str">
        <f t="shared" si="194"/>
        <v>2025-05-2</v>
      </c>
      <c r="G2448" t="str">
        <f t="shared" si="190"/>
        <v>PRISCILA METZ</v>
      </c>
      <c r="H2448" t="str">
        <f t="shared" si="191"/>
        <v>ESSENZA INDUSTRIA QUIMICA LTDA</v>
      </c>
      <c r="I2448">
        <f t="shared" si="192"/>
        <v>0</v>
      </c>
      <c r="J2448">
        <f t="shared" si="193"/>
        <v>1</v>
      </c>
    </row>
    <row r="2449" spans="1:10" x14ac:dyDescent="0.25">
      <c r="A2449" t="s">
        <v>316</v>
      </c>
      <c r="B2449" t="s">
        <v>298</v>
      </c>
      <c r="C2449" t="s">
        <v>56</v>
      </c>
      <c r="D2449" s="6">
        <v>45799</v>
      </c>
      <c r="E2449" t="str">
        <f>VLOOKUP(B2449,'PROCV GERENTES BD'!A:B,2,0)</f>
        <v>ANTECIPA</v>
      </c>
      <c r="F2449" s="4" t="str">
        <f t="shared" si="194"/>
        <v>2025-05-2</v>
      </c>
      <c r="G2449" t="str">
        <f t="shared" si="190"/>
        <v>ANTECIPA</v>
      </c>
      <c r="H2449" t="str">
        <f t="shared" si="191"/>
        <v>CENTRAL DO M R O COMERCIAL IMPORTACOES E SERVICOS</v>
      </c>
      <c r="I2449">
        <f t="shared" si="192"/>
        <v>0</v>
      </c>
      <c r="J2449">
        <f t="shared" si="193"/>
        <v>1</v>
      </c>
    </row>
    <row r="2450" spans="1:10" x14ac:dyDescent="0.25">
      <c r="A2450" t="s">
        <v>64</v>
      </c>
      <c r="B2450" t="s">
        <v>65</v>
      </c>
      <c r="C2450" t="s">
        <v>56</v>
      </c>
      <c r="D2450" s="6">
        <v>45799</v>
      </c>
      <c r="E2450" t="str">
        <f>VLOOKUP(B2450,'PROCV GERENTES BD'!A:B,2,0)</f>
        <v>ADMINISTRAÇÃO</v>
      </c>
      <c r="F2450" s="4" t="str">
        <f t="shared" si="194"/>
        <v>2025-05-2</v>
      </c>
      <c r="G2450" t="str">
        <f t="shared" si="190"/>
        <v>ADMINISTRAÇÃO</v>
      </c>
      <c r="H2450" t="str">
        <f t="shared" si="191"/>
        <v>BIOTECH LOGISTICA LTDA</v>
      </c>
      <c r="I2450">
        <f t="shared" si="192"/>
        <v>0</v>
      </c>
      <c r="J2450">
        <f t="shared" si="193"/>
        <v>1</v>
      </c>
    </row>
    <row r="2451" spans="1:10" x14ac:dyDescent="0.25">
      <c r="A2451" t="s">
        <v>521</v>
      </c>
      <c r="B2451" t="s">
        <v>282</v>
      </c>
      <c r="C2451" t="s">
        <v>56</v>
      </c>
      <c r="D2451" s="6">
        <v>45799</v>
      </c>
      <c r="E2451" t="str">
        <f>VLOOKUP(B2451,'PROCV GERENTES BD'!A:B,2,0)</f>
        <v>ALISSON DE SOUZA LIMA</v>
      </c>
      <c r="F2451" s="4" t="str">
        <f t="shared" si="194"/>
        <v>2025-05-2</v>
      </c>
      <c r="G2451" t="str">
        <f t="shared" si="190"/>
        <v>ALISSON DE SOUZA LIMA</v>
      </c>
      <c r="H2451" t="str">
        <f t="shared" si="191"/>
        <v>COMERCIAL JLX DISTRIBUIDORA LTDA ME</v>
      </c>
      <c r="I2451">
        <f t="shared" si="192"/>
        <v>0</v>
      </c>
      <c r="J2451">
        <f t="shared" si="193"/>
        <v>1</v>
      </c>
    </row>
    <row r="2452" spans="1:10" x14ac:dyDescent="0.25">
      <c r="A2452" t="s">
        <v>62</v>
      </c>
      <c r="B2452" t="s">
        <v>63</v>
      </c>
      <c r="C2452" t="s">
        <v>72</v>
      </c>
      <c r="D2452" s="6">
        <v>45799</v>
      </c>
      <c r="E2452" t="str">
        <f>VLOOKUP(B2452,'PROCV GERENTES BD'!A:B,2,0)</f>
        <v xml:space="preserve">ROGERIO </v>
      </c>
      <c r="F2452" s="4" t="str">
        <f t="shared" si="194"/>
        <v>2025-05-2</v>
      </c>
      <c r="G2452" t="str">
        <f t="shared" si="190"/>
        <v xml:space="preserve">ROGERIO </v>
      </c>
      <c r="H2452" t="str">
        <f t="shared" si="191"/>
        <v>RODOVIEIRA TRANSPORTE LTDA</v>
      </c>
      <c r="I2452">
        <f t="shared" si="192"/>
        <v>1</v>
      </c>
      <c r="J2452">
        <f t="shared" si="193"/>
        <v>0</v>
      </c>
    </row>
    <row r="2453" spans="1:10" x14ac:dyDescent="0.25">
      <c r="A2453" t="s">
        <v>395</v>
      </c>
      <c r="B2453" t="s">
        <v>141</v>
      </c>
      <c r="C2453" t="s">
        <v>56</v>
      </c>
      <c r="D2453" s="6">
        <v>45799</v>
      </c>
      <c r="E2453" t="str">
        <f>VLOOKUP(B2453,'PROCV GERENTES BD'!A:B,2,0)</f>
        <v>RAFAEL PARISE</v>
      </c>
      <c r="F2453" s="4" t="str">
        <f t="shared" si="194"/>
        <v>2025-05-2</v>
      </c>
      <c r="G2453" t="str">
        <f t="shared" si="190"/>
        <v>RAFAEL PARISE</v>
      </c>
      <c r="H2453" t="str">
        <f t="shared" si="191"/>
        <v>MAIS DISTRIBUIDORA LTDA</v>
      </c>
      <c r="I2453">
        <f t="shared" si="192"/>
        <v>0</v>
      </c>
      <c r="J2453">
        <f t="shared" si="193"/>
        <v>1</v>
      </c>
    </row>
    <row r="2454" spans="1:10" x14ac:dyDescent="0.25">
      <c r="A2454" t="s">
        <v>533</v>
      </c>
      <c r="B2454" t="s">
        <v>299</v>
      </c>
      <c r="C2454" t="s">
        <v>77</v>
      </c>
      <c r="D2454" s="6">
        <v>45799</v>
      </c>
      <c r="E2454" t="str">
        <f>VLOOKUP(B2454,'PROCV GERENTES BD'!A:B,2,0)</f>
        <v>ALISSON DE SOUZA LIMA</v>
      </c>
      <c r="F2454" s="4" t="str">
        <f t="shared" si="194"/>
        <v>2025-05-2</v>
      </c>
      <c r="G2454" t="str">
        <f t="shared" si="190"/>
        <v>ALISSON DE SOUZA LIMA</v>
      </c>
      <c r="H2454" t="str">
        <f t="shared" si="191"/>
        <v>GALLE INDUSTRIA E COMERCIO DE TINTAS E VERNIZES LT</v>
      </c>
      <c r="I2454">
        <f t="shared" si="192"/>
        <v>0</v>
      </c>
      <c r="J2454">
        <f t="shared" si="193"/>
        <v>0</v>
      </c>
    </row>
    <row r="2455" spans="1:10" x14ac:dyDescent="0.25">
      <c r="A2455" t="s">
        <v>534</v>
      </c>
      <c r="B2455" t="s">
        <v>300</v>
      </c>
      <c r="C2455" t="s">
        <v>56</v>
      </c>
      <c r="D2455" s="6">
        <v>45799</v>
      </c>
      <c r="E2455" t="str">
        <f>VLOOKUP(B2455,'PROCV GERENTES BD'!A:B,2,0)</f>
        <v>DALVA</v>
      </c>
      <c r="F2455" s="4" t="str">
        <f t="shared" si="194"/>
        <v>2025-05-2</v>
      </c>
      <c r="G2455" t="str">
        <f t="shared" si="190"/>
        <v>DALVA</v>
      </c>
      <c r="H2455" t="str">
        <f t="shared" si="191"/>
        <v>COMERCIAL PROGRESSO LTDA EPP</v>
      </c>
      <c r="I2455">
        <f t="shared" si="192"/>
        <v>0</v>
      </c>
      <c r="J2455">
        <f t="shared" si="193"/>
        <v>1</v>
      </c>
    </row>
    <row r="2456" spans="1:10" x14ac:dyDescent="0.25">
      <c r="A2456" t="s">
        <v>511</v>
      </c>
      <c r="B2456" t="s">
        <v>268</v>
      </c>
      <c r="C2456" t="s">
        <v>72</v>
      </c>
      <c r="D2456" s="6">
        <v>45799</v>
      </c>
      <c r="E2456" t="str">
        <f>VLOOKUP(B2456,'PROCV GERENTES BD'!A:B,2,0)</f>
        <v>PRISCILA METZ</v>
      </c>
      <c r="F2456" s="4" t="str">
        <f t="shared" si="194"/>
        <v>2025-05-2</v>
      </c>
      <c r="G2456" t="str">
        <f t="shared" si="190"/>
        <v>PRISCILA METZ</v>
      </c>
      <c r="H2456" t="str">
        <f t="shared" si="191"/>
        <v>ANDRADE ELETRO TECNICA LTDA EPP</v>
      </c>
      <c r="I2456">
        <f t="shared" si="192"/>
        <v>1</v>
      </c>
      <c r="J2456">
        <f t="shared" si="193"/>
        <v>0</v>
      </c>
    </row>
    <row r="2457" spans="1:10" x14ac:dyDescent="0.25">
      <c r="A2457" t="s">
        <v>512</v>
      </c>
      <c r="B2457" t="s">
        <v>272</v>
      </c>
      <c r="C2457" t="s">
        <v>72</v>
      </c>
      <c r="D2457" s="6">
        <v>45799</v>
      </c>
      <c r="E2457" t="str">
        <f>VLOOKUP(B2457,'PROCV GERENTES BD'!A:B,2,0)</f>
        <v>NOELI SALETE</v>
      </c>
      <c r="F2457" s="4" t="str">
        <f t="shared" si="194"/>
        <v>2025-05-2</v>
      </c>
      <c r="G2457" t="str">
        <f t="shared" si="190"/>
        <v>NOELI SALETE</v>
      </c>
      <c r="H2457" t="str">
        <f t="shared" si="191"/>
        <v>TRANSPORTES TRANS BERTIN LTDA</v>
      </c>
      <c r="I2457">
        <f t="shared" si="192"/>
        <v>1</v>
      </c>
      <c r="J2457">
        <f t="shared" si="193"/>
        <v>0</v>
      </c>
    </row>
    <row r="2458" spans="1:10" x14ac:dyDescent="0.25">
      <c r="A2458" t="s">
        <v>493</v>
      </c>
      <c r="B2458" t="s">
        <v>249</v>
      </c>
      <c r="C2458" t="s">
        <v>72</v>
      </c>
      <c r="D2458" s="6">
        <v>45800</v>
      </c>
      <c r="E2458" t="str">
        <f>VLOOKUP(B2458,'PROCV GERENTES BD'!A:B,2,0)</f>
        <v>FITZ</v>
      </c>
      <c r="F2458" s="4" t="str">
        <f t="shared" si="194"/>
        <v>2025-05-2</v>
      </c>
      <c r="G2458" t="str">
        <f t="shared" si="190"/>
        <v>FITZ</v>
      </c>
      <c r="H2458" t="str">
        <f t="shared" si="191"/>
        <v>GOIARTE SOLUCOES CONSTRUTIVAS EM CONCRETO LTDA</v>
      </c>
      <c r="I2458">
        <f t="shared" si="192"/>
        <v>1</v>
      </c>
      <c r="J2458">
        <f t="shared" si="193"/>
        <v>0</v>
      </c>
    </row>
    <row r="2459" spans="1:10" x14ac:dyDescent="0.25">
      <c r="A2459" t="s">
        <v>498</v>
      </c>
      <c r="B2459" t="s">
        <v>255</v>
      </c>
      <c r="C2459" t="s">
        <v>72</v>
      </c>
      <c r="D2459" s="6">
        <v>45800</v>
      </c>
      <c r="E2459" t="str">
        <f>VLOOKUP(B2459,'PROCV GERENTES BD'!A:B,2,0)</f>
        <v>PROSPECTAR</v>
      </c>
      <c r="F2459" s="4" t="str">
        <f t="shared" si="194"/>
        <v>2025-05-2</v>
      </c>
      <c r="G2459" t="str">
        <f t="shared" si="190"/>
        <v>PROSPECTAR</v>
      </c>
      <c r="H2459" t="str">
        <f t="shared" si="191"/>
        <v>PRODUTOS PORTEIRAO COM DIST E REP LTDA EPP</v>
      </c>
      <c r="I2459">
        <f t="shared" si="192"/>
        <v>1</v>
      </c>
      <c r="J2459">
        <f t="shared" si="193"/>
        <v>0</v>
      </c>
    </row>
    <row r="2460" spans="1:10" x14ac:dyDescent="0.25">
      <c r="A2460" t="s">
        <v>443</v>
      </c>
      <c r="B2460" t="s">
        <v>193</v>
      </c>
      <c r="C2460" t="s">
        <v>72</v>
      </c>
      <c r="D2460" s="6">
        <v>45800</v>
      </c>
      <c r="E2460" t="str">
        <f>VLOOKUP(B2460,'PROCV GERENTES BD'!A:B,2,0)</f>
        <v>ADMINISTRAÇÃO</v>
      </c>
      <c r="F2460" s="4" t="str">
        <f t="shared" si="194"/>
        <v>2025-05-2</v>
      </c>
      <c r="G2460" t="str">
        <f t="shared" si="190"/>
        <v>ADMINISTRAÇÃO</v>
      </c>
      <c r="H2460" t="str">
        <f t="shared" si="191"/>
        <v>CALDEM CONSTRUCOES MECANICAS LTDA EPP</v>
      </c>
      <c r="I2460">
        <f t="shared" si="192"/>
        <v>1</v>
      </c>
      <c r="J2460">
        <f t="shared" si="193"/>
        <v>0</v>
      </c>
    </row>
    <row r="2461" spans="1:10" x14ac:dyDescent="0.25">
      <c r="A2461" t="s">
        <v>452</v>
      </c>
      <c r="B2461" t="s">
        <v>202</v>
      </c>
      <c r="C2461" t="s">
        <v>56</v>
      </c>
      <c r="D2461" s="6">
        <v>45800</v>
      </c>
      <c r="E2461" t="str">
        <f>VLOOKUP(B2461,'PROCV GERENTES BD'!A:B,2,0)</f>
        <v>RAFAEL PARISE</v>
      </c>
      <c r="F2461" s="4" t="str">
        <f t="shared" si="194"/>
        <v>2025-05-2</v>
      </c>
      <c r="G2461" t="str">
        <f t="shared" si="190"/>
        <v>RAFAEL PARISE</v>
      </c>
      <c r="H2461" t="str">
        <f t="shared" si="191"/>
        <v>GEDIBOR RUBBER POLYURETHANE LTDA EPP</v>
      </c>
      <c r="I2461">
        <f t="shared" si="192"/>
        <v>0</v>
      </c>
      <c r="J2461">
        <f t="shared" si="193"/>
        <v>1</v>
      </c>
    </row>
    <row r="2462" spans="1:10" x14ac:dyDescent="0.25">
      <c r="A2462" t="s">
        <v>322</v>
      </c>
      <c r="B2462" t="s">
        <v>277</v>
      </c>
      <c r="C2462" t="s">
        <v>56</v>
      </c>
      <c r="D2462" s="6">
        <v>45800</v>
      </c>
      <c r="E2462" t="str">
        <f>VLOOKUP(B2462,'PROCV GERENTES BD'!A:B,2,0)</f>
        <v>SEM GERENTE</v>
      </c>
      <c r="F2462" s="4" t="str">
        <f t="shared" si="194"/>
        <v>2025-05-2</v>
      </c>
      <c r="G2462" t="str">
        <f t="shared" si="190"/>
        <v>SEM GERENTE</v>
      </c>
      <c r="H2462" t="str">
        <f t="shared" si="191"/>
        <v>FAC INDUSTRIA E SERVICOS LTDA ME</v>
      </c>
      <c r="I2462">
        <f t="shared" si="192"/>
        <v>0</v>
      </c>
      <c r="J2462">
        <f t="shared" si="193"/>
        <v>1</v>
      </c>
    </row>
    <row r="2463" spans="1:10" x14ac:dyDescent="0.25">
      <c r="A2463" t="s">
        <v>82</v>
      </c>
      <c r="B2463" t="s">
        <v>83</v>
      </c>
      <c r="C2463" t="s">
        <v>77</v>
      </c>
      <c r="D2463" s="6">
        <v>45800</v>
      </c>
      <c r="E2463" t="str">
        <f>VLOOKUP(B2463,'PROCV GERENTES BD'!A:B,2,0)</f>
        <v>RAFAEL PARISE</v>
      </c>
      <c r="F2463" s="4" t="str">
        <f t="shared" si="194"/>
        <v>2025-05-2</v>
      </c>
      <c r="G2463" t="str">
        <f t="shared" si="190"/>
        <v>RAFAEL PARISE</v>
      </c>
      <c r="H2463" t="str">
        <f t="shared" si="191"/>
        <v>UNITA AUTO PECAS LTDA EPP</v>
      </c>
      <c r="I2463">
        <f t="shared" si="192"/>
        <v>0</v>
      </c>
      <c r="J2463">
        <f t="shared" si="193"/>
        <v>0</v>
      </c>
    </row>
    <row r="2464" spans="1:10" x14ac:dyDescent="0.25">
      <c r="A2464" t="s">
        <v>436</v>
      </c>
      <c r="B2464" t="s">
        <v>186</v>
      </c>
      <c r="C2464" t="s">
        <v>56</v>
      </c>
      <c r="D2464" s="6">
        <v>45800</v>
      </c>
      <c r="E2464" t="str">
        <f>VLOOKUP(B2464,'PROCV GERENTES BD'!A:B,2,0)</f>
        <v xml:space="preserve">MARCUS VINICIUS </v>
      </c>
      <c r="F2464" s="4" t="str">
        <f t="shared" si="194"/>
        <v>2025-05-2</v>
      </c>
      <c r="G2464" t="str">
        <f t="shared" si="190"/>
        <v xml:space="preserve">MARCUS VINICIUS </v>
      </c>
      <c r="H2464" t="str">
        <f t="shared" si="191"/>
        <v>LABOR ELETRIC INDUSTRIA E COMERCIO UNIPESSOAL LTDA</v>
      </c>
      <c r="I2464">
        <f t="shared" si="192"/>
        <v>0</v>
      </c>
      <c r="J2464">
        <f t="shared" si="193"/>
        <v>1</v>
      </c>
    </row>
    <row r="2465" spans="1:10" x14ac:dyDescent="0.25">
      <c r="A2465" t="s">
        <v>377</v>
      </c>
      <c r="B2465" t="s">
        <v>120</v>
      </c>
      <c r="C2465" t="s">
        <v>56</v>
      </c>
      <c r="D2465" s="6">
        <v>45800</v>
      </c>
      <c r="E2465" t="str">
        <f>VLOOKUP(B2465,'PROCV GERENTES BD'!A:B,2,0)</f>
        <v xml:space="preserve">MARCUS VINICIUS </v>
      </c>
      <c r="F2465" s="4" t="str">
        <f t="shared" si="194"/>
        <v>2025-05-2</v>
      </c>
      <c r="G2465" t="str">
        <f t="shared" si="190"/>
        <v xml:space="preserve">MARCUS VINICIUS </v>
      </c>
      <c r="H2465" t="str">
        <f t="shared" si="191"/>
        <v>ISOBASE POLIESTIRENO LTDA EPP</v>
      </c>
      <c r="I2465">
        <f t="shared" si="192"/>
        <v>0</v>
      </c>
      <c r="J2465">
        <f t="shared" si="193"/>
        <v>1</v>
      </c>
    </row>
    <row r="2466" spans="1:10" x14ac:dyDescent="0.25">
      <c r="A2466" t="s">
        <v>523</v>
      </c>
      <c r="B2466" t="s">
        <v>284</v>
      </c>
      <c r="C2466" t="s">
        <v>72</v>
      </c>
      <c r="D2466" s="6">
        <v>45800</v>
      </c>
      <c r="E2466" t="str">
        <f>VLOOKUP(B2466,'PROCV GERENTES BD'!A:B,2,0)</f>
        <v>ALISSON DE SOUZA LIMA</v>
      </c>
      <c r="F2466" s="4" t="str">
        <f t="shared" si="194"/>
        <v>2025-05-2</v>
      </c>
      <c r="G2466" t="str">
        <f t="shared" si="190"/>
        <v>ALISSON DE SOUZA LIMA</v>
      </c>
      <c r="H2466" t="str">
        <f t="shared" si="191"/>
        <v>COMERCIAL GTS INFORMATICA LTDA EPP</v>
      </c>
      <c r="I2466">
        <f t="shared" si="192"/>
        <v>1</v>
      </c>
      <c r="J2466">
        <f t="shared" si="193"/>
        <v>0</v>
      </c>
    </row>
    <row r="2467" spans="1:10" x14ac:dyDescent="0.25">
      <c r="A2467" t="s">
        <v>456</v>
      </c>
      <c r="B2467" t="s">
        <v>208</v>
      </c>
      <c r="C2467" t="s">
        <v>72</v>
      </c>
      <c r="D2467" s="6">
        <v>45800</v>
      </c>
      <c r="E2467" t="str">
        <f>VLOOKUP(B2467,'PROCV GERENTES BD'!A:B,2,0)</f>
        <v>PRISCILA METZ</v>
      </c>
      <c r="F2467" s="4" t="str">
        <f t="shared" si="194"/>
        <v>2025-05-2</v>
      </c>
      <c r="G2467" t="str">
        <f t="shared" si="190"/>
        <v>PRISCILA METZ</v>
      </c>
      <c r="H2467" t="str">
        <f t="shared" si="191"/>
        <v>M TRATORES LTDA EPP</v>
      </c>
      <c r="I2467">
        <f t="shared" si="192"/>
        <v>1</v>
      </c>
      <c r="J2467">
        <f t="shared" si="193"/>
        <v>0</v>
      </c>
    </row>
    <row r="2468" spans="1:10" x14ac:dyDescent="0.25">
      <c r="A2468" t="s">
        <v>70</v>
      </c>
      <c r="B2468" t="s">
        <v>71</v>
      </c>
      <c r="C2468" t="s">
        <v>72</v>
      </c>
      <c r="D2468" s="6">
        <v>45800</v>
      </c>
      <c r="E2468" t="str">
        <f>VLOOKUP(B2468,'PROCV GERENTES BD'!A:B,2,0)</f>
        <v>SEM GERENTE</v>
      </c>
      <c r="F2468" s="4" t="str">
        <f t="shared" si="194"/>
        <v>2025-05-2</v>
      </c>
      <c r="G2468" t="str">
        <f t="shared" si="190"/>
        <v>SEM GERENTE</v>
      </c>
      <c r="H2468" t="str">
        <f t="shared" si="191"/>
        <v>SOCIAL S/A</v>
      </c>
      <c r="I2468">
        <f t="shared" si="192"/>
        <v>1</v>
      </c>
      <c r="J2468">
        <f t="shared" si="193"/>
        <v>0</v>
      </c>
    </row>
    <row r="2469" spans="1:10" x14ac:dyDescent="0.25">
      <c r="A2469" t="s">
        <v>66</v>
      </c>
      <c r="B2469" t="s">
        <v>67</v>
      </c>
      <c r="C2469" t="s">
        <v>56</v>
      </c>
      <c r="D2469" s="6">
        <v>45800</v>
      </c>
      <c r="E2469" t="str">
        <f>VLOOKUP(B2469,'PROCV GERENTES BD'!A:B,2,0)</f>
        <v xml:space="preserve">MARCUS VINICIUS </v>
      </c>
      <c r="F2469" s="4" t="str">
        <f t="shared" si="194"/>
        <v>2025-05-2</v>
      </c>
      <c r="G2469" t="str">
        <f t="shared" si="190"/>
        <v xml:space="preserve">MARCUS VINICIUS </v>
      </c>
      <c r="H2469" t="str">
        <f t="shared" si="191"/>
        <v>COM IND DE CEREAIS E TRANSPORTES MACIEL LTDA</v>
      </c>
      <c r="I2469">
        <f t="shared" si="192"/>
        <v>0</v>
      </c>
      <c r="J2469">
        <f t="shared" si="193"/>
        <v>1</v>
      </c>
    </row>
    <row r="2470" spans="1:10" x14ac:dyDescent="0.25">
      <c r="A2470" t="s">
        <v>483</v>
      </c>
      <c r="B2470" t="s">
        <v>239</v>
      </c>
      <c r="C2470" t="s">
        <v>72</v>
      </c>
      <c r="D2470" s="6">
        <v>45800</v>
      </c>
      <c r="E2470" t="str">
        <f>VLOOKUP(B2470,'PROCV GERENTES BD'!A:B,2,0)</f>
        <v>POENATELA</v>
      </c>
      <c r="F2470" s="4" t="str">
        <f t="shared" si="194"/>
        <v>2025-05-2</v>
      </c>
      <c r="G2470" t="str">
        <f t="shared" si="190"/>
        <v>POENATELA</v>
      </c>
      <c r="H2470" t="str">
        <f t="shared" si="191"/>
        <v>JUATUBA MOVEIS E EMBALAGENS LTDA</v>
      </c>
      <c r="I2470">
        <f t="shared" si="192"/>
        <v>1</v>
      </c>
      <c r="J2470">
        <f t="shared" si="193"/>
        <v>0</v>
      </c>
    </row>
    <row r="2471" spans="1:10" x14ac:dyDescent="0.25">
      <c r="A2471" t="s">
        <v>64</v>
      </c>
      <c r="B2471" t="s">
        <v>65</v>
      </c>
      <c r="C2471" t="s">
        <v>72</v>
      </c>
      <c r="D2471" s="6">
        <v>45800</v>
      </c>
      <c r="E2471" t="str">
        <f>VLOOKUP(B2471,'PROCV GERENTES BD'!A:B,2,0)</f>
        <v>ADMINISTRAÇÃO</v>
      </c>
      <c r="F2471" s="4" t="str">
        <f t="shared" si="194"/>
        <v>2025-05-2</v>
      </c>
      <c r="G2471" t="str">
        <f t="shared" si="190"/>
        <v>ADMINISTRAÇÃO</v>
      </c>
      <c r="H2471" t="str">
        <f t="shared" si="191"/>
        <v>BIOTECH LOGISTICA LTDA</v>
      </c>
      <c r="I2471">
        <f t="shared" si="192"/>
        <v>1</v>
      </c>
      <c r="J2471">
        <f t="shared" si="193"/>
        <v>0</v>
      </c>
    </row>
    <row r="2472" spans="1:10" x14ac:dyDescent="0.25">
      <c r="A2472" t="s">
        <v>521</v>
      </c>
      <c r="B2472" t="s">
        <v>282</v>
      </c>
      <c r="C2472" t="s">
        <v>56</v>
      </c>
      <c r="D2472" s="6">
        <v>45800</v>
      </c>
      <c r="E2472" t="str">
        <f>VLOOKUP(B2472,'PROCV GERENTES BD'!A:B,2,0)</f>
        <v>ALISSON DE SOUZA LIMA</v>
      </c>
      <c r="F2472" s="4" t="str">
        <f t="shared" si="194"/>
        <v>2025-05-2</v>
      </c>
      <c r="G2472" t="str">
        <f t="shared" si="190"/>
        <v>ALISSON DE SOUZA LIMA</v>
      </c>
      <c r="H2472" t="str">
        <f t="shared" si="191"/>
        <v>COMERCIAL JLX DISTRIBUIDORA LTDA ME</v>
      </c>
      <c r="I2472">
        <f t="shared" si="192"/>
        <v>0</v>
      </c>
      <c r="J2472">
        <f t="shared" si="193"/>
        <v>1</v>
      </c>
    </row>
    <row r="2473" spans="1:10" x14ac:dyDescent="0.25">
      <c r="A2473" t="s">
        <v>326</v>
      </c>
      <c r="B2473" t="s">
        <v>86</v>
      </c>
      <c r="C2473" t="s">
        <v>56</v>
      </c>
      <c r="D2473" s="6">
        <v>45800</v>
      </c>
      <c r="E2473" t="str">
        <f>VLOOKUP(B2473,'PROCV GERENTES BD'!A:B,2,0)</f>
        <v>CELIO PIMENTA</v>
      </c>
      <c r="F2473" s="4" t="str">
        <f t="shared" si="194"/>
        <v>2025-05-2</v>
      </c>
      <c r="G2473" t="str">
        <f t="shared" si="190"/>
        <v>CELIO PIMENTA</v>
      </c>
      <c r="H2473" t="str">
        <f t="shared" si="191"/>
        <v>IMPORTEXTIL COMERCIO DE TECIDOS LTDA</v>
      </c>
      <c r="I2473">
        <f t="shared" si="192"/>
        <v>0</v>
      </c>
      <c r="J2473">
        <f t="shared" si="193"/>
        <v>1</v>
      </c>
    </row>
    <row r="2474" spans="1:10" x14ac:dyDescent="0.25">
      <c r="A2474" t="s">
        <v>62</v>
      </c>
      <c r="B2474" t="s">
        <v>63</v>
      </c>
      <c r="C2474" t="s">
        <v>72</v>
      </c>
      <c r="D2474" s="6">
        <v>45800</v>
      </c>
      <c r="E2474" t="str">
        <f>VLOOKUP(B2474,'PROCV GERENTES BD'!A:B,2,0)</f>
        <v xml:space="preserve">ROGERIO </v>
      </c>
      <c r="F2474" s="4" t="str">
        <f t="shared" si="194"/>
        <v>2025-05-2</v>
      </c>
      <c r="G2474" t="str">
        <f t="shared" si="190"/>
        <v xml:space="preserve">ROGERIO </v>
      </c>
      <c r="H2474" t="str">
        <f t="shared" si="191"/>
        <v>RODOVIEIRA TRANSPORTE LTDA</v>
      </c>
      <c r="I2474">
        <f t="shared" si="192"/>
        <v>1</v>
      </c>
      <c r="J2474">
        <f t="shared" si="193"/>
        <v>0</v>
      </c>
    </row>
    <row r="2475" spans="1:10" x14ac:dyDescent="0.25">
      <c r="A2475" t="s">
        <v>535</v>
      </c>
      <c r="B2475" t="s">
        <v>302</v>
      </c>
      <c r="C2475" t="s">
        <v>56</v>
      </c>
      <c r="D2475" s="6">
        <v>45800</v>
      </c>
      <c r="E2475" t="str">
        <f>VLOOKUP(B2475,'PROCV GERENTES BD'!A:B,2,0)</f>
        <v>PRISCILA METZ</v>
      </c>
      <c r="F2475" s="4" t="str">
        <f t="shared" si="194"/>
        <v>2025-05-2</v>
      </c>
      <c r="G2475" t="str">
        <f t="shared" si="190"/>
        <v>PRISCILA METZ</v>
      </c>
      <c r="H2475" t="str">
        <f t="shared" si="191"/>
        <v>BETEL UNIFORMES PROFISSIONAIS LTDA ME</v>
      </c>
      <c r="I2475">
        <f t="shared" si="192"/>
        <v>0</v>
      </c>
      <c r="J2475">
        <f t="shared" si="193"/>
        <v>1</v>
      </c>
    </row>
    <row r="2476" spans="1:10" x14ac:dyDescent="0.25">
      <c r="A2476" t="s">
        <v>339</v>
      </c>
      <c r="B2476" t="s">
        <v>151</v>
      </c>
      <c r="C2476" t="s">
        <v>56</v>
      </c>
      <c r="D2476" s="6">
        <v>45800</v>
      </c>
      <c r="E2476" t="str">
        <f>VLOOKUP(B2476,'PROCV GERENTES BD'!A:B,2,0)</f>
        <v>ADMINISTRAÇÃO</v>
      </c>
      <c r="F2476" s="4" t="str">
        <f t="shared" si="194"/>
        <v>2025-05-2</v>
      </c>
      <c r="G2476" t="str">
        <f t="shared" si="190"/>
        <v>ADMINISTRAÇÃO</v>
      </c>
      <c r="H2476" t="str">
        <f t="shared" si="191"/>
        <v>BOM PASTOR PAPEIS LTDA EM RECUPERACAO JUDICIAL</v>
      </c>
      <c r="I2476">
        <f t="shared" si="192"/>
        <v>0</v>
      </c>
      <c r="J2476">
        <f t="shared" si="193"/>
        <v>1</v>
      </c>
    </row>
    <row r="2477" spans="1:10" x14ac:dyDescent="0.25">
      <c r="A2477" t="s">
        <v>366</v>
      </c>
      <c r="B2477" t="s">
        <v>111</v>
      </c>
      <c r="C2477" t="s">
        <v>72</v>
      </c>
      <c r="D2477" s="6">
        <v>45800</v>
      </c>
      <c r="E2477" t="str">
        <f>VLOOKUP(B2477,'PROCV GERENTES BD'!A:B,2,0)</f>
        <v>DIOGO AZEVEDO</v>
      </c>
      <c r="F2477" s="4" t="str">
        <f t="shared" si="194"/>
        <v>2025-05-2</v>
      </c>
      <c r="G2477" t="str">
        <f t="shared" si="190"/>
        <v>DIOGO AZEVEDO</v>
      </c>
      <c r="H2477" t="str">
        <f t="shared" si="191"/>
        <v>INDUSTRIA E CERVEJARIA ARTESANAL DE MINAS GERAIS L</v>
      </c>
      <c r="I2477">
        <f t="shared" si="192"/>
        <v>1</v>
      </c>
      <c r="J2477">
        <f t="shared" si="193"/>
        <v>0</v>
      </c>
    </row>
    <row r="2478" spans="1:10" x14ac:dyDescent="0.25">
      <c r="A2478" t="s">
        <v>525</v>
      </c>
      <c r="B2478" t="s">
        <v>288</v>
      </c>
      <c r="C2478" t="s">
        <v>72</v>
      </c>
      <c r="D2478" s="6">
        <v>45800</v>
      </c>
      <c r="E2478" t="str">
        <f>VLOOKUP(B2478,'PROCV GERENTES BD'!A:B,2,0)</f>
        <v>CAIO</v>
      </c>
      <c r="F2478" s="4" t="str">
        <f t="shared" si="194"/>
        <v>2025-05-2</v>
      </c>
      <c r="G2478" t="str">
        <f t="shared" si="190"/>
        <v>CAIO</v>
      </c>
      <c r="H2478" t="str">
        <f t="shared" si="191"/>
        <v>DLTX INDUSTRIA E COMERCIO LTDA EPP</v>
      </c>
      <c r="I2478">
        <f t="shared" si="192"/>
        <v>1</v>
      </c>
      <c r="J2478">
        <f t="shared" si="193"/>
        <v>0</v>
      </c>
    </row>
    <row r="2479" spans="1:10" x14ac:dyDescent="0.25">
      <c r="A2479" t="s">
        <v>329</v>
      </c>
      <c r="B2479" t="s">
        <v>301</v>
      </c>
      <c r="C2479" t="s">
        <v>72</v>
      </c>
      <c r="D2479" s="6">
        <v>45800</v>
      </c>
      <c r="E2479" t="str">
        <f>VLOOKUP(B2479,'PROCV GERENTES BD'!A:B,2,0)</f>
        <v>CAIO</v>
      </c>
      <c r="F2479" s="4" t="str">
        <f t="shared" si="194"/>
        <v>2025-05-2</v>
      </c>
      <c r="G2479" t="str">
        <f t="shared" si="190"/>
        <v>CAIO</v>
      </c>
      <c r="H2479" t="str">
        <f t="shared" si="191"/>
        <v>LAF COMERCIAL LTDA ME</v>
      </c>
      <c r="I2479">
        <f t="shared" si="192"/>
        <v>1</v>
      </c>
      <c r="J2479">
        <f t="shared" si="193"/>
        <v>0</v>
      </c>
    </row>
    <row r="2480" spans="1:10" x14ac:dyDescent="0.25">
      <c r="A2480" t="s">
        <v>314</v>
      </c>
      <c r="B2480" t="s">
        <v>108</v>
      </c>
      <c r="C2480" t="s">
        <v>72</v>
      </c>
      <c r="D2480" s="6">
        <v>45800</v>
      </c>
      <c r="E2480" t="str">
        <f>VLOOKUP(B2480,'PROCV GERENTES BD'!A:B,2,0)</f>
        <v>POENATELA</v>
      </c>
      <c r="F2480" s="4" t="str">
        <f t="shared" si="194"/>
        <v>2025-05-2</v>
      </c>
      <c r="G2480" t="str">
        <f t="shared" si="190"/>
        <v>POENATELA</v>
      </c>
      <c r="H2480" t="str">
        <f t="shared" si="191"/>
        <v>ECOPINUS INDUSTRIA E COMERCIO DE EMBALAGENS DE MAD</v>
      </c>
      <c r="I2480">
        <f t="shared" si="192"/>
        <v>1</v>
      </c>
      <c r="J2480">
        <f t="shared" si="193"/>
        <v>0</v>
      </c>
    </row>
    <row r="2481" spans="1:10" x14ac:dyDescent="0.25">
      <c r="A2481" t="s">
        <v>536</v>
      </c>
      <c r="B2481" t="s">
        <v>303</v>
      </c>
      <c r="C2481" t="s">
        <v>56</v>
      </c>
      <c r="D2481" s="6">
        <v>45800</v>
      </c>
      <c r="E2481" t="str">
        <f>VLOOKUP(B2481,'PROCV GERENTES BD'!A:B,2,0)</f>
        <v>CAIO</v>
      </c>
      <c r="F2481" s="4" t="str">
        <f t="shared" si="194"/>
        <v>2025-05-2</v>
      </c>
      <c r="G2481" t="str">
        <f t="shared" si="190"/>
        <v>CAIO</v>
      </c>
      <c r="H2481" t="str">
        <f t="shared" si="191"/>
        <v>TERRA PECAS GENUINAS LTDA EPP</v>
      </c>
      <c r="I2481">
        <f t="shared" si="192"/>
        <v>0</v>
      </c>
      <c r="J2481">
        <f t="shared" si="193"/>
        <v>1</v>
      </c>
    </row>
    <row r="2482" spans="1:10" x14ac:dyDescent="0.25">
      <c r="A2482" t="s">
        <v>331</v>
      </c>
      <c r="B2482" t="s">
        <v>126</v>
      </c>
      <c r="C2482" t="s">
        <v>56</v>
      </c>
      <c r="D2482" s="6">
        <v>45800</v>
      </c>
      <c r="E2482" t="str">
        <f>VLOOKUP(B2482,'PROCV GERENTES BD'!A:B,2,0)</f>
        <v>FITZ</v>
      </c>
      <c r="F2482" s="4" t="str">
        <f t="shared" si="194"/>
        <v>2025-05-2</v>
      </c>
      <c r="G2482" t="str">
        <f t="shared" si="190"/>
        <v>FITZ</v>
      </c>
      <c r="H2482" t="str">
        <f t="shared" si="191"/>
        <v>TRANSHENRY TRANSPORTES LTDA</v>
      </c>
      <c r="I2482">
        <f t="shared" si="192"/>
        <v>0</v>
      </c>
      <c r="J2482">
        <f t="shared" si="193"/>
        <v>1</v>
      </c>
    </row>
    <row r="2483" spans="1:10" x14ac:dyDescent="0.25">
      <c r="A2483" t="s">
        <v>531</v>
      </c>
      <c r="B2483" t="s">
        <v>295</v>
      </c>
      <c r="C2483" t="s">
        <v>77</v>
      </c>
      <c r="D2483" s="6">
        <v>45800</v>
      </c>
      <c r="E2483" t="str">
        <f>VLOOKUP(B2483,'PROCV GERENTES BD'!A:B,2,0)</f>
        <v>ADMINISTRAÇÃO</v>
      </c>
      <c r="F2483" s="4" t="str">
        <f t="shared" si="194"/>
        <v>2025-05-2</v>
      </c>
      <c r="G2483" t="str">
        <f t="shared" si="190"/>
        <v>ADMINISTRAÇÃO</v>
      </c>
      <c r="H2483" t="str">
        <f t="shared" si="191"/>
        <v>REFRACONT BRASIL LTDA</v>
      </c>
      <c r="I2483">
        <f t="shared" si="192"/>
        <v>0</v>
      </c>
      <c r="J2483">
        <f t="shared" si="193"/>
        <v>0</v>
      </c>
    </row>
    <row r="2484" spans="1:10" x14ac:dyDescent="0.25">
      <c r="A2484" t="s">
        <v>495</v>
      </c>
      <c r="B2484" t="s">
        <v>251</v>
      </c>
      <c r="C2484" t="s">
        <v>72</v>
      </c>
      <c r="D2484" s="6">
        <v>45800</v>
      </c>
      <c r="E2484" t="str">
        <f>VLOOKUP(B2484,'PROCV GERENTES BD'!A:B,2,0)</f>
        <v xml:space="preserve">ROGERIO </v>
      </c>
      <c r="F2484" s="4" t="str">
        <f t="shared" si="194"/>
        <v>2025-05-2</v>
      </c>
      <c r="G2484" t="str">
        <f t="shared" si="190"/>
        <v xml:space="preserve">ROGERIO </v>
      </c>
      <c r="H2484" t="str">
        <f t="shared" si="191"/>
        <v>MUNDO AGRO COMERCIO E DISTRIBUICAO DE CALCADOS LTD</v>
      </c>
      <c r="I2484">
        <f t="shared" si="192"/>
        <v>1</v>
      </c>
      <c r="J2484">
        <f t="shared" si="193"/>
        <v>0</v>
      </c>
    </row>
    <row r="2485" spans="1:10" x14ac:dyDescent="0.25">
      <c r="A2485" t="s">
        <v>529</v>
      </c>
      <c r="B2485" t="s">
        <v>293</v>
      </c>
      <c r="C2485" t="s">
        <v>72</v>
      </c>
      <c r="D2485" s="6">
        <v>45800</v>
      </c>
      <c r="E2485" t="str">
        <f>VLOOKUP(B2485,'PROCV GERENTES BD'!A:B,2,0)</f>
        <v>CELIO PIMENTA</v>
      </c>
      <c r="F2485" s="4" t="str">
        <f t="shared" si="194"/>
        <v>2025-05-2</v>
      </c>
      <c r="G2485" t="str">
        <f t="shared" si="190"/>
        <v>CELIO PIMENTA</v>
      </c>
      <c r="H2485" t="str">
        <f t="shared" si="191"/>
        <v>LINGERIE E CIA LTDA ME</v>
      </c>
      <c r="I2485">
        <f t="shared" si="192"/>
        <v>1</v>
      </c>
      <c r="J2485">
        <f t="shared" si="193"/>
        <v>0</v>
      </c>
    </row>
    <row r="2486" spans="1:10" x14ac:dyDescent="0.25">
      <c r="A2486" t="s">
        <v>391</v>
      </c>
      <c r="B2486" t="s">
        <v>137</v>
      </c>
      <c r="C2486" t="s">
        <v>56</v>
      </c>
      <c r="D2486" s="6">
        <v>45801</v>
      </c>
      <c r="E2486" t="str">
        <f>VLOOKUP(B2486,'PROCV GERENTES BD'!A:B,2,0)</f>
        <v>CELIO PIMENTA</v>
      </c>
      <c r="F2486" s="4" t="str">
        <f t="shared" si="194"/>
        <v>2025-05-2</v>
      </c>
      <c r="G2486" t="str">
        <f t="shared" si="190"/>
        <v>CELIO PIMENTA</v>
      </c>
      <c r="H2486" t="str">
        <f t="shared" si="191"/>
        <v>JR X IMPORT LTDA EPP</v>
      </c>
      <c r="I2486">
        <f t="shared" si="192"/>
        <v>0</v>
      </c>
      <c r="J2486">
        <f t="shared" si="193"/>
        <v>1</v>
      </c>
    </row>
    <row r="2487" spans="1:10" x14ac:dyDescent="0.25">
      <c r="A2487" t="s">
        <v>331</v>
      </c>
      <c r="B2487" t="s">
        <v>126</v>
      </c>
      <c r="C2487" t="s">
        <v>59</v>
      </c>
      <c r="D2487" s="6">
        <v>45801</v>
      </c>
      <c r="E2487" t="str">
        <f>VLOOKUP(B2487,'PROCV GERENTES BD'!A:B,2,0)</f>
        <v>FITZ</v>
      </c>
      <c r="F2487" s="4" t="str">
        <f t="shared" si="194"/>
        <v>2025-05-2</v>
      </c>
      <c r="G2487" t="str">
        <f t="shared" si="190"/>
        <v>FITZ</v>
      </c>
      <c r="H2487" t="str">
        <f t="shared" si="191"/>
        <v>TRANSHENRY TRANSPORTES LTDA</v>
      </c>
      <c r="I2487">
        <f t="shared" si="192"/>
        <v>0</v>
      </c>
      <c r="J2487">
        <f t="shared" si="193"/>
        <v>0</v>
      </c>
    </row>
    <row r="2488" spans="1:10" x14ac:dyDescent="0.25">
      <c r="A2488" t="s">
        <v>57</v>
      </c>
      <c r="B2488" t="s">
        <v>58</v>
      </c>
      <c r="C2488" t="s">
        <v>56</v>
      </c>
      <c r="D2488" s="6">
        <v>45801</v>
      </c>
      <c r="E2488" t="str">
        <f>VLOOKUP(B2488,'PROCV GERENTES BD'!A:B,2,0)</f>
        <v>RAFAEL PARISE</v>
      </c>
      <c r="F2488" s="4" t="str">
        <f t="shared" si="194"/>
        <v>2025-05-2</v>
      </c>
      <c r="G2488" t="str">
        <f t="shared" si="190"/>
        <v>RAFAEL PARISE</v>
      </c>
      <c r="H2488" t="str">
        <f t="shared" si="191"/>
        <v>TDR TRANSPORTES LOGISTICA LTDA</v>
      </c>
      <c r="I2488">
        <f t="shared" si="192"/>
        <v>0</v>
      </c>
      <c r="J2488">
        <f t="shared" si="193"/>
        <v>1</v>
      </c>
    </row>
    <row r="2489" spans="1:10" x14ac:dyDescent="0.25">
      <c r="A2489" t="s">
        <v>64</v>
      </c>
      <c r="B2489" t="s">
        <v>65</v>
      </c>
      <c r="C2489" t="s">
        <v>59</v>
      </c>
      <c r="D2489" s="6">
        <v>45801</v>
      </c>
      <c r="E2489" t="str">
        <f>VLOOKUP(B2489,'PROCV GERENTES BD'!A:B,2,0)</f>
        <v>ADMINISTRAÇÃO</v>
      </c>
      <c r="F2489" s="4" t="str">
        <f t="shared" si="194"/>
        <v>2025-05-2</v>
      </c>
      <c r="G2489" t="str">
        <f t="shared" si="190"/>
        <v>ADMINISTRAÇÃO</v>
      </c>
      <c r="H2489" t="str">
        <f t="shared" si="191"/>
        <v>BIOTECH LOGISTICA LTDA</v>
      </c>
      <c r="I2489">
        <f t="shared" si="192"/>
        <v>0</v>
      </c>
      <c r="J2489">
        <f t="shared" si="193"/>
        <v>0</v>
      </c>
    </row>
    <row r="2490" spans="1:10" x14ac:dyDescent="0.25">
      <c r="A2490" t="s">
        <v>386</v>
      </c>
      <c r="B2490" t="s">
        <v>132</v>
      </c>
      <c r="C2490" t="s">
        <v>72</v>
      </c>
      <c r="D2490" s="6">
        <v>45801</v>
      </c>
      <c r="E2490" t="str">
        <f>VLOOKUP(B2490,'PROCV GERENTES BD'!A:B,2,0)</f>
        <v>CELIO PIMENTA</v>
      </c>
      <c r="F2490" s="4" t="str">
        <f t="shared" si="194"/>
        <v>2025-05-2</v>
      </c>
      <c r="G2490" t="str">
        <f t="shared" si="190"/>
        <v>CELIO PIMENTA</v>
      </c>
      <c r="H2490" t="str">
        <f t="shared" si="191"/>
        <v>PHOENIX LOG TRANSPORTES LTDA EPP</v>
      </c>
      <c r="I2490">
        <f t="shared" si="192"/>
        <v>1</v>
      </c>
      <c r="J2490">
        <f t="shared" si="193"/>
        <v>0</v>
      </c>
    </row>
    <row r="2491" spans="1:10" x14ac:dyDescent="0.25">
      <c r="A2491" t="s">
        <v>66</v>
      </c>
      <c r="B2491" t="s">
        <v>67</v>
      </c>
      <c r="C2491" t="s">
        <v>56</v>
      </c>
      <c r="D2491" s="6">
        <v>45801</v>
      </c>
      <c r="E2491" t="str">
        <f>VLOOKUP(B2491,'PROCV GERENTES BD'!A:B,2,0)</f>
        <v xml:space="preserve">MARCUS VINICIUS </v>
      </c>
      <c r="F2491" s="4" t="str">
        <f t="shared" si="194"/>
        <v>2025-05-2</v>
      </c>
      <c r="G2491" t="str">
        <f t="shared" si="190"/>
        <v xml:space="preserve">MARCUS VINICIUS </v>
      </c>
      <c r="H2491" t="str">
        <f t="shared" si="191"/>
        <v>COM IND DE CEREAIS E TRANSPORTES MACIEL LTDA</v>
      </c>
      <c r="I2491">
        <f t="shared" si="192"/>
        <v>0</v>
      </c>
      <c r="J2491">
        <f t="shared" si="193"/>
        <v>1</v>
      </c>
    </row>
    <row r="2492" spans="1:10" x14ac:dyDescent="0.25">
      <c r="A2492" t="s">
        <v>70</v>
      </c>
      <c r="B2492" t="s">
        <v>71</v>
      </c>
      <c r="C2492" t="s">
        <v>56</v>
      </c>
      <c r="D2492" s="6">
        <v>45801</v>
      </c>
      <c r="E2492" t="str">
        <f>VLOOKUP(B2492,'PROCV GERENTES BD'!A:B,2,0)</f>
        <v>SEM GERENTE</v>
      </c>
      <c r="F2492" s="4" t="str">
        <f t="shared" si="194"/>
        <v>2025-05-2</v>
      </c>
      <c r="G2492" t="str">
        <f t="shared" si="190"/>
        <v>SEM GERENTE</v>
      </c>
      <c r="H2492" t="str">
        <f t="shared" si="191"/>
        <v>SOCIAL S/A</v>
      </c>
      <c r="I2492">
        <f t="shared" si="192"/>
        <v>0</v>
      </c>
      <c r="J2492">
        <f t="shared" si="193"/>
        <v>1</v>
      </c>
    </row>
    <row r="2493" spans="1:10" x14ac:dyDescent="0.25">
      <c r="A2493" t="s">
        <v>73</v>
      </c>
      <c r="B2493" t="s">
        <v>74</v>
      </c>
      <c r="C2493" t="s">
        <v>56</v>
      </c>
      <c r="D2493" s="6">
        <v>45801</v>
      </c>
      <c r="E2493" t="str">
        <f>VLOOKUP(B2493,'PROCV GERENTES BD'!A:B,2,0)</f>
        <v xml:space="preserve">ROGERIO </v>
      </c>
      <c r="F2493" s="4" t="str">
        <f t="shared" si="194"/>
        <v>2025-05-2</v>
      </c>
      <c r="G2493" t="str">
        <f t="shared" si="190"/>
        <v xml:space="preserve">ROGERIO </v>
      </c>
      <c r="H2493" t="str">
        <f t="shared" si="191"/>
        <v>DIOTTONI INDUSTRIA E COMERCIO DE ALIMENTOS LTDA ME</v>
      </c>
      <c r="I2493">
        <f t="shared" si="192"/>
        <v>0</v>
      </c>
      <c r="J2493">
        <f t="shared" si="193"/>
        <v>1</v>
      </c>
    </row>
    <row r="2494" spans="1:10" x14ac:dyDescent="0.25">
      <c r="A2494" t="s">
        <v>82</v>
      </c>
      <c r="B2494" t="s">
        <v>83</v>
      </c>
      <c r="C2494" t="s">
        <v>72</v>
      </c>
      <c r="D2494" s="6">
        <v>45801</v>
      </c>
      <c r="E2494" t="str">
        <f>VLOOKUP(B2494,'PROCV GERENTES BD'!A:B,2,0)</f>
        <v>RAFAEL PARISE</v>
      </c>
      <c r="F2494" s="4" t="str">
        <f t="shared" si="194"/>
        <v>2025-05-2</v>
      </c>
      <c r="G2494" t="str">
        <f t="shared" si="190"/>
        <v>RAFAEL PARISE</v>
      </c>
      <c r="H2494" t="str">
        <f t="shared" si="191"/>
        <v>UNITA AUTO PECAS LTDA EPP</v>
      </c>
      <c r="I2494">
        <f t="shared" si="192"/>
        <v>1</v>
      </c>
      <c r="J2494">
        <f t="shared" si="193"/>
        <v>0</v>
      </c>
    </row>
    <row r="2495" spans="1:10" x14ac:dyDescent="0.25">
      <c r="A2495" t="s">
        <v>424</v>
      </c>
      <c r="B2495" t="s">
        <v>173</v>
      </c>
      <c r="C2495" t="s">
        <v>56</v>
      </c>
      <c r="D2495" s="6">
        <v>45801</v>
      </c>
      <c r="E2495" t="str">
        <f>VLOOKUP(B2495,'PROCV GERENTES BD'!A:B,2,0)</f>
        <v xml:space="preserve">ROGERIO </v>
      </c>
      <c r="F2495" s="4" t="str">
        <f t="shared" si="194"/>
        <v>2025-05-2</v>
      </c>
      <c r="G2495" t="str">
        <f t="shared" si="190"/>
        <v xml:space="preserve">ROGERIO </v>
      </c>
      <c r="H2495" t="str">
        <f t="shared" si="191"/>
        <v>LUCCI ILUMINACAO LTDA EPP</v>
      </c>
      <c r="I2495">
        <f t="shared" si="192"/>
        <v>0</v>
      </c>
      <c r="J2495">
        <f t="shared" si="193"/>
        <v>1</v>
      </c>
    </row>
    <row r="2496" spans="1:10" x14ac:dyDescent="0.25">
      <c r="A2496" t="s">
        <v>486</v>
      </c>
      <c r="B2496" t="s">
        <v>242</v>
      </c>
      <c r="C2496" t="s">
        <v>72</v>
      </c>
      <c r="D2496" s="6">
        <v>45801</v>
      </c>
      <c r="E2496" t="str">
        <f>VLOOKUP(B2496,'PROCV GERENTES BD'!A:B,2,0)</f>
        <v>FITZ</v>
      </c>
      <c r="F2496" s="4" t="str">
        <f t="shared" si="194"/>
        <v>2025-05-2</v>
      </c>
      <c r="G2496" t="str">
        <f t="shared" si="190"/>
        <v>FITZ</v>
      </c>
      <c r="H2496" t="str">
        <f t="shared" si="191"/>
        <v>NUTRIENS FERTIL LTDA ME</v>
      </c>
      <c r="I2496">
        <f t="shared" si="192"/>
        <v>1</v>
      </c>
      <c r="J2496">
        <f t="shared" si="193"/>
        <v>0</v>
      </c>
    </row>
    <row r="2497" spans="1:10" x14ac:dyDescent="0.25">
      <c r="A2497" t="s">
        <v>321</v>
      </c>
      <c r="B2497" t="s">
        <v>253</v>
      </c>
      <c r="C2497" t="s">
        <v>72</v>
      </c>
      <c r="D2497" s="6">
        <v>45801</v>
      </c>
      <c r="E2497" t="str">
        <f>VLOOKUP(B2497,'PROCV GERENTES BD'!A:B,2,0)</f>
        <v>THAYNA/COMERCIAL</v>
      </c>
      <c r="F2497" s="4" t="str">
        <f t="shared" si="194"/>
        <v>2025-05-2</v>
      </c>
      <c r="G2497" t="str">
        <f t="shared" si="190"/>
        <v>THAYNA/COMERCIAL</v>
      </c>
      <c r="H2497" t="str">
        <f t="shared" si="191"/>
        <v>MUTCD CENTRO DE DISTRIBUICAO DE IND FABRICANTE DE</v>
      </c>
      <c r="I2497">
        <f t="shared" si="192"/>
        <v>1</v>
      </c>
      <c r="J2497">
        <f t="shared" si="193"/>
        <v>0</v>
      </c>
    </row>
    <row r="2498" spans="1:10" x14ac:dyDescent="0.25">
      <c r="A2498" t="s">
        <v>494</v>
      </c>
      <c r="B2498" t="s">
        <v>250</v>
      </c>
      <c r="C2498" t="s">
        <v>56</v>
      </c>
      <c r="D2498" s="6">
        <v>45801</v>
      </c>
      <c r="E2498" t="str">
        <f>VLOOKUP(B2498,'PROCV GERENTES BD'!A:B,2,0)</f>
        <v>NOELI SALETE</v>
      </c>
      <c r="F2498" s="4" t="str">
        <f t="shared" si="194"/>
        <v>2025-05-2</v>
      </c>
      <c r="G2498" t="str">
        <f t="shared" ref="G2498:G2561" si="195">E2498</f>
        <v>NOELI SALETE</v>
      </c>
      <c r="H2498" t="str">
        <f t="shared" ref="H2498:H2561" si="196">B2498</f>
        <v>SMARTCENTERGROUP COMERCIO DE EQUIPAMENTOS DE INFOR</v>
      </c>
      <c r="I2498">
        <f t="shared" ref="I2498:I2561" si="197">IF(C2498="EXCLUSAO  ANOT.INADIMPLENCIA",1,0)</f>
        <v>0</v>
      </c>
      <c r="J2498">
        <f t="shared" ref="J2498:J2561" si="198">IF(C2498="INCLUSAO  ANOT.INADIMPLENCIA",1,0)</f>
        <v>1</v>
      </c>
    </row>
    <row r="2499" spans="1:10" x14ac:dyDescent="0.25">
      <c r="A2499" t="s">
        <v>518</v>
      </c>
      <c r="B2499" t="s">
        <v>280</v>
      </c>
      <c r="C2499" t="s">
        <v>72</v>
      </c>
      <c r="D2499" s="6">
        <v>45801</v>
      </c>
      <c r="E2499" t="str">
        <f>VLOOKUP(B2499,'PROCV GERENTES BD'!A:B,2,0)</f>
        <v>CELIO PIMENTA</v>
      </c>
      <c r="F2499" s="4" t="str">
        <f t="shared" ref="F2499:F2562" si="199">YEAR(D2499)&amp;"-"&amp;TEXT(MONTH(D2499),"00")&amp;"-"&amp;IF(DAY(D2499)&lt;=15,"1",IF(DAY(D2499)&gt;15,"2",""))</f>
        <v>2025-05-2</v>
      </c>
      <c r="G2499" t="str">
        <f t="shared" si="195"/>
        <v>CELIO PIMENTA</v>
      </c>
      <c r="H2499" t="str">
        <f t="shared" si="196"/>
        <v>PRADO MOREIRA TEXTIL LTDA ME</v>
      </c>
      <c r="I2499">
        <f t="shared" si="197"/>
        <v>1</v>
      </c>
      <c r="J2499">
        <f t="shared" si="198"/>
        <v>0</v>
      </c>
    </row>
    <row r="2500" spans="1:10" x14ac:dyDescent="0.25">
      <c r="A2500" t="s">
        <v>537</v>
      </c>
      <c r="B2500" t="s">
        <v>304</v>
      </c>
      <c r="C2500" t="s">
        <v>56</v>
      </c>
      <c r="D2500" s="6">
        <v>45804</v>
      </c>
      <c r="E2500" t="str">
        <f>VLOOKUP(B2500,'PROCV GERENTES BD'!A:B,2,0)</f>
        <v>ANDRE CUNHA</v>
      </c>
      <c r="F2500" s="4" t="str">
        <f t="shared" si="199"/>
        <v>2025-05-2</v>
      </c>
      <c r="G2500" t="str">
        <f t="shared" si="195"/>
        <v>ANDRE CUNHA</v>
      </c>
      <c r="H2500" t="str">
        <f t="shared" si="196"/>
        <v>REVPACK TECNOLOGIA E COMERCIO DE COMPONENTES PLAST</v>
      </c>
      <c r="I2500">
        <f t="shared" si="197"/>
        <v>0</v>
      </c>
      <c r="J2500">
        <f t="shared" si="198"/>
        <v>1</v>
      </c>
    </row>
    <row r="2501" spans="1:10" x14ac:dyDescent="0.25">
      <c r="A2501" t="s">
        <v>495</v>
      </c>
      <c r="B2501" t="s">
        <v>251</v>
      </c>
      <c r="C2501" t="s">
        <v>56</v>
      </c>
      <c r="D2501" s="6">
        <v>45804</v>
      </c>
      <c r="E2501" t="str">
        <f>VLOOKUP(B2501,'PROCV GERENTES BD'!A:B,2,0)</f>
        <v xml:space="preserve">ROGERIO </v>
      </c>
      <c r="F2501" s="4" t="str">
        <f t="shared" si="199"/>
        <v>2025-05-2</v>
      </c>
      <c r="G2501" t="str">
        <f t="shared" si="195"/>
        <v xml:space="preserve">ROGERIO </v>
      </c>
      <c r="H2501" t="str">
        <f t="shared" si="196"/>
        <v>MUNDO AGRO COMERCIO E DISTRIBUICAO DE CALCADOS LTD</v>
      </c>
      <c r="I2501">
        <f t="shared" si="197"/>
        <v>0</v>
      </c>
      <c r="J2501">
        <f t="shared" si="198"/>
        <v>1</v>
      </c>
    </row>
    <row r="2502" spans="1:10" x14ac:dyDescent="0.25">
      <c r="A2502" t="s">
        <v>471</v>
      </c>
      <c r="B2502" t="s">
        <v>227</v>
      </c>
      <c r="C2502" t="s">
        <v>72</v>
      </c>
      <c r="D2502" s="6">
        <v>45804</v>
      </c>
      <c r="E2502" t="str">
        <f>VLOOKUP(B2502,'PROCV GERENTES BD'!A:B,2,0)</f>
        <v>ADMINISTRAÇÃO</v>
      </c>
      <c r="F2502" s="4" t="str">
        <f t="shared" si="199"/>
        <v>2025-05-2</v>
      </c>
      <c r="G2502" t="str">
        <f t="shared" si="195"/>
        <v>ADMINISTRAÇÃO</v>
      </c>
      <c r="H2502" t="str">
        <f t="shared" si="196"/>
        <v>A C ESPORTES S A F</v>
      </c>
      <c r="I2502">
        <f t="shared" si="197"/>
        <v>1</v>
      </c>
      <c r="J2502">
        <f t="shared" si="198"/>
        <v>0</v>
      </c>
    </row>
    <row r="2503" spans="1:10" x14ac:dyDescent="0.25">
      <c r="A2503" t="s">
        <v>321</v>
      </c>
      <c r="B2503" t="s">
        <v>253</v>
      </c>
      <c r="C2503" t="s">
        <v>56</v>
      </c>
      <c r="D2503" s="6">
        <v>45804</v>
      </c>
      <c r="E2503" t="str">
        <f>VLOOKUP(B2503,'PROCV GERENTES BD'!A:B,2,0)</f>
        <v>THAYNA/COMERCIAL</v>
      </c>
      <c r="F2503" s="4" t="str">
        <f t="shared" si="199"/>
        <v>2025-05-2</v>
      </c>
      <c r="G2503" t="str">
        <f t="shared" si="195"/>
        <v>THAYNA/COMERCIAL</v>
      </c>
      <c r="H2503" t="str">
        <f t="shared" si="196"/>
        <v>MUTCD CENTRO DE DISTRIBUICAO DE IND FABRICANTE DE</v>
      </c>
      <c r="I2503">
        <f t="shared" si="197"/>
        <v>0</v>
      </c>
      <c r="J2503">
        <f t="shared" si="198"/>
        <v>1</v>
      </c>
    </row>
    <row r="2504" spans="1:10" x14ac:dyDescent="0.25">
      <c r="A2504" t="s">
        <v>82</v>
      </c>
      <c r="B2504" t="s">
        <v>83</v>
      </c>
      <c r="C2504" t="s">
        <v>56</v>
      </c>
      <c r="D2504" s="6">
        <v>45804</v>
      </c>
      <c r="E2504" t="str">
        <f>VLOOKUP(B2504,'PROCV GERENTES BD'!A:B,2,0)</f>
        <v>RAFAEL PARISE</v>
      </c>
      <c r="F2504" s="4" t="str">
        <f t="shared" si="199"/>
        <v>2025-05-2</v>
      </c>
      <c r="G2504" t="str">
        <f t="shared" si="195"/>
        <v>RAFAEL PARISE</v>
      </c>
      <c r="H2504" t="str">
        <f t="shared" si="196"/>
        <v>UNITA AUTO PECAS LTDA EPP</v>
      </c>
      <c r="I2504">
        <f t="shared" si="197"/>
        <v>0</v>
      </c>
      <c r="J2504">
        <f t="shared" si="198"/>
        <v>1</v>
      </c>
    </row>
    <row r="2505" spans="1:10" x14ac:dyDescent="0.25">
      <c r="A2505" t="s">
        <v>378</v>
      </c>
      <c r="B2505" t="s">
        <v>121</v>
      </c>
      <c r="C2505" t="s">
        <v>59</v>
      </c>
      <c r="D2505" s="6">
        <v>45804</v>
      </c>
      <c r="E2505" t="str">
        <f>VLOOKUP(B2505,'PROCV GERENTES BD'!A:B,2,0)</f>
        <v>POENATELA</v>
      </c>
      <c r="F2505" s="4" t="str">
        <f t="shared" si="199"/>
        <v>2025-05-2</v>
      </c>
      <c r="G2505" t="str">
        <f t="shared" si="195"/>
        <v>POENATELA</v>
      </c>
      <c r="H2505" t="str">
        <f t="shared" si="196"/>
        <v>COOPERATIVA TRANSP AUTON CARGAS PASSAG SERVICOS LO</v>
      </c>
      <c r="I2505">
        <f t="shared" si="197"/>
        <v>0</v>
      </c>
      <c r="J2505">
        <f t="shared" si="198"/>
        <v>0</v>
      </c>
    </row>
    <row r="2506" spans="1:10" x14ac:dyDescent="0.25">
      <c r="A2506" t="s">
        <v>458</v>
      </c>
      <c r="B2506" t="s">
        <v>214</v>
      </c>
      <c r="C2506" t="s">
        <v>72</v>
      </c>
      <c r="D2506" s="6">
        <v>45804</v>
      </c>
      <c r="E2506" t="str">
        <f>VLOOKUP(B2506,'PROCV GERENTES BD'!A:B,2,0)</f>
        <v>CELIO PIMENTA</v>
      </c>
      <c r="F2506" s="4" t="str">
        <f t="shared" si="199"/>
        <v>2025-05-2</v>
      </c>
      <c r="G2506" t="str">
        <f t="shared" si="195"/>
        <v>CELIO PIMENTA</v>
      </c>
      <c r="H2506" t="str">
        <f t="shared" si="196"/>
        <v>LIDER COMERCIO DE UNIFORMES E EPI S LTDA ME</v>
      </c>
      <c r="I2506">
        <f t="shared" si="197"/>
        <v>1</v>
      </c>
      <c r="J2506">
        <f t="shared" si="198"/>
        <v>0</v>
      </c>
    </row>
    <row r="2507" spans="1:10" x14ac:dyDescent="0.25">
      <c r="A2507" t="s">
        <v>78</v>
      </c>
      <c r="B2507" t="s">
        <v>79</v>
      </c>
      <c r="C2507" t="s">
        <v>56</v>
      </c>
      <c r="D2507" s="6">
        <v>45804</v>
      </c>
      <c r="E2507" t="str">
        <f>VLOOKUP(B2507,'PROCV GERENTES BD'!A:B,2,0)</f>
        <v>NOELI SALETE</v>
      </c>
      <c r="F2507" s="4" t="str">
        <f t="shared" si="199"/>
        <v>2025-05-2</v>
      </c>
      <c r="G2507" t="str">
        <f t="shared" si="195"/>
        <v>NOELI SALETE</v>
      </c>
      <c r="H2507" t="str">
        <f t="shared" si="196"/>
        <v>SMARTCENTER SOLUCOES INTELIGENTES LTDA ME</v>
      </c>
      <c r="I2507">
        <f t="shared" si="197"/>
        <v>0</v>
      </c>
      <c r="J2507">
        <f t="shared" si="198"/>
        <v>1</v>
      </c>
    </row>
    <row r="2508" spans="1:10" x14ac:dyDescent="0.25">
      <c r="A2508" t="s">
        <v>73</v>
      </c>
      <c r="B2508" t="s">
        <v>74</v>
      </c>
      <c r="C2508" t="s">
        <v>56</v>
      </c>
      <c r="D2508" s="6">
        <v>45804</v>
      </c>
      <c r="E2508" t="str">
        <f>VLOOKUP(B2508,'PROCV GERENTES BD'!A:B,2,0)</f>
        <v xml:space="preserve">ROGERIO </v>
      </c>
      <c r="F2508" s="4" t="str">
        <f t="shared" si="199"/>
        <v>2025-05-2</v>
      </c>
      <c r="G2508" t="str">
        <f t="shared" si="195"/>
        <v xml:space="preserve">ROGERIO </v>
      </c>
      <c r="H2508" t="str">
        <f t="shared" si="196"/>
        <v>DIOTTONI INDUSTRIA E COMERCIO DE ALIMENTOS LTDA ME</v>
      </c>
      <c r="I2508">
        <f t="shared" si="197"/>
        <v>0</v>
      </c>
      <c r="J2508">
        <f t="shared" si="198"/>
        <v>1</v>
      </c>
    </row>
    <row r="2509" spans="1:10" x14ac:dyDescent="0.25">
      <c r="A2509" t="s">
        <v>70</v>
      </c>
      <c r="B2509" t="s">
        <v>71</v>
      </c>
      <c r="C2509" t="s">
        <v>56</v>
      </c>
      <c r="D2509" s="6">
        <v>45804</v>
      </c>
      <c r="E2509" t="str">
        <f>VLOOKUP(B2509,'PROCV GERENTES BD'!A:B,2,0)</f>
        <v>SEM GERENTE</v>
      </c>
      <c r="F2509" s="4" t="str">
        <f t="shared" si="199"/>
        <v>2025-05-2</v>
      </c>
      <c r="G2509" t="str">
        <f t="shared" si="195"/>
        <v>SEM GERENTE</v>
      </c>
      <c r="H2509" t="str">
        <f t="shared" si="196"/>
        <v>SOCIAL S/A</v>
      </c>
      <c r="I2509">
        <f t="shared" si="197"/>
        <v>0</v>
      </c>
      <c r="J2509">
        <f t="shared" si="198"/>
        <v>1</v>
      </c>
    </row>
    <row r="2510" spans="1:10" x14ac:dyDescent="0.25">
      <c r="A2510" t="s">
        <v>68</v>
      </c>
      <c r="B2510" t="s">
        <v>69</v>
      </c>
      <c r="C2510" t="s">
        <v>56</v>
      </c>
      <c r="D2510" s="6">
        <v>45804</v>
      </c>
      <c r="E2510" t="str">
        <f>VLOOKUP(B2510,'PROCV GERENTES BD'!A:B,2,0)</f>
        <v>FITZ</v>
      </c>
      <c r="F2510" s="4" t="str">
        <f t="shared" si="199"/>
        <v>2025-05-2</v>
      </c>
      <c r="G2510" t="str">
        <f t="shared" si="195"/>
        <v>FITZ</v>
      </c>
      <c r="H2510" t="str">
        <f t="shared" si="196"/>
        <v>MAPP COM IMPORTACAO EXPORTACAO IND PRODUTOS ALIMEN</v>
      </c>
      <c r="I2510">
        <f t="shared" si="197"/>
        <v>0</v>
      </c>
      <c r="J2510">
        <f t="shared" si="198"/>
        <v>1</v>
      </c>
    </row>
    <row r="2511" spans="1:10" x14ac:dyDescent="0.25">
      <c r="A2511" t="s">
        <v>507</v>
      </c>
      <c r="B2511" t="s">
        <v>265</v>
      </c>
      <c r="C2511" t="s">
        <v>56</v>
      </c>
      <c r="D2511" s="6">
        <v>45804</v>
      </c>
      <c r="E2511" t="str">
        <f>VLOOKUP(B2511,'PROCV GERENTES BD'!A:B,2,0)</f>
        <v>SEM GERENTE</v>
      </c>
      <c r="F2511" s="4" t="str">
        <f t="shared" si="199"/>
        <v>2025-05-2</v>
      </c>
      <c r="G2511" t="str">
        <f t="shared" si="195"/>
        <v>SEM GERENTE</v>
      </c>
      <c r="H2511" t="str">
        <f t="shared" si="196"/>
        <v>PLATINUM INDUSTRIA DE CONFECCOES LTDA</v>
      </c>
      <c r="I2511">
        <f t="shared" si="197"/>
        <v>0</v>
      </c>
      <c r="J2511">
        <f t="shared" si="198"/>
        <v>1</v>
      </c>
    </row>
    <row r="2512" spans="1:10" x14ac:dyDescent="0.25">
      <c r="A2512" t="s">
        <v>66</v>
      </c>
      <c r="B2512" t="s">
        <v>67</v>
      </c>
      <c r="C2512" t="s">
        <v>56</v>
      </c>
      <c r="D2512" s="6">
        <v>45804</v>
      </c>
      <c r="E2512" t="str">
        <f>VLOOKUP(B2512,'PROCV GERENTES BD'!A:B,2,0)</f>
        <v xml:space="preserve">MARCUS VINICIUS </v>
      </c>
      <c r="F2512" s="4" t="str">
        <f t="shared" si="199"/>
        <v>2025-05-2</v>
      </c>
      <c r="G2512" t="str">
        <f t="shared" si="195"/>
        <v xml:space="preserve">MARCUS VINICIUS </v>
      </c>
      <c r="H2512" t="str">
        <f t="shared" si="196"/>
        <v>COM IND DE CEREAIS E TRANSPORTES MACIEL LTDA</v>
      </c>
      <c r="I2512">
        <f t="shared" si="197"/>
        <v>0</v>
      </c>
      <c r="J2512">
        <f t="shared" si="198"/>
        <v>1</v>
      </c>
    </row>
    <row r="2513" spans="1:10" x14ac:dyDescent="0.25">
      <c r="A2513" t="s">
        <v>483</v>
      </c>
      <c r="B2513" t="s">
        <v>239</v>
      </c>
      <c r="C2513" t="s">
        <v>72</v>
      </c>
      <c r="D2513" s="6">
        <v>45804</v>
      </c>
      <c r="E2513" t="str">
        <f>VLOOKUP(B2513,'PROCV GERENTES BD'!A:B,2,0)</f>
        <v>POENATELA</v>
      </c>
      <c r="F2513" s="4" t="str">
        <f t="shared" si="199"/>
        <v>2025-05-2</v>
      </c>
      <c r="G2513" t="str">
        <f t="shared" si="195"/>
        <v>POENATELA</v>
      </c>
      <c r="H2513" t="str">
        <f t="shared" si="196"/>
        <v>JUATUBA MOVEIS E EMBALAGENS LTDA</v>
      </c>
      <c r="I2513">
        <f t="shared" si="197"/>
        <v>1</v>
      </c>
      <c r="J2513">
        <f t="shared" si="198"/>
        <v>0</v>
      </c>
    </row>
    <row r="2514" spans="1:10" x14ac:dyDescent="0.25">
      <c r="A2514" t="s">
        <v>361</v>
      </c>
      <c r="B2514" t="s">
        <v>103</v>
      </c>
      <c r="C2514" t="s">
        <v>56</v>
      </c>
      <c r="D2514" s="6">
        <v>45804</v>
      </c>
      <c r="E2514" t="str">
        <f>VLOOKUP(B2514,'PROCV GERENTES BD'!A:B,2,0)</f>
        <v>PRISCILA METZ</v>
      </c>
      <c r="F2514" s="4" t="str">
        <f t="shared" si="199"/>
        <v>2025-05-2</v>
      </c>
      <c r="G2514" t="str">
        <f t="shared" si="195"/>
        <v>PRISCILA METZ</v>
      </c>
      <c r="H2514" t="str">
        <f t="shared" si="196"/>
        <v>ESSENZA INDUSTRIA QUIMICA LTDA</v>
      </c>
      <c r="I2514">
        <f t="shared" si="197"/>
        <v>0</v>
      </c>
      <c r="J2514">
        <f t="shared" si="198"/>
        <v>1</v>
      </c>
    </row>
    <row r="2515" spans="1:10" x14ac:dyDescent="0.25">
      <c r="A2515" t="s">
        <v>538</v>
      </c>
      <c r="B2515" t="s">
        <v>305</v>
      </c>
      <c r="C2515" t="s">
        <v>56</v>
      </c>
      <c r="D2515" s="6">
        <v>45804</v>
      </c>
      <c r="E2515" t="str">
        <f>VLOOKUP(B2515,'PROCV GERENTES BD'!A:B,2,0)</f>
        <v>ALISSON DE SOUZA LIMA</v>
      </c>
      <c r="F2515" s="4" t="str">
        <f t="shared" si="199"/>
        <v>2025-05-2</v>
      </c>
      <c r="G2515" t="str">
        <f t="shared" si="195"/>
        <v>ALISSON DE SOUZA LIMA</v>
      </c>
      <c r="H2515" t="str">
        <f t="shared" si="196"/>
        <v>ANGIOMEDIC COMERCIO DE MATERIAL MEDICO HOSPITALAR</v>
      </c>
      <c r="I2515">
        <f t="shared" si="197"/>
        <v>0</v>
      </c>
      <c r="J2515">
        <f t="shared" si="198"/>
        <v>1</v>
      </c>
    </row>
    <row r="2516" spans="1:10" x14ac:dyDescent="0.25">
      <c r="A2516" t="s">
        <v>521</v>
      </c>
      <c r="B2516" t="s">
        <v>282</v>
      </c>
      <c r="C2516" t="s">
        <v>56</v>
      </c>
      <c r="D2516" s="6">
        <v>45804</v>
      </c>
      <c r="E2516" t="str">
        <f>VLOOKUP(B2516,'PROCV GERENTES BD'!A:B,2,0)</f>
        <v>ALISSON DE SOUZA LIMA</v>
      </c>
      <c r="F2516" s="4" t="str">
        <f t="shared" si="199"/>
        <v>2025-05-2</v>
      </c>
      <c r="G2516" t="str">
        <f t="shared" si="195"/>
        <v>ALISSON DE SOUZA LIMA</v>
      </c>
      <c r="H2516" t="str">
        <f t="shared" si="196"/>
        <v>COMERCIAL JLX DISTRIBUIDORA LTDA ME</v>
      </c>
      <c r="I2516">
        <f t="shared" si="197"/>
        <v>0</v>
      </c>
      <c r="J2516">
        <f t="shared" si="198"/>
        <v>1</v>
      </c>
    </row>
    <row r="2517" spans="1:10" x14ac:dyDescent="0.25">
      <c r="A2517" t="s">
        <v>326</v>
      </c>
      <c r="B2517" t="s">
        <v>86</v>
      </c>
      <c r="C2517" t="s">
        <v>56</v>
      </c>
      <c r="D2517" s="6">
        <v>45804</v>
      </c>
      <c r="E2517" t="str">
        <f>VLOOKUP(B2517,'PROCV GERENTES BD'!A:B,2,0)</f>
        <v>CELIO PIMENTA</v>
      </c>
      <c r="F2517" s="4" t="str">
        <f t="shared" si="199"/>
        <v>2025-05-2</v>
      </c>
      <c r="G2517" t="str">
        <f t="shared" si="195"/>
        <v>CELIO PIMENTA</v>
      </c>
      <c r="H2517" t="str">
        <f t="shared" si="196"/>
        <v>IMPORTEXTIL COMERCIO DE TECIDOS LTDA</v>
      </c>
      <c r="I2517">
        <f t="shared" si="197"/>
        <v>0</v>
      </c>
      <c r="J2517">
        <f t="shared" si="198"/>
        <v>1</v>
      </c>
    </row>
    <row r="2518" spans="1:10" x14ac:dyDescent="0.25">
      <c r="A2518" t="s">
        <v>339</v>
      </c>
      <c r="B2518" t="s">
        <v>151</v>
      </c>
      <c r="C2518" t="s">
        <v>56</v>
      </c>
      <c r="D2518" s="6">
        <v>45804</v>
      </c>
      <c r="E2518" t="str">
        <f>VLOOKUP(B2518,'PROCV GERENTES BD'!A:B,2,0)</f>
        <v>ADMINISTRAÇÃO</v>
      </c>
      <c r="F2518" s="4" t="str">
        <f t="shared" si="199"/>
        <v>2025-05-2</v>
      </c>
      <c r="G2518" t="str">
        <f t="shared" si="195"/>
        <v>ADMINISTRAÇÃO</v>
      </c>
      <c r="H2518" t="str">
        <f t="shared" si="196"/>
        <v>BOM PASTOR PAPEIS LTDA EM RECUPERACAO JUDICIAL</v>
      </c>
      <c r="I2518">
        <f t="shared" si="197"/>
        <v>0</v>
      </c>
      <c r="J2518">
        <f t="shared" si="198"/>
        <v>1</v>
      </c>
    </row>
    <row r="2519" spans="1:10" x14ac:dyDescent="0.25">
      <c r="A2519" t="s">
        <v>366</v>
      </c>
      <c r="B2519" t="s">
        <v>111</v>
      </c>
      <c r="C2519" t="s">
        <v>56</v>
      </c>
      <c r="D2519" s="6">
        <v>45804</v>
      </c>
      <c r="E2519" t="str">
        <f>VLOOKUP(B2519,'PROCV GERENTES BD'!A:B,2,0)</f>
        <v>DIOGO AZEVEDO</v>
      </c>
      <c r="F2519" s="4" t="str">
        <f t="shared" si="199"/>
        <v>2025-05-2</v>
      </c>
      <c r="G2519" t="str">
        <f t="shared" si="195"/>
        <v>DIOGO AZEVEDO</v>
      </c>
      <c r="H2519" t="str">
        <f t="shared" si="196"/>
        <v>INDUSTRIA E CERVEJARIA ARTESANAL DE MINAS GERAIS L</v>
      </c>
      <c r="I2519">
        <f t="shared" si="197"/>
        <v>0</v>
      </c>
      <c r="J2519">
        <f t="shared" si="198"/>
        <v>1</v>
      </c>
    </row>
    <row r="2520" spans="1:10" x14ac:dyDescent="0.25">
      <c r="A2520" t="s">
        <v>369</v>
      </c>
      <c r="B2520" t="s">
        <v>113</v>
      </c>
      <c r="C2520" t="s">
        <v>72</v>
      </c>
      <c r="D2520" s="6">
        <v>45804</v>
      </c>
      <c r="E2520" t="str">
        <f>VLOOKUP(B2520,'PROCV GERENTES BD'!A:B,2,0)</f>
        <v>PRISCILA METZ</v>
      </c>
      <c r="F2520" s="4" t="str">
        <f t="shared" si="199"/>
        <v>2025-05-2</v>
      </c>
      <c r="G2520" t="str">
        <f t="shared" si="195"/>
        <v>PRISCILA METZ</v>
      </c>
      <c r="H2520" t="str">
        <f t="shared" si="196"/>
        <v>HERBAMED LABORATORIO NUTRACEUTICO LTDA</v>
      </c>
      <c r="I2520">
        <f t="shared" si="197"/>
        <v>1</v>
      </c>
      <c r="J2520">
        <f t="shared" si="198"/>
        <v>0</v>
      </c>
    </row>
    <row r="2521" spans="1:10" x14ac:dyDescent="0.25">
      <c r="A2521" t="s">
        <v>315</v>
      </c>
      <c r="B2521" t="s">
        <v>291</v>
      </c>
      <c r="C2521" t="s">
        <v>56</v>
      </c>
      <c r="D2521" s="6">
        <v>45804</v>
      </c>
      <c r="E2521" t="str">
        <f>VLOOKUP(B2521,'PROCV GERENTES BD'!A:B,2,0)</f>
        <v>CAIO</v>
      </c>
      <c r="F2521" s="4" t="str">
        <f t="shared" si="199"/>
        <v>2025-05-2</v>
      </c>
      <c r="G2521" t="str">
        <f t="shared" si="195"/>
        <v>CAIO</v>
      </c>
      <c r="H2521" t="str">
        <f t="shared" si="196"/>
        <v>GLOBALMAX INDUSTRIA PLASTICA S/A</v>
      </c>
      <c r="I2521">
        <f t="shared" si="197"/>
        <v>0</v>
      </c>
      <c r="J2521">
        <f t="shared" si="198"/>
        <v>1</v>
      </c>
    </row>
    <row r="2522" spans="1:10" x14ac:dyDescent="0.25">
      <c r="A2522" t="s">
        <v>60</v>
      </c>
      <c r="B2522" t="s">
        <v>61</v>
      </c>
      <c r="C2522" t="s">
        <v>72</v>
      </c>
      <c r="D2522" s="6">
        <v>45804</v>
      </c>
      <c r="E2522" t="str">
        <f>VLOOKUP(B2522,'PROCV GERENTES BD'!A:B,2,0)</f>
        <v>CELIO PIMENTA</v>
      </c>
      <c r="F2522" s="4" t="str">
        <f t="shared" si="199"/>
        <v>2025-05-2</v>
      </c>
      <c r="G2522" t="str">
        <f t="shared" si="195"/>
        <v>CELIO PIMENTA</v>
      </c>
      <c r="H2522" t="str">
        <f t="shared" si="196"/>
        <v>WJ CALDEIRARIA INDUSTRIA E COMERCIO LTDA ME</v>
      </c>
      <c r="I2522">
        <f t="shared" si="197"/>
        <v>1</v>
      </c>
      <c r="J2522">
        <f t="shared" si="198"/>
        <v>0</v>
      </c>
    </row>
    <row r="2523" spans="1:10" x14ac:dyDescent="0.25">
      <c r="A2523" t="s">
        <v>57</v>
      </c>
      <c r="B2523" t="s">
        <v>58</v>
      </c>
      <c r="C2523" t="s">
        <v>56</v>
      </c>
      <c r="D2523" s="6">
        <v>45804</v>
      </c>
      <c r="E2523" t="str">
        <f>VLOOKUP(B2523,'PROCV GERENTES BD'!A:B,2,0)</f>
        <v>RAFAEL PARISE</v>
      </c>
      <c r="F2523" s="4" t="str">
        <f t="shared" si="199"/>
        <v>2025-05-2</v>
      </c>
      <c r="G2523" t="str">
        <f t="shared" si="195"/>
        <v>RAFAEL PARISE</v>
      </c>
      <c r="H2523" t="str">
        <f t="shared" si="196"/>
        <v>TDR TRANSPORTES LOGISTICA LTDA</v>
      </c>
      <c r="I2523">
        <f t="shared" si="197"/>
        <v>0</v>
      </c>
      <c r="J2523">
        <f t="shared" si="198"/>
        <v>1</v>
      </c>
    </row>
    <row r="2524" spans="1:10" x14ac:dyDescent="0.25">
      <c r="A2524" t="s">
        <v>331</v>
      </c>
      <c r="B2524" t="s">
        <v>126</v>
      </c>
      <c r="C2524" t="s">
        <v>59</v>
      </c>
      <c r="D2524" s="6">
        <v>45804</v>
      </c>
      <c r="E2524" t="str">
        <f>VLOOKUP(B2524,'PROCV GERENTES BD'!A:B,2,0)</f>
        <v>FITZ</v>
      </c>
      <c r="F2524" s="4" t="str">
        <f t="shared" si="199"/>
        <v>2025-05-2</v>
      </c>
      <c r="G2524" t="str">
        <f t="shared" si="195"/>
        <v>FITZ</v>
      </c>
      <c r="H2524" t="str">
        <f t="shared" si="196"/>
        <v>TRANSHENRY TRANSPORTES LTDA</v>
      </c>
      <c r="I2524">
        <f t="shared" si="197"/>
        <v>0</v>
      </c>
      <c r="J2524">
        <f t="shared" si="198"/>
        <v>0</v>
      </c>
    </row>
    <row r="2525" spans="1:10" x14ac:dyDescent="0.25">
      <c r="A2525" t="s">
        <v>313</v>
      </c>
      <c r="B2525" t="s">
        <v>273</v>
      </c>
      <c r="C2525" t="s">
        <v>56</v>
      </c>
      <c r="D2525" s="6">
        <v>45804</v>
      </c>
      <c r="E2525" t="str">
        <f>VLOOKUP(B2525,'PROCV GERENTES BD'!A:B,2,0)</f>
        <v>CAIO</v>
      </c>
      <c r="F2525" s="4" t="str">
        <f t="shared" si="199"/>
        <v>2025-05-2</v>
      </c>
      <c r="G2525" t="str">
        <f t="shared" si="195"/>
        <v>CAIO</v>
      </c>
      <c r="H2525" t="str">
        <f t="shared" si="196"/>
        <v>MECALD MECANICA E CALDEIRARIA LTDA EPP</v>
      </c>
      <c r="I2525">
        <f t="shared" si="197"/>
        <v>0</v>
      </c>
      <c r="J2525">
        <f t="shared" si="198"/>
        <v>1</v>
      </c>
    </row>
    <row r="2526" spans="1:10" x14ac:dyDescent="0.25">
      <c r="A2526" t="s">
        <v>532</v>
      </c>
      <c r="B2526" t="s">
        <v>296</v>
      </c>
      <c r="C2526" t="s">
        <v>56</v>
      </c>
      <c r="D2526" s="6">
        <v>45804</v>
      </c>
      <c r="E2526" t="str">
        <f>VLOOKUP(B2526,'PROCV GERENTES BD'!A:B,2,0)</f>
        <v>DALVA</v>
      </c>
      <c r="F2526" s="4" t="str">
        <f t="shared" si="199"/>
        <v>2025-05-2</v>
      </c>
      <c r="G2526" t="str">
        <f t="shared" si="195"/>
        <v>DALVA</v>
      </c>
      <c r="H2526" t="str">
        <f t="shared" si="196"/>
        <v>FRAITECH INTELIGENCIA EM AUTOMACAO LTDA</v>
      </c>
      <c r="I2526">
        <f t="shared" si="197"/>
        <v>0</v>
      </c>
      <c r="J2526">
        <f t="shared" si="198"/>
        <v>1</v>
      </c>
    </row>
    <row r="2527" spans="1:10" x14ac:dyDescent="0.25">
      <c r="A2527" t="s">
        <v>311</v>
      </c>
      <c r="B2527" t="s">
        <v>130</v>
      </c>
      <c r="C2527" t="s">
        <v>72</v>
      </c>
      <c r="D2527" s="6">
        <v>45804</v>
      </c>
      <c r="E2527" t="str">
        <f>VLOOKUP(B2527,'PROCV GERENTES BD'!A:B,2,0)</f>
        <v>ANTONIO CARLOS</v>
      </c>
      <c r="F2527" s="4" t="str">
        <f t="shared" si="199"/>
        <v>2025-05-2</v>
      </c>
      <c r="G2527" t="str">
        <f t="shared" si="195"/>
        <v>ANTONIO CARLOS</v>
      </c>
      <c r="H2527" t="str">
        <f t="shared" si="196"/>
        <v>VIC LOGISTICA LTDA EM RECUPERACAO JUDICIAL</v>
      </c>
      <c r="I2527">
        <f t="shared" si="197"/>
        <v>1</v>
      </c>
      <c r="J2527">
        <f t="shared" si="198"/>
        <v>0</v>
      </c>
    </row>
    <row r="2528" spans="1:10" x14ac:dyDescent="0.25">
      <c r="A2528" t="s">
        <v>529</v>
      </c>
      <c r="B2528" t="s">
        <v>293</v>
      </c>
      <c r="C2528" t="s">
        <v>56</v>
      </c>
      <c r="D2528" s="6">
        <v>45804</v>
      </c>
      <c r="E2528" t="str">
        <f>VLOOKUP(B2528,'PROCV GERENTES BD'!A:B,2,0)</f>
        <v>CELIO PIMENTA</v>
      </c>
      <c r="F2528" s="4" t="str">
        <f t="shared" si="199"/>
        <v>2025-05-2</v>
      </c>
      <c r="G2528" t="str">
        <f t="shared" si="195"/>
        <v>CELIO PIMENTA</v>
      </c>
      <c r="H2528" t="str">
        <f t="shared" si="196"/>
        <v>LINGERIE E CIA LTDA ME</v>
      </c>
      <c r="I2528">
        <f t="shared" si="197"/>
        <v>0</v>
      </c>
      <c r="J2528">
        <f t="shared" si="198"/>
        <v>1</v>
      </c>
    </row>
    <row r="2529" spans="1:10" x14ac:dyDescent="0.25">
      <c r="A2529" t="s">
        <v>518</v>
      </c>
      <c r="B2529" t="s">
        <v>280</v>
      </c>
      <c r="C2529" t="s">
        <v>56</v>
      </c>
      <c r="D2529" s="6">
        <v>45804</v>
      </c>
      <c r="E2529" t="str">
        <f>VLOOKUP(B2529,'PROCV GERENTES BD'!A:B,2,0)</f>
        <v>CELIO PIMENTA</v>
      </c>
      <c r="F2529" s="4" t="str">
        <f t="shared" si="199"/>
        <v>2025-05-2</v>
      </c>
      <c r="G2529" t="str">
        <f t="shared" si="195"/>
        <v>CELIO PIMENTA</v>
      </c>
      <c r="H2529" t="str">
        <f t="shared" si="196"/>
        <v>PRADO MOREIRA TEXTIL LTDA ME</v>
      </c>
      <c r="I2529">
        <f t="shared" si="197"/>
        <v>0</v>
      </c>
      <c r="J2529">
        <f t="shared" si="198"/>
        <v>1</v>
      </c>
    </row>
    <row r="2530" spans="1:10" x14ac:dyDescent="0.25">
      <c r="A2530" t="s">
        <v>383</v>
      </c>
      <c r="B2530" t="s">
        <v>127</v>
      </c>
      <c r="C2530" t="s">
        <v>72</v>
      </c>
      <c r="D2530" s="6">
        <v>45805</v>
      </c>
      <c r="E2530" t="str">
        <f>VLOOKUP(B2530,'PROCV GERENTES BD'!A:B,2,0)</f>
        <v>NATALIA NUBIA</v>
      </c>
      <c r="F2530" s="4" t="str">
        <f t="shared" si="199"/>
        <v>2025-05-2</v>
      </c>
      <c r="G2530" t="str">
        <f t="shared" si="195"/>
        <v>NATALIA NUBIA</v>
      </c>
      <c r="H2530" t="str">
        <f t="shared" si="196"/>
        <v>FARINELLI NUTRIMENTOS LTDA</v>
      </c>
      <c r="I2530">
        <f t="shared" si="197"/>
        <v>1</v>
      </c>
      <c r="J2530">
        <f t="shared" si="198"/>
        <v>0</v>
      </c>
    </row>
    <row r="2531" spans="1:10" x14ac:dyDescent="0.25">
      <c r="A2531" t="s">
        <v>468</v>
      </c>
      <c r="B2531" t="s">
        <v>224</v>
      </c>
      <c r="C2531" t="s">
        <v>56</v>
      </c>
      <c r="D2531" s="6">
        <v>45805</v>
      </c>
      <c r="E2531" t="str">
        <f>VLOOKUP(B2531,'PROCV GERENTES BD'!A:B,2,0)</f>
        <v>CELIO PIMENTA</v>
      </c>
      <c r="F2531" s="4" t="str">
        <f t="shared" si="199"/>
        <v>2025-05-2</v>
      </c>
      <c r="G2531" t="str">
        <f t="shared" si="195"/>
        <v>CELIO PIMENTA</v>
      </c>
      <c r="H2531" t="str">
        <f t="shared" si="196"/>
        <v>MINAS CLEAN DISTRIBUIDORA DE PRODUTOS PARA LIMPEZA</v>
      </c>
      <c r="I2531">
        <f t="shared" si="197"/>
        <v>0</v>
      </c>
      <c r="J2531">
        <f t="shared" si="198"/>
        <v>1</v>
      </c>
    </row>
    <row r="2532" spans="1:10" x14ac:dyDescent="0.25">
      <c r="A2532" t="s">
        <v>321</v>
      </c>
      <c r="B2532" t="s">
        <v>253</v>
      </c>
      <c r="C2532" t="s">
        <v>56</v>
      </c>
      <c r="D2532" s="6">
        <v>45805</v>
      </c>
      <c r="E2532" t="str">
        <f>VLOOKUP(B2532,'PROCV GERENTES BD'!A:B,2,0)</f>
        <v>THAYNA/COMERCIAL</v>
      </c>
      <c r="F2532" s="4" t="str">
        <f t="shared" si="199"/>
        <v>2025-05-2</v>
      </c>
      <c r="G2532" t="str">
        <f t="shared" si="195"/>
        <v>THAYNA/COMERCIAL</v>
      </c>
      <c r="H2532" t="str">
        <f t="shared" si="196"/>
        <v>MUTCD CENTRO DE DISTRIBUICAO DE IND FABRICANTE DE</v>
      </c>
      <c r="I2532">
        <f t="shared" si="197"/>
        <v>0</v>
      </c>
      <c r="J2532">
        <f t="shared" si="198"/>
        <v>1</v>
      </c>
    </row>
    <row r="2533" spans="1:10" x14ac:dyDescent="0.25">
      <c r="A2533" t="s">
        <v>82</v>
      </c>
      <c r="B2533" t="s">
        <v>83</v>
      </c>
      <c r="C2533" t="s">
        <v>72</v>
      </c>
      <c r="D2533" s="6">
        <v>45805</v>
      </c>
      <c r="E2533" t="str">
        <f>VLOOKUP(B2533,'PROCV GERENTES BD'!A:B,2,0)</f>
        <v>RAFAEL PARISE</v>
      </c>
      <c r="F2533" s="4" t="str">
        <f t="shared" si="199"/>
        <v>2025-05-2</v>
      </c>
      <c r="G2533" t="str">
        <f t="shared" si="195"/>
        <v>RAFAEL PARISE</v>
      </c>
      <c r="H2533" t="str">
        <f t="shared" si="196"/>
        <v>UNITA AUTO PECAS LTDA EPP</v>
      </c>
      <c r="I2533">
        <f t="shared" si="197"/>
        <v>1</v>
      </c>
      <c r="J2533">
        <f t="shared" si="198"/>
        <v>0</v>
      </c>
    </row>
    <row r="2534" spans="1:10" x14ac:dyDescent="0.25">
      <c r="A2534" t="s">
        <v>80</v>
      </c>
      <c r="B2534" t="s">
        <v>81</v>
      </c>
      <c r="C2534" t="s">
        <v>56</v>
      </c>
      <c r="D2534" s="6">
        <v>45805</v>
      </c>
      <c r="E2534" t="str">
        <f>VLOOKUP(B2534,'PROCV GERENTES BD'!A:B,2,0)</f>
        <v>CAIO</v>
      </c>
      <c r="F2534" s="4" t="str">
        <f t="shared" si="199"/>
        <v>2025-05-2</v>
      </c>
      <c r="G2534" t="str">
        <f t="shared" si="195"/>
        <v>CAIO</v>
      </c>
      <c r="H2534" t="str">
        <f t="shared" si="196"/>
        <v>TP DISTRIBUIDORA DE PECAS LTDA EPP</v>
      </c>
      <c r="I2534">
        <f t="shared" si="197"/>
        <v>0</v>
      </c>
      <c r="J2534">
        <f t="shared" si="198"/>
        <v>1</v>
      </c>
    </row>
    <row r="2535" spans="1:10" x14ac:dyDescent="0.25">
      <c r="A2535" t="s">
        <v>78</v>
      </c>
      <c r="B2535" t="s">
        <v>79</v>
      </c>
      <c r="C2535" t="s">
        <v>56</v>
      </c>
      <c r="D2535" s="6">
        <v>45805</v>
      </c>
      <c r="E2535" t="str">
        <f>VLOOKUP(B2535,'PROCV GERENTES BD'!A:B,2,0)</f>
        <v>NOELI SALETE</v>
      </c>
      <c r="F2535" s="4" t="str">
        <f t="shared" si="199"/>
        <v>2025-05-2</v>
      </c>
      <c r="G2535" t="str">
        <f t="shared" si="195"/>
        <v>NOELI SALETE</v>
      </c>
      <c r="H2535" t="str">
        <f t="shared" si="196"/>
        <v>SMARTCENTER SOLUCOES INTELIGENTES LTDA ME</v>
      </c>
      <c r="I2535">
        <f t="shared" si="197"/>
        <v>0</v>
      </c>
      <c r="J2535">
        <f t="shared" si="198"/>
        <v>1</v>
      </c>
    </row>
    <row r="2536" spans="1:10" x14ac:dyDescent="0.25">
      <c r="A2536" t="s">
        <v>68</v>
      </c>
      <c r="B2536" t="s">
        <v>69</v>
      </c>
      <c r="C2536" t="s">
        <v>56</v>
      </c>
      <c r="D2536" s="6">
        <v>45805</v>
      </c>
      <c r="E2536" t="str">
        <f>VLOOKUP(B2536,'PROCV GERENTES BD'!A:B,2,0)</f>
        <v>FITZ</v>
      </c>
      <c r="F2536" s="4" t="str">
        <f t="shared" si="199"/>
        <v>2025-05-2</v>
      </c>
      <c r="G2536" t="str">
        <f t="shared" si="195"/>
        <v>FITZ</v>
      </c>
      <c r="H2536" t="str">
        <f t="shared" si="196"/>
        <v>MAPP COM IMPORTACAO EXPORTACAO IND PRODUTOS ALIMEN</v>
      </c>
      <c r="I2536">
        <f t="shared" si="197"/>
        <v>0</v>
      </c>
      <c r="J2536">
        <f t="shared" si="198"/>
        <v>1</v>
      </c>
    </row>
    <row r="2537" spans="1:10" x14ac:dyDescent="0.25">
      <c r="A2537" t="s">
        <v>507</v>
      </c>
      <c r="B2537" t="s">
        <v>265</v>
      </c>
      <c r="C2537" t="s">
        <v>56</v>
      </c>
      <c r="D2537" s="6">
        <v>45805</v>
      </c>
      <c r="E2537" t="str">
        <f>VLOOKUP(B2537,'PROCV GERENTES BD'!A:B,2,0)</f>
        <v>SEM GERENTE</v>
      </c>
      <c r="F2537" s="4" t="str">
        <f t="shared" si="199"/>
        <v>2025-05-2</v>
      </c>
      <c r="G2537" t="str">
        <f t="shared" si="195"/>
        <v>SEM GERENTE</v>
      </c>
      <c r="H2537" t="str">
        <f t="shared" si="196"/>
        <v>PLATINUM INDUSTRIA DE CONFECCOES LTDA</v>
      </c>
      <c r="I2537">
        <f t="shared" si="197"/>
        <v>0</v>
      </c>
      <c r="J2537">
        <f t="shared" si="198"/>
        <v>1</v>
      </c>
    </row>
    <row r="2538" spans="1:10" x14ac:dyDescent="0.25">
      <c r="A2538" t="s">
        <v>66</v>
      </c>
      <c r="B2538" t="s">
        <v>67</v>
      </c>
      <c r="C2538" t="s">
        <v>56</v>
      </c>
      <c r="D2538" s="6">
        <v>45805</v>
      </c>
      <c r="E2538" t="str">
        <f>VLOOKUP(B2538,'PROCV GERENTES BD'!A:B,2,0)</f>
        <v xml:space="preserve">MARCUS VINICIUS </v>
      </c>
      <c r="F2538" s="4" t="str">
        <f t="shared" si="199"/>
        <v>2025-05-2</v>
      </c>
      <c r="G2538" t="str">
        <f t="shared" si="195"/>
        <v xml:space="preserve">MARCUS VINICIUS </v>
      </c>
      <c r="H2538" t="str">
        <f t="shared" si="196"/>
        <v>COM IND DE CEREAIS E TRANSPORTES MACIEL LTDA</v>
      </c>
      <c r="I2538">
        <f t="shared" si="197"/>
        <v>0</v>
      </c>
      <c r="J2538">
        <f t="shared" si="198"/>
        <v>1</v>
      </c>
    </row>
    <row r="2539" spans="1:10" x14ac:dyDescent="0.25">
      <c r="A2539" t="s">
        <v>360</v>
      </c>
      <c r="B2539" t="s">
        <v>102</v>
      </c>
      <c r="C2539" t="s">
        <v>56</v>
      </c>
      <c r="D2539" s="6">
        <v>45805</v>
      </c>
      <c r="E2539" t="str">
        <f>VLOOKUP(B2539,'PROCV GERENTES BD'!A:B,2,0)</f>
        <v>POENATELA</v>
      </c>
      <c r="F2539" s="4" t="str">
        <f t="shared" si="199"/>
        <v>2025-05-2</v>
      </c>
      <c r="G2539" t="str">
        <f t="shared" si="195"/>
        <v>POENATELA</v>
      </c>
      <c r="H2539" t="str">
        <f t="shared" si="196"/>
        <v>SUPER HARD TECNOLOGIA EM TRATAMENTO DE SUPERFICIES</v>
      </c>
      <c r="I2539">
        <f t="shared" si="197"/>
        <v>0</v>
      </c>
      <c r="J2539">
        <f t="shared" si="198"/>
        <v>1</v>
      </c>
    </row>
    <row r="2540" spans="1:10" x14ac:dyDescent="0.25">
      <c r="A2540" t="s">
        <v>509</v>
      </c>
      <c r="B2540" t="s">
        <v>267</v>
      </c>
      <c r="C2540" t="s">
        <v>56</v>
      </c>
      <c r="D2540" s="6">
        <v>45805</v>
      </c>
      <c r="E2540" t="str">
        <f>VLOOKUP(B2540,'PROCV GERENTES BD'!A:B,2,0)</f>
        <v>SEM GERENTE</v>
      </c>
      <c r="F2540" s="4" t="str">
        <f t="shared" si="199"/>
        <v>2025-05-2</v>
      </c>
      <c r="G2540" t="str">
        <f t="shared" si="195"/>
        <v>SEM GERENTE</v>
      </c>
      <c r="H2540" t="str">
        <f t="shared" si="196"/>
        <v>ENGREMAT ENG PROJETO MANUTENCAO INSPECAO MONTAGENS</v>
      </c>
      <c r="I2540">
        <f t="shared" si="197"/>
        <v>0</v>
      </c>
      <c r="J2540">
        <f t="shared" si="198"/>
        <v>1</v>
      </c>
    </row>
    <row r="2541" spans="1:10" x14ac:dyDescent="0.25">
      <c r="A2541" t="s">
        <v>521</v>
      </c>
      <c r="B2541" t="s">
        <v>282</v>
      </c>
      <c r="C2541" t="s">
        <v>56</v>
      </c>
      <c r="D2541" s="6">
        <v>45805</v>
      </c>
      <c r="E2541" t="str">
        <f>VLOOKUP(B2541,'PROCV GERENTES BD'!A:B,2,0)</f>
        <v>ALISSON DE SOUZA LIMA</v>
      </c>
      <c r="F2541" s="4" t="str">
        <f t="shared" si="199"/>
        <v>2025-05-2</v>
      </c>
      <c r="G2541" t="str">
        <f t="shared" si="195"/>
        <v>ALISSON DE SOUZA LIMA</v>
      </c>
      <c r="H2541" t="str">
        <f t="shared" si="196"/>
        <v>COMERCIAL JLX DISTRIBUIDORA LTDA ME</v>
      </c>
      <c r="I2541">
        <f t="shared" si="197"/>
        <v>0</v>
      </c>
      <c r="J2541">
        <f t="shared" si="198"/>
        <v>1</v>
      </c>
    </row>
    <row r="2542" spans="1:10" x14ac:dyDescent="0.25">
      <c r="A2542" t="s">
        <v>326</v>
      </c>
      <c r="B2542" t="s">
        <v>86</v>
      </c>
      <c r="C2542" t="s">
        <v>56</v>
      </c>
      <c r="D2542" s="6">
        <v>45805</v>
      </c>
      <c r="E2542" t="str">
        <f>VLOOKUP(B2542,'PROCV GERENTES BD'!A:B,2,0)</f>
        <v>CELIO PIMENTA</v>
      </c>
      <c r="F2542" s="4" t="str">
        <f t="shared" si="199"/>
        <v>2025-05-2</v>
      </c>
      <c r="G2542" t="str">
        <f t="shared" si="195"/>
        <v>CELIO PIMENTA</v>
      </c>
      <c r="H2542" t="str">
        <f t="shared" si="196"/>
        <v>IMPORTEXTIL COMERCIO DE TECIDOS LTDA</v>
      </c>
      <c r="I2542">
        <f t="shared" si="197"/>
        <v>0</v>
      </c>
      <c r="J2542">
        <f t="shared" si="198"/>
        <v>1</v>
      </c>
    </row>
    <row r="2543" spans="1:10" x14ac:dyDescent="0.25">
      <c r="A2543" t="s">
        <v>62</v>
      </c>
      <c r="B2543" t="s">
        <v>63</v>
      </c>
      <c r="C2543" t="s">
        <v>72</v>
      </c>
      <c r="D2543" s="6">
        <v>45805</v>
      </c>
      <c r="E2543" t="str">
        <f>VLOOKUP(B2543,'PROCV GERENTES BD'!A:B,2,0)</f>
        <v xml:space="preserve">ROGERIO </v>
      </c>
      <c r="F2543" s="4" t="str">
        <f t="shared" si="199"/>
        <v>2025-05-2</v>
      </c>
      <c r="G2543" t="str">
        <f t="shared" si="195"/>
        <v xml:space="preserve">ROGERIO </v>
      </c>
      <c r="H2543" t="str">
        <f t="shared" si="196"/>
        <v>RODOVIEIRA TRANSPORTE LTDA</v>
      </c>
      <c r="I2543">
        <f t="shared" si="197"/>
        <v>1</v>
      </c>
      <c r="J2543">
        <f t="shared" si="198"/>
        <v>0</v>
      </c>
    </row>
    <row r="2544" spans="1:10" x14ac:dyDescent="0.25">
      <c r="A2544" t="s">
        <v>339</v>
      </c>
      <c r="B2544" t="s">
        <v>151</v>
      </c>
      <c r="C2544" t="s">
        <v>56</v>
      </c>
      <c r="D2544" s="6">
        <v>45805</v>
      </c>
      <c r="E2544" t="str">
        <f>VLOOKUP(B2544,'PROCV GERENTES BD'!A:B,2,0)</f>
        <v>ADMINISTRAÇÃO</v>
      </c>
      <c r="F2544" s="4" t="str">
        <f t="shared" si="199"/>
        <v>2025-05-2</v>
      </c>
      <c r="G2544" t="str">
        <f t="shared" si="195"/>
        <v>ADMINISTRAÇÃO</v>
      </c>
      <c r="H2544" t="str">
        <f t="shared" si="196"/>
        <v>BOM PASTOR PAPEIS LTDA EM RECUPERACAO JUDICIAL</v>
      </c>
      <c r="I2544">
        <f t="shared" si="197"/>
        <v>0</v>
      </c>
      <c r="J2544">
        <f t="shared" si="198"/>
        <v>1</v>
      </c>
    </row>
    <row r="2545" spans="1:10" x14ac:dyDescent="0.25">
      <c r="A2545" t="s">
        <v>57</v>
      </c>
      <c r="B2545" t="s">
        <v>58</v>
      </c>
      <c r="C2545" t="s">
        <v>56</v>
      </c>
      <c r="D2545" s="6">
        <v>45805</v>
      </c>
      <c r="E2545" t="str">
        <f>VLOOKUP(B2545,'PROCV GERENTES BD'!A:B,2,0)</f>
        <v>RAFAEL PARISE</v>
      </c>
      <c r="F2545" s="4" t="str">
        <f t="shared" si="199"/>
        <v>2025-05-2</v>
      </c>
      <c r="G2545" t="str">
        <f t="shared" si="195"/>
        <v>RAFAEL PARISE</v>
      </c>
      <c r="H2545" t="str">
        <f t="shared" si="196"/>
        <v>TDR TRANSPORTES LOGISTICA LTDA</v>
      </c>
      <c r="I2545">
        <f t="shared" si="197"/>
        <v>0</v>
      </c>
      <c r="J2545">
        <f t="shared" si="198"/>
        <v>1</v>
      </c>
    </row>
    <row r="2546" spans="1:10" x14ac:dyDescent="0.25">
      <c r="A2546" t="s">
        <v>331</v>
      </c>
      <c r="B2546" t="s">
        <v>126</v>
      </c>
      <c r="C2546" t="s">
        <v>56</v>
      </c>
      <c r="D2546" s="6">
        <v>45805</v>
      </c>
      <c r="E2546" t="str">
        <f>VLOOKUP(B2546,'PROCV GERENTES BD'!A:B,2,0)</f>
        <v>FITZ</v>
      </c>
      <c r="F2546" s="4" t="str">
        <f t="shared" si="199"/>
        <v>2025-05-2</v>
      </c>
      <c r="G2546" t="str">
        <f t="shared" si="195"/>
        <v>FITZ</v>
      </c>
      <c r="H2546" t="str">
        <f t="shared" si="196"/>
        <v>TRANSHENRY TRANSPORTES LTDA</v>
      </c>
      <c r="I2546">
        <f t="shared" si="197"/>
        <v>0</v>
      </c>
      <c r="J2546">
        <f t="shared" si="198"/>
        <v>1</v>
      </c>
    </row>
    <row r="2547" spans="1:10" x14ac:dyDescent="0.25">
      <c r="A2547" t="s">
        <v>531</v>
      </c>
      <c r="B2547" t="s">
        <v>295</v>
      </c>
      <c r="C2547" t="s">
        <v>56</v>
      </c>
      <c r="D2547" s="6">
        <v>45805</v>
      </c>
      <c r="E2547" t="str">
        <f>VLOOKUP(B2547,'PROCV GERENTES BD'!A:B,2,0)</f>
        <v>ADMINISTRAÇÃO</v>
      </c>
      <c r="F2547" s="4" t="str">
        <f t="shared" si="199"/>
        <v>2025-05-2</v>
      </c>
      <c r="G2547" t="str">
        <f t="shared" si="195"/>
        <v>ADMINISTRAÇÃO</v>
      </c>
      <c r="H2547" t="str">
        <f t="shared" si="196"/>
        <v>REFRACONT BRASIL LTDA</v>
      </c>
      <c r="I2547">
        <f t="shared" si="197"/>
        <v>0</v>
      </c>
      <c r="J2547">
        <f t="shared" si="198"/>
        <v>1</v>
      </c>
    </row>
    <row r="2548" spans="1:10" x14ac:dyDescent="0.25">
      <c r="A2548" t="s">
        <v>318</v>
      </c>
      <c r="B2548" t="s">
        <v>87</v>
      </c>
      <c r="C2548" t="s">
        <v>56</v>
      </c>
      <c r="D2548" s="6">
        <v>45805</v>
      </c>
      <c r="E2548" t="str">
        <f>VLOOKUP(B2548,'PROCV GERENTES BD'!A:B,2,0)</f>
        <v>CELIO PIMENTA</v>
      </c>
      <c r="F2548" s="4" t="str">
        <f t="shared" si="199"/>
        <v>2025-05-2</v>
      </c>
      <c r="G2548" t="str">
        <f t="shared" si="195"/>
        <v>CELIO PIMENTA</v>
      </c>
      <c r="H2548" t="str">
        <f t="shared" si="196"/>
        <v>MBIOLOG DIAGNOSTICOS LTDA</v>
      </c>
      <c r="I2548">
        <f t="shared" si="197"/>
        <v>0</v>
      </c>
      <c r="J2548">
        <f t="shared" si="198"/>
        <v>1</v>
      </c>
    </row>
    <row r="2549" spans="1:10" x14ac:dyDescent="0.25">
      <c r="A2549" t="s">
        <v>537</v>
      </c>
      <c r="B2549" t="s">
        <v>304</v>
      </c>
      <c r="C2549" t="s">
        <v>72</v>
      </c>
      <c r="D2549" s="6">
        <v>45805</v>
      </c>
      <c r="E2549" t="str">
        <f>VLOOKUP(B2549,'PROCV GERENTES BD'!A:B,2,0)</f>
        <v>ANDRE CUNHA</v>
      </c>
      <c r="F2549" s="4" t="str">
        <f t="shared" si="199"/>
        <v>2025-05-2</v>
      </c>
      <c r="G2549" t="str">
        <f t="shared" si="195"/>
        <v>ANDRE CUNHA</v>
      </c>
      <c r="H2549" t="str">
        <f t="shared" si="196"/>
        <v>REVPACK TECNOLOGIA E COMERCIO DE COMPONENTES PLAST</v>
      </c>
      <c r="I2549">
        <f t="shared" si="197"/>
        <v>1</v>
      </c>
      <c r="J2549">
        <f t="shared" si="198"/>
        <v>0</v>
      </c>
    </row>
    <row r="2550" spans="1:10" x14ac:dyDescent="0.25">
      <c r="A2550" t="s">
        <v>387</v>
      </c>
      <c r="B2550" t="s">
        <v>133</v>
      </c>
      <c r="C2550" t="s">
        <v>56</v>
      </c>
      <c r="D2550" s="6">
        <v>45805</v>
      </c>
      <c r="E2550" t="str">
        <f>VLOOKUP(B2550,'PROCV GERENTES BD'!A:B,2,0)</f>
        <v>ADMINISTRAÇÃO</v>
      </c>
      <c r="F2550" s="4" t="str">
        <f t="shared" si="199"/>
        <v>2025-05-2</v>
      </c>
      <c r="G2550" t="str">
        <f t="shared" si="195"/>
        <v>ADMINISTRAÇÃO</v>
      </c>
      <c r="H2550" t="str">
        <f t="shared" si="196"/>
        <v>ENXOVAIS MINAS LTDA ME</v>
      </c>
      <c r="I2550">
        <f t="shared" si="197"/>
        <v>0</v>
      </c>
      <c r="J2550">
        <f t="shared" si="198"/>
        <v>1</v>
      </c>
    </row>
    <row r="2551" spans="1:10" x14ac:dyDescent="0.25">
      <c r="A2551" t="s">
        <v>455</v>
      </c>
      <c r="B2551" t="s">
        <v>207</v>
      </c>
      <c r="C2551" t="s">
        <v>56</v>
      </c>
      <c r="D2551" s="6">
        <v>45805</v>
      </c>
      <c r="E2551" t="str">
        <f>VLOOKUP(B2551,'PROCV GERENTES BD'!A:B,2,0)</f>
        <v xml:space="preserve">ROGERIO </v>
      </c>
      <c r="F2551" s="4" t="str">
        <f t="shared" si="199"/>
        <v>2025-05-2</v>
      </c>
      <c r="G2551" t="str">
        <f t="shared" si="195"/>
        <v xml:space="preserve">ROGERIO </v>
      </c>
      <c r="H2551" t="str">
        <f t="shared" si="196"/>
        <v>ORTHOSIDE INDUSTRIA E COMERCIO LTDA EPP</v>
      </c>
      <c r="I2551">
        <f t="shared" si="197"/>
        <v>0</v>
      </c>
      <c r="J2551">
        <f t="shared" si="198"/>
        <v>1</v>
      </c>
    </row>
    <row r="2552" spans="1:10" x14ac:dyDescent="0.25">
      <c r="A2552" t="s">
        <v>510</v>
      </c>
      <c r="B2552" t="s">
        <v>269</v>
      </c>
      <c r="C2552" t="s">
        <v>72</v>
      </c>
      <c r="D2552" s="6">
        <v>45806</v>
      </c>
      <c r="E2552" t="str">
        <f>VLOOKUP(B2552,'PROCV GERENTES BD'!A:B,2,0)</f>
        <v>ANTECIPA</v>
      </c>
      <c r="F2552" s="4" t="str">
        <f t="shared" si="199"/>
        <v>2025-05-2</v>
      </c>
      <c r="G2552" t="str">
        <f t="shared" si="195"/>
        <v>ANTECIPA</v>
      </c>
      <c r="H2552" t="str">
        <f t="shared" si="196"/>
        <v>CONSTRUENGE ENGENHARIA E GERENCIAMENTO LTDA</v>
      </c>
      <c r="I2552">
        <f t="shared" si="197"/>
        <v>1</v>
      </c>
      <c r="J2552">
        <f t="shared" si="198"/>
        <v>0</v>
      </c>
    </row>
    <row r="2553" spans="1:10" x14ac:dyDescent="0.25">
      <c r="A2553" t="s">
        <v>321</v>
      </c>
      <c r="B2553" t="s">
        <v>253</v>
      </c>
      <c r="C2553" t="s">
        <v>72</v>
      </c>
      <c r="D2553" s="6">
        <v>45806</v>
      </c>
      <c r="E2553" t="str">
        <f>VLOOKUP(B2553,'PROCV GERENTES BD'!A:B,2,0)</f>
        <v>THAYNA/COMERCIAL</v>
      </c>
      <c r="F2553" s="4" t="str">
        <f t="shared" si="199"/>
        <v>2025-05-2</v>
      </c>
      <c r="G2553" t="str">
        <f t="shared" si="195"/>
        <v>THAYNA/COMERCIAL</v>
      </c>
      <c r="H2553" t="str">
        <f t="shared" si="196"/>
        <v>MUTCD CENTRO DE DISTRIBUICAO DE IND FABRICANTE DE</v>
      </c>
      <c r="I2553">
        <f t="shared" si="197"/>
        <v>1</v>
      </c>
      <c r="J2553">
        <f t="shared" si="198"/>
        <v>0</v>
      </c>
    </row>
    <row r="2554" spans="1:10" x14ac:dyDescent="0.25">
      <c r="A2554" t="s">
        <v>322</v>
      </c>
      <c r="B2554" t="s">
        <v>277</v>
      </c>
      <c r="C2554" t="s">
        <v>72</v>
      </c>
      <c r="D2554" s="6">
        <v>45806</v>
      </c>
      <c r="E2554" t="str">
        <f>VLOOKUP(B2554,'PROCV GERENTES BD'!A:B,2,0)</f>
        <v>SEM GERENTE</v>
      </c>
      <c r="F2554" s="4" t="str">
        <f t="shared" si="199"/>
        <v>2025-05-2</v>
      </c>
      <c r="G2554" t="str">
        <f t="shared" si="195"/>
        <v>SEM GERENTE</v>
      </c>
      <c r="H2554" t="str">
        <f t="shared" si="196"/>
        <v>FAC INDUSTRIA E SERVICOS LTDA ME</v>
      </c>
      <c r="I2554">
        <f t="shared" si="197"/>
        <v>1</v>
      </c>
      <c r="J2554">
        <f t="shared" si="198"/>
        <v>0</v>
      </c>
    </row>
    <row r="2555" spans="1:10" x14ac:dyDescent="0.25">
      <c r="A2555" t="s">
        <v>526</v>
      </c>
      <c r="B2555" t="s">
        <v>289</v>
      </c>
      <c r="C2555" t="s">
        <v>56</v>
      </c>
      <c r="D2555" s="6">
        <v>45806</v>
      </c>
      <c r="E2555" t="str">
        <f>VLOOKUP(B2555,'PROCV GERENTES BD'!A:B,2,0)</f>
        <v>ANTECIPA</v>
      </c>
      <c r="F2555" s="4" t="str">
        <f t="shared" si="199"/>
        <v>2025-05-2</v>
      </c>
      <c r="G2555" t="str">
        <f t="shared" si="195"/>
        <v>ANTECIPA</v>
      </c>
      <c r="H2555" t="str">
        <f t="shared" si="196"/>
        <v>CENTRAL DE SUPRIMENTOS INDUSTRIAIS LTDA EPP</v>
      </c>
      <c r="I2555">
        <f t="shared" si="197"/>
        <v>0</v>
      </c>
      <c r="J2555">
        <f t="shared" si="198"/>
        <v>1</v>
      </c>
    </row>
    <row r="2556" spans="1:10" x14ac:dyDescent="0.25">
      <c r="A2556" t="s">
        <v>73</v>
      </c>
      <c r="B2556" t="s">
        <v>74</v>
      </c>
      <c r="C2556" t="s">
        <v>56</v>
      </c>
      <c r="D2556" s="6">
        <v>45806</v>
      </c>
      <c r="E2556" t="str">
        <f>VLOOKUP(B2556,'PROCV GERENTES BD'!A:B,2,0)</f>
        <v xml:space="preserve">ROGERIO </v>
      </c>
      <c r="F2556" s="4" t="str">
        <f t="shared" si="199"/>
        <v>2025-05-2</v>
      </c>
      <c r="G2556" t="str">
        <f t="shared" si="195"/>
        <v xml:space="preserve">ROGERIO </v>
      </c>
      <c r="H2556" t="str">
        <f t="shared" si="196"/>
        <v>DIOTTONI INDUSTRIA E COMERCIO DE ALIMENTOS LTDA ME</v>
      </c>
      <c r="I2556">
        <f t="shared" si="197"/>
        <v>0</v>
      </c>
      <c r="J2556">
        <f t="shared" si="198"/>
        <v>1</v>
      </c>
    </row>
    <row r="2557" spans="1:10" x14ac:dyDescent="0.25">
      <c r="A2557" t="s">
        <v>70</v>
      </c>
      <c r="B2557" t="s">
        <v>71</v>
      </c>
      <c r="C2557" t="s">
        <v>56</v>
      </c>
      <c r="D2557" s="6">
        <v>45806</v>
      </c>
      <c r="E2557" t="str">
        <f>VLOOKUP(B2557,'PROCV GERENTES BD'!A:B,2,0)</f>
        <v>SEM GERENTE</v>
      </c>
      <c r="F2557" s="4" t="str">
        <f t="shared" si="199"/>
        <v>2025-05-2</v>
      </c>
      <c r="G2557" t="str">
        <f t="shared" si="195"/>
        <v>SEM GERENTE</v>
      </c>
      <c r="H2557" t="str">
        <f t="shared" si="196"/>
        <v>SOCIAL S/A</v>
      </c>
      <c r="I2557">
        <f t="shared" si="197"/>
        <v>0</v>
      </c>
      <c r="J2557">
        <f t="shared" si="198"/>
        <v>1</v>
      </c>
    </row>
    <row r="2558" spans="1:10" x14ac:dyDescent="0.25">
      <c r="A2558" t="s">
        <v>68</v>
      </c>
      <c r="B2558" t="s">
        <v>69</v>
      </c>
      <c r="C2558" t="s">
        <v>72</v>
      </c>
      <c r="D2558" s="6">
        <v>45806</v>
      </c>
      <c r="E2558" t="str">
        <f>VLOOKUP(B2558,'PROCV GERENTES BD'!A:B,2,0)</f>
        <v>FITZ</v>
      </c>
      <c r="F2558" s="4" t="str">
        <f t="shared" si="199"/>
        <v>2025-05-2</v>
      </c>
      <c r="G2558" t="str">
        <f t="shared" si="195"/>
        <v>FITZ</v>
      </c>
      <c r="H2558" t="str">
        <f t="shared" si="196"/>
        <v>MAPP COM IMPORTACAO EXPORTACAO IND PRODUTOS ALIMEN</v>
      </c>
      <c r="I2558">
        <f t="shared" si="197"/>
        <v>1</v>
      </c>
      <c r="J2558">
        <f t="shared" si="198"/>
        <v>0</v>
      </c>
    </row>
    <row r="2559" spans="1:10" x14ac:dyDescent="0.25">
      <c r="A2559" t="s">
        <v>380</v>
      </c>
      <c r="B2559" t="s">
        <v>123</v>
      </c>
      <c r="C2559" t="s">
        <v>56</v>
      </c>
      <c r="D2559" s="6">
        <v>45806</v>
      </c>
      <c r="E2559" t="str">
        <f>VLOOKUP(B2559,'PROCV GERENTES BD'!A:B,2,0)</f>
        <v>ANTONIO CARLOS</v>
      </c>
      <c r="F2559" s="4" t="str">
        <f t="shared" si="199"/>
        <v>2025-05-2</v>
      </c>
      <c r="G2559" t="str">
        <f t="shared" si="195"/>
        <v>ANTONIO CARLOS</v>
      </c>
      <c r="H2559" t="str">
        <f t="shared" si="196"/>
        <v>PREMOLDADOS MATOSINHOS LTDA EPP</v>
      </c>
      <c r="I2559">
        <f t="shared" si="197"/>
        <v>0</v>
      </c>
      <c r="J2559">
        <f t="shared" si="198"/>
        <v>1</v>
      </c>
    </row>
    <row r="2560" spans="1:10" x14ac:dyDescent="0.25">
      <c r="A2560" t="s">
        <v>529</v>
      </c>
      <c r="B2560" t="s">
        <v>293</v>
      </c>
      <c r="C2560" t="s">
        <v>72</v>
      </c>
      <c r="D2560" s="6">
        <v>45806</v>
      </c>
      <c r="E2560" t="str">
        <f>VLOOKUP(B2560,'PROCV GERENTES BD'!A:B,2,0)</f>
        <v>CELIO PIMENTA</v>
      </c>
      <c r="F2560" s="4" t="str">
        <f t="shared" si="199"/>
        <v>2025-05-2</v>
      </c>
      <c r="G2560" t="str">
        <f t="shared" si="195"/>
        <v>CELIO PIMENTA</v>
      </c>
      <c r="H2560" t="str">
        <f t="shared" si="196"/>
        <v>LINGERIE E CIA LTDA ME</v>
      </c>
      <c r="I2560">
        <f t="shared" si="197"/>
        <v>1</v>
      </c>
      <c r="J2560">
        <f t="shared" si="198"/>
        <v>0</v>
      </c>
    </row>
    <row r="2561" spans="1:10" x14ac:dyDescent="0.25">
      <c r="A2561" t="s">
        <v>326</v>
      </c>
      <c r="B2561" t="s">
        <v>86</v>
      </c>
      <c r="C2561" t="s">
        <v>56</v>
      </c>
      <c r="D2561" s="6">
        <v>45806</v>
      </c>
      <c r="E2561" t="str">
        <f>VLOOKUP(B2561,'PROCV GERENTES BD'!A:B,2,0)</f>
        <v>CELIO PIMENTA</v>
      </c>
      <c r="F2561" s="4" t="str">
        <f t="shared" si="199"/>
        <v>2025-05-2</v>
      </c>
      <c r="G2561" t="str">
        <f t="shared" si="195"/>
        <v>CELIO PIMENTA</v>
      </c>
      <c r="H2561" t="str">
        <f t="shared" si="196"/>
        <v>IMPORTEXTIL COMERCIO DE TECIDOS LTDA</v>
      </c>
      <c r="I2561">
        <f t="shared" si="197"/>
        <v>0</v>
      </c>
      <c r="J2561">
        <f t="shared" si="198"/>
        <v>1</v>
      </c>
    </row>
    <row r="2562" spans="1:10" x14ac:dyDescent="0.25">
      <c r="A2562" t="s">
        <v>366</v>
      </c>
      <c r="B2562" t="s">
        <v>111</v>
      </c>
      <c r="C2562" t="s">
        <v>56</v>
      </c>
      <c r="D2562" s="6">
        <v>45806</v>
      </c>
      <c r="E2562" t="str">
        <f>VLOOKUP(B2562,'PROCV GERENTES BD'!A:B,2,0)</f>
        <v>DIOGO AZEVEDO</v>
      </c>
      <c r="F2562" s="4" t="str">
        <f t="shared" si="199"/>
        <v>2025-05-2</v>
      </c>
      <c r="G2562" t="str">
        <f t="shared" ref="G2562:G2600" si="200">E2562</f>
        <v>DIOGO AZEVEDO</v>
      </c>
      <c r="H2562" t="str">
        <f t="shared" ref="H2562:H2600" si="201">B2562</f>
        <v>INDUSTRIA E CERVEJARIA ARTESANAL DE MINAS GERAIS L</v>
      </c>
      <c r="I2562">
        <f t="shared" ref="I2562:I2625" si="202">IF(C2562="EXCLUSAO  ANOT.INADIMPLENCIA",1,0)</f>
        <v>0</v>
      </c>
      <c r="J2562">
        <f t="shared" ref="J2562:J2625" si="203">IF(C2562="INCLUSAO  ANOT.INADIMPLENCIA",1,0)</f>
        <v>1</v>
      </c>
    </row>
    <row r="2563" spans="1:10" x14ac:dyDescent="0.25">
      <c r="A2563" t="s">
        <v>60</v>
      </c>
      <c r="B2563" t="s">
        <v>61</v>
      </c>
      <c r="C2563" t="s">
        <v>56</v>
      </c>
      <c r="D2563" s="6">
        <v>45806</v>
      </c>
      <c r="E2563" t="str">
        <f>VLOOKUP(B2563,'PROCV GERENTES BD'!A:B,2,0)</f>
        <v>CELIO PIMENTA</v>
      </c>
      <c r="F2563" s="4" t="str">
        <f t="shared" ref="F2563:F2600" si="204">YEAR(D2563)&amp;"-"&amp;TEXT(MONTH(D2563),"00")&amp;"-"&amp;IF(DAY(D2563)&lt;=15,"1",IF(DAY(D2563)&gt;15,"2",""))</f>
        <v>2025-05-2</v>
      </c>
      <c r="G2563" t="str">
        <f t="shared" si="200"/>
        <v>CELIO PIMENTA</v>
      </c>
      <c r="H2563" t="str">
        <f t="shared" si="201"/>
        <v>WJ CALDEIRARIA INDUSTRIA E COMERCIO LTDA ME</v>
      </c>
      <c r="I2563">
        <f t="shared" si="202"/>
        <v>0</v>
      </c>
      <c r="J2563">
        <f t="shared" si="203"/>
        <v>1</v>
      </c>
    </row>
    <row r="2564" spans="1:10" x14ac:dyDescent="0.25">
      <c r="A2564" t="s">
        <v>395</v>
      </c>
      <c r="B2564" t="s">
        <v>141</v>
      </c>
      <c r="C2564" t="s">
        <v>56</v>
      </c>
      <c r="D2564" s="6">
        <v>45806</v>
      </c>
      <c r="E2564" t="str">
        <f>VLOOKUP(B2564,'PROCV GERENTES BD'!A:B,2,0)</f>
        <v>RAFAEL PARISE</v>
      </c>
      <c r="F2564" s="4" t="str">
        <f t="shared" si="204"/>
        <v>2025-05-2</v>
      </c>
      <c r="G2564" t="str">
        <f t="shared" si="200"/>
        <v>RAFAEL PARISE</v>
      </c>
      <c r="H2564" t="str">
        <f t="shared" si="201"/>
        <v>MAIS DISTRIBUIDORA LTDA</v>
      </c>
      <c r="I2564">
        <f t="shared" si="202"/>
        <v>0</v>
      </c>
      <c r="J2564">
        <f t="shared" si="203"/>
        <v>1</v>
      </c>
    </row>
    <row r="2565" spans="1:10" x14ac:dyDescent="0.25">
      <c r="A2565" t="s">
        <v>57</v>
      </c>
      <c r="B2565" t="s">
        <v>58</v>
      </c>
      <c r="C2565" t="s">
        <v>56</v>
      </c>
      <c r="D2565" s="6">
        <v>45806</v>
      </c>
      <c r="E2565" t="str">
        <f>VLOOKUP(B2565,'PROCV GERENTES BD'!A:B,2,0)</f>
        <v>RAFAEL PARISE</v>
      </c>
      <c r="F2565" s="4" t="str">
        <f t="shared" si="204"/>
        <v>2025-05-2</v>
      </c>
      <c r="G2565" t="str">
        <f t="shared" si="200"/>
        <v>RAFAEL PARISE</v>
      </c>
      <c r="H2565" t="str">
        <f t="shared" si="201"/>
        <v>TDR TRANSPORTES LOGISTICA LTDA</v>
      </c>
      <c r="I2565">
        <f t="shared" si="202"/>
        <v>0</v>
      </c>
      <c r="J2565">
        <f t="shared" si="203"/>
        <v>1</v>
      </c>
    </row>
    <row r="2566" spans="1:10" x14ac:dyDescent="0.25">
      <c r="A2566" t="s">
        <v>331</v>
      </c>
      <c r="B2566" t="s">
        <v>126</v>
      </c>
      <c r="C2566" t="s">
        <v>72</v>
      </c>
      <c r="D2566" s="6">
        <v>45806</v>
      </c>
      <c r="E2566" t="str">
        <f>VLOOKUP(B2566,'PROCV GERENTES BD'!A:B,2,0)</f>
        <v>FITZ</v>
      </c>
      <c r="F2566" s="4" t="str">
        <f t="shared" si="204"/>
        <v>2025-05-2</v>
      </c>
      <c r="G2566" t="str">
        <f t="shared" si="200"/>
        <v>FITZ</v>
      </c>
      <c r="H2566" t="str">
        <f t="shared" si="201"/>
        <v>TRANSHENRY TRANSPORTES LTDA</v>
      </c>
      <c r="I2566">
        <f t="shared" si="202"/>
        <v>1</v>
      </c>
      <c r="J2566">
        <f t="shared" si="203"/>
        <v>0</v>
      </c>
    </row>
    <row r="2567" spans="1:10" x14ac:dyDescent="0.25">
      <c r="A2567" t="s">
        <v>381</v>
      </c>
      <c r="B2567" t="s">
        <v>124</v>
      </c>
      <c r="C2567" t="s">
        <v>72</v>
      </c>
      <c r="D2567" s="6">
        <v>45806</v>
      </c>
      <c r="E2567" t="str">
        <f>VLOOKUP(B2567,'PROCV GERENTES BD'!A:B,2,0)</f>
        <v>ANTONIO CARLOS</v>
      </c>
      <c r="F2567" s="4" t="str">
        <f t="shared" si="204"/>
        <v>2025-05-2</v>
      </c>
      <c r="G2567" t="str">
        <f t="shared" si="200"/>
        <v>ANTONIO CARLOS</v>
      </c>
      <c r="H2567" t="str">
        <f t="shared" si="201"/>
        <v>VIVAN TRANSPORTES LTDA</v>
      </c>
      <c r="I2567">
        <f t="shared" si="202"/>
        <v>1</v>
      </c>
      <c r="J2567">
        <f t="shared" si="203"/>
        <v>0</v>
      </c>
    </row>
    <row r="2568" spans="1:10" x14ac:dyDescent="0.25">
      <c r="A2568" t="s">
        <v>537</v>
      </c>
      <c r="B2568" t="s">
        <v>304</v>
      </c>
      <c r="C2568" t="s">
        <v>72</v>
      </c>
      <c r="D2568" s="6">
        <v>45806</v>
      </c>
      <c r="E2568" t="str">
        <f>VLOOKUP(B2568,'PROCV GERENTES BD'!A:B,2,0)</f>
        <v>ANDRE CUNHA</v>
      </c>
      <c r="F2568" s="4" t="str">
        <f t="shared" si="204"/>
        <v>2025-05-2</v>
      </c>
      <c r="G2568" t="str">
        <f t="shared" si="200"/>
        <v>ANDRE CUNHA</v>
      </c>
      <c r="H2568" t="str">
        <f t="shared" si="201"/>
        <v>REVPACK TECNOLOGIA E COMERCIO DE COMPONENTES PLAST</v>
      </c>
      <c r="I2568">
        <f t="shared" si="202"/>
        <v>1</v>
      </c>
      <c r="J2568">
        <f t="shared" si="203"/>
        <v>0</v>
      </c>
    </row>
    <row r="2569" spans="1:10" x14ac:dyDescent="0.25">
      <c r="A2569" t="s">
        <v>62</v>
      </c>
      <c r="B2569" t="s">
        <v>63</v>
      </c>
      <c r="C2569" t="s">
        <v>56</v>
      </c>
      <c r="D2569" s="6">
        <v>45806</v>
      </c>
      <c r="E2569" t="str">
        <f>VLOOKUP(B2569,'PROCV GERENTES BD'!A:B,2,0)</f>
        <v xml:space="preserve">ROGERIO </v>
      </c>
      <c r="F2569" s="4" t="str">
        <f t="shared" si="204"/>
        <v>2025-05-2</v>
      </c>
      <c r="G2569" t="str">
        <f t="shared" si="200"/>
        <v xml:space="preserve">ROGERIO </v>
      </c>
      <c r="H2569" t="str">
        <f t="shared" si="201"/>
        <v>RODOVIEIRA TRANSPORTE LTDA</v>
      </c>
      <c r="I2569">
        <f t="shared" si="202"/>
        <v>0</v>
      </c>
      <c r="J2569">
        <f t="shared" si="203"/>
        <v>1</v>
      </c>
    </row>
    <row r="2570" spans="1:10" x14ac:dyDescent="0.25">
      <c r="A2570" t="s">
        <v>518</v>
      </c>
      <c r="B2570" t="s">
        <v>280</v>
      </c>
      <c r="C2570" t="s">
        <v>72</v>
      </c>
      <c r="D2570" s="6">
        <v>45806</v>
      </c>
      <c r="E2570" t="str">
        <f>VLOOKUP(B2570,'PROCV GERENTES BD'!A:B,2,0)</f>
        <v>CELIO PIMENTA</v>
      </c>
      <c r="F2570" s="4" t="str">
        <f t="shared" si="204"/>
        <v>2025-05-2</v>
      </c>
      <c r="G2570" t="str">
        <f t="shared" si="200"/>
        <v>CELIO PIMENTA</v>
      </c>
      <c r="H2570" t="str">
        <f t="shared" si="201"/>
        <v>PRADO MOREIRA TEXTIL LTDA ME</v>
      </c>
      <c r="I2570">
        <f t="shared" si="202"/>
        <v>1</v>
      </c>
      <c r="J2570">
        <f t="shared" si="203"/>
        <v>0</v>
      </c>
    </row>
    <row r="2571" spans="1:10" x14ac:dyDescent="0.25">
      <c r="A2571" t="s">
        <v>423</v>
      </c>
      <c r="B2571" t="s">
        <v>172</v>
      </c>
      <c r="C2571" t="s">
        <v>56</v>
      </c>
      <c r="D2571" s="6">
        <v>45807</v>
      </c>
      <c r="E2571" t="str">
        <f>VLOOKUP(B2571,'PROCV GERENTES BD'!A:B,2,0)</f>
        <v>FITZ</v>
      </c>
      <c r="F2571" s="4" t="str">
        <f t="shared" si="204"/>
        <v>2025-05-2</v>
      </c>
      <c r="G2571" t="str">
        <f t="shared" si="200"/>
        <v>FITZ</v>
      </c>
      <c r="H2571" t="str">
        <f t="shared" si="201"/>
        <v>STA SERVICOS LTDA</v>
      </c>
      <c r="I2571">
        <f t="shared" si="202"/>
        <v>0</v>
      </c>
      <c r="J2571">
        <f t="shared" si="203"/>
        <v>1</v>
      </c>
    </row>
    <row r="2572" spans="1:10" x14ac:dyDescent="0.25">
      <c r="A2572" t="s">
        <v>532</v>
      </c>
      <c r="B2572" t="s">
        <v>296</v>
      </c>
      <c r="C2572" t="s">
        <v>72</v>
      </c>
      <c r="D2572" s="6">
        <v>45807</v>
      </c>
      <c r="E2572" t="str">
        <f>VLOOKUP(B2572,'PROCV GERENTES BD'!A:B,2,0)</f>
        <v>DALVA</v>
      </c>
      <c r="F2572" s="4" t="str">
        <f t="shared" si="204"/>
        <v>2025-05-2</v>
      </c>
      <c r="G2572" t="str">
        <f t="shared" si="200"/>
        <v>DALVA</v>
      </c>
      <c r="H2572" t="str">
        <f t="shared" si="201"/>
        <v>FRAITECH INTELIGENCIA EM AUTOMACAO LTDA</v>
      </c>
      <c r="I2572">
        <f t="shared" si="202"/>
        <v>1</v>
      </c>
      <c r="J2572">
        <f t="shared" si="203"/>
        <v>0</v>
      </c>
    </row>
    <row r="2573" spans="1:10" x14ac:dyDescent="0.25">
      <c r="A2573" t="s">
        <v>57</v>
      </c>
      <c r="B2573" t="s">
        <v>58</v>
      </c>
      <c r="C2573" t="s">
        <v>72</v>
      </c>
      <c r="D2573" s="6">
        <v>45807</v>
      </c>
      <c r="E2573" t="str">
        <f>VLOOKUP(B2573,'PROCV GERENTES BD'!A:B,2,0)</f>
        <v>RAFAEL PARISE</v>
      </c>
      <c r="F2573" s="4" t="str">
        <f t="shared" si="204"/>
        <v>2025-05-2</v>
      </c>
      <c r="G2573" t="str">
        <f t="shared" si="200"/>
        <v>RAFAEL PARISE</v>
      </c>
      <c r="H2573" t="str">
        <f t="shared" si="201"/>
        <v>TDR TRANSPORTES LOGISTICA LTDA</v>
      </c>
      <c r="I2573">
        <f t="shared" si="202"/>
        <v>1</v>
      </c>
      <c r="J2573">
        <f t="shared" si="203"/>
        <v>0</v>
      </c>
    </row>
    <row r="2574" spans="1:10" x14ac:dyDescent="0.25">
      <c r="A2574" t="s">
        <v>536</v>
      </c>
      <c r="B2574" t="s">
        <v>303</v>
      </c>
      <c r="C2574" t="s">
        <v>72</v>
      </c>
      <c r="D2574" s="6">
        <v>45807</v>
      </c>
      <c r="E2574" t="str">
        <f>VLOOKUP(B2574,'PROCV GERENTES BD'!A:B,2,0)</f>
        <v>CAIO</v>
      </c>
      <c r="F2574" s="4" t="str">
        <f t="shared" si="204"/>
        <v>2025-05-2</v>
      </c>
      <c r="G2574" t="str">
        <f t="shared" si="200"/>
        <v>CAIO</v>
      </c>
      <c r="H2574" t="str">
        <f t="shared" si="201"/>
        <v>TERRA PECAS GENUINAS LTDA EPP</v>
      </c>
      <c r="I2574">
        <f t="shared" si="202"/>
        <v>1</v>
      </c>
      <c r="J2574">
        <f t="shared" si="203"/>
        <v>0</v>
      </c>
    </row>
    <row r="2575" spans="1:10" x14ac:dyDescent="0.25">
      <c r="A2575" t="s">
        <v>395</v>
      </c>
      <c r="B2575" t="s">
        <v>141</v>
      </c>
      <c r="C2575" t="s">
        <v>59</v>
      </c>
      <c r="D2575" s="6">
        <v>45807</v>
      </c>
      <c r="E2575" t="str">
        <f>VLOOKUP(B2575,'PROCV GERENTES BD'!A:B,2,0)</f>
        <v>RAFAEL PARISE</v>
      </c>
      <c r="F2575" s="4" t="str">
        <f t="shared" si="204"/>
        <v>2025-05-2</v>
      </c>
      <c r="G2575" t="str">
        <f t="shared" si="200"/>
        <v>RAFAEL PARISE</v>
      </c>
      <c r="H2575" t="str">
        <f t="shared" si="201"/>
        <v>MAIS DISTRIBUIDORA LTDA</v>
      </c>
      <c r="I2575">
        <f t="shared" si="202"/>
        <v>0</v>
      </c>
      <c r="J2575">
        <f t="shared" si="203"/>
        <v>0</v>
      </c>
    </row>
    <row r="2576" spans="1:10" x14ac:dyDescent="0.25">
      <c r="A2576" t="s">
        <v>326</v>
      </c>
      <c r="B2576" t="s">
        <v>86</v>
      </c>
      <c r="C2576" t="s">
        <v>56</v>
      </c>
      <c r="D2576" s="6">
        <v>45807</v>
      </c>
      <c r="E2576" t="str">
        <f>VLOOKUP(B2576,'PROCV GERENTES BD'!A:B,2,0)</f>
        <v>CELIO PIMENTA</v>
      </c>
      <c r="F2576" s="4" t="str">
        <f t="shared" si="204"/>
        <v>2025-05-2</v>
      </c>
      <c r="G2576" t="str">
        <f t="shared" si="200"/>
        <v>CELIO PIMENTA</v>
      </c>
      <c r="H2576" t="str">
        <f t="shared" si="201"/>
        <v>IMPORTEXTIL COMERCIO DE TECIDOS LTDA</v>
      </c>
      <c r="I2576">
        <f t="shared" si="202"/>
        <v>0</v>
      </c>
      <c r="J2576">
        <f t="shared" si="203"/>
        <v>1</v>
      </c>
    </row>
    <row r="2577" spans="1:10" x14ac:dyDescent="0.25">
      <c r="A2577" t="s">
        <v>380</v>
      </c>
      <c r="B2577" t="s">
        <v>123</v>
      </c>
      <c r="C2577" t="s">
        <v>72</v>
      </c>
      <c r="D2577" s="6">
        <v>45807</v>
      </c>
      <c r="E2577" t="str">
        <f>VLOOKUP(B2577,'PROCV GERENTES BD'!A:B,2,0)</f>
        <v>ANTONIO CARLOS</v>
      </c>
      <c r="F2577" s="4" t="str">
        <f t="shared" si="204"/>
        <v>2025-05-2</v>
      </c>
      <c r="G2577" t="str">
        <f t="shared" si="200"/>
        <v>ANTONIO CARLOS</v>
      </c>
      <c r="H2577" t="str">
        <f t="shared" si="201"/>
        <v>PREMOLDADOS MATOSINHOS LTDA EPP</v>
      </c>
      <c r="I2577">
        <f t="shared" si="202"/>
        <v>1</v>
      </c>
      <c r="J2577">
        <f t="shared" si="203"/>
        <v>0</v>
      </c>
    </row>
    <row r="2578" spans="1:10" x14ac:dyDescent="0.25">
      <c r="A2578" t="s">
        <v>70</v>
      </c>
      <c r="B2578" t="s">
        <v>71</v>
      </c>
      <c r="C2578" t="s">
        <v>56</v>
      </c>
      <c r="D2578" s="6">
        <v>45807</v>
      </c>
      <c r="E2578" t="str">
        <f>VLOOKUP(B2578,'PROCV GERENTES BD'!A:B,2,0)</f>
        <v>SEM GERENTE</v>
      </c>
      <c r="F2578" s="4" t="str">
        <f t="shared" si="204"/>
        <v>2025-05-2</v>
      </c>
      <c r="G2578" t="str">
        <f t="shared" si="200"/>
        <v>SEM GERENTE</v>
      </c>
      <c r="H2578" t="str">
        <f t="shared" si="201"/>
        <v>SOCIAL S/A</v>
      </c>
      <c r="I2578">
        <f t="shared" si="202"/>
        <v>0</v>
      </c>
      <c r="J2578">
        <f t="shared" si="203"/>
        <v>1</v>
      </c>
    </row>
    <row r="2579" spans="1:10" x14ac:dyDescent="0.25">
      <c r="A2579" t="s">
        <v>526</v>
      </c>
      <c r="B2579" t="s">
        <v>289</v>
      </c>
      <c r="C2579" t="s">
        <v>72</v>
      </c>
      <c r="D2579" s="6">
        <v>45807</v>
      </c>
      <c r="E2579" t="str">
        <f>VLOOKUP(B2579,'PROCV GERENTES BD'!A:B,2,0)</f>
        <v>ANTECIPA</v>
      </c>
      <c r="F2579" s="4" t="str">
        <f t="shared" si="204"/>
        <v>2025-05-2</v>
      </c>
      <c r="G2579" t="str">
        <f t="shared" si="200"/>
        <v>ANTECIPA</v>
      </c>
      <c r="H2579" t="str">
        <f t="shared" si="201"/>
        <v>CENTRAL DE SUPRIMENTOS INDUSTRIAIS LTDA EPP</v>
      </c>
      <c r="I2579">
        <f t="shared" si="202"/>
        <v>1</v>
      </c>
      <c r="J2579">
        <f t="shared" si="203"/>
        <v>0</v>
      </c>
    </row>
    <row r="2580" spans="1:10" x14ac:dyDescent="0.25">
      <c r="A2580" t="s">
        <v>378</v>
      </c>
      <c r="B2580" t="s">
        <v>121</v>
      </c>
      <c r="C2580" t="s">
        <v>72</v>
      </c>
      <c r="D2580" s="6">
        <v>45807</v>
      </c>
      <c r="E2580" t="str">
        <f>VLOOKUP(B2580,'PROCV GERENTES BD'!A:B,2,0)</f>
        <v>POENATELA</v>
      </c>
      <c r="F2580" s="4" t="str">
        <f t="shared" si="204"/>
        <v>2025-05-2</v>
      </c>
      <c r="G2580" t="str">
        <f t="shared" si="200"/>
        <v>POENATELA</v>
      </c>
      <c r="H2580" t="str">
        <f t="shared" si="201"/>
        <v>COOPERATIVA TRANSP AUTON CARGAS PASSAG SERVICOS LO</v>
      </c>
      <c r="I2580">
        <f t="shared" si="202"/>
        <v>1</v>
      </c>
      <c r="J2580">
        <f t="shared" si="203"/>
        <v>0</v>
      </c>
    </row>
    <row r="2581" spans="1:10" x14ac:dyDescent="0.25">
      <c r="A2581" t="s">
        <v>474</v>
      </c>
      <c r="B2581" t="s">
        <v>230</v>
      </c>
      <c r="C2581" t="s">
        <v>56</v>
      </c>
      <c r="D2581" s="6">
        <v>45808</v>
      </c>
      <c r="E2581" t="str">
        <f>VLOOKUP(B2581,'PROCV GERENTES BD'!A:B,2,0)</f>
        <v>CELIO PIMENTA</v>
      </c>
      <c r="F2581" s="4" t="str">
        <f t="shared" si="204"/>
        <v>2025-05-2</v>
      </c>
      <c r="G2581" t="str">
        <f t="shared" si="200"/>
        <v>CELIO PIMENTA</v>
      </c>
      <c r="H2581" t="str">
        <f t="shared" si="201"/>
        <v>ACO X LTDA ME</v>
      </c>
      <c r="I2581">
        <f t="shared" si="202"/>
        <v>0</v>
      </c>
      <c r="J2581">
        <f t="shared" si="203"/>
        <v>1</v>
      </c>
    </row>
    <row r="2582" spans="1:10" x14ac:dyDescent="0.25">
      <c r="A2582" t="s">
        <v>78</v>
      </c>
      <c r="B2582" t="s">
        <v>79</v>
      </c>
      <c r="C2582" t="s">
        <v>56</v>
      </c>
      <c r="D2582" s="6">
        <v>45808</v>
      </c>
      <c r="E2582" t="str">
        <f>VLOOKUP(B2582,'PROCV GERENTES BD'!A:B,2,0)</f>
        <v>NOELI SALETE</v>
      </c>
      <c r="F2582" s="4" t="str">
        <f t="shared" si="204"/>
        <v>2025-05-2</v>
      </c>
      <c r="G2582" t="str">
        <f t="shared" si="200"/>
        <v>NOELI SALETE</v>
      </c>
      <c r="H2582" t="str">
        <f t="shared" si="201"/>
        <v>SMARTCENTER SOLUCOES INTELIGENTES LTDA ME</v>
      </c>
      <c r="I2582">
        <f t="shared" si="202"/>
        <v>0</v>
      </c>
      <c r="J2582">
        <f t="shared" si="203"/>
        <v>1</v>
      </c>
    </row>
    <row r="2583" spans="1:10" x14ac:dyDescent="0.25">
      <c r="A2583" t="s">
        <v>70</v>
      </c>
      <c r="B2583" t="s">
        <v>71</v>
      </c>
      <c r="C2583" t="s">
        <v>59</v>
      </c>
      <c r="D2583" s="6">
        <v>45808</v>
      </c>
      <c r="E2583" t="str">
        <f>VLOOKUP(B2583,'PROCV GERENTES BD'!A:B,2,0)</f>
        <v>SEM GERENTE</v>
      </c>
      <c r="F2583" s="4" t="str">
        <f t="shared" si="204"/>
        <v>2025-05-2</v>
      </c>
      <c r="G2583" t="str">
        <f t="shared" si="200"/>
        <v>SEM GERENTE</v>
      </c>
      <c r="H2583" t="str">
        <f t="shared" si="201"/>
        <v>SOCIAL S/A</v>
      </c>
      <c r="I2583">
        <f t="shared" si="202"/>
        <v>0</v>
      </c>
      <c r="J2583">
        <f t="shared" si="203"/>
        <v>0</v>
      </c>
    </row>
    <row r="2584" spans="1:10" x14ac:dyDescent="0.25">
      <c r="A2584" t="s">
        <v>68</v>
      </c>
      <c r="B2584" t="s">
        <v>69</v>
      </c>
      <c r="C2584" t="s">
        <v>56</v>
      </c>
      <c r="D2584" s="6">
        <v>45808</v>
      </c>
      <c r="E2584" t="str">
        <f>VLOOKUP(B2584,'PROCV GERENTES BD'!A:B,2,0)</f>
        <v>FITZ</v>
      </c>
      <c r="F2584" s="4" t="str">
        <f t="shared" si="204"/>
        <v>2025-05-2</v>
      </c>
      <c r="G2584" t="str">
        <f t="shared" si="200"/>
        <v>FITZ</v>
      </c>
      <c r="H2584" t="str">
        <f t="shared" si="201"/>
        <v>MAPP COM IMPORTACAO EXPORTACAO IND PRODUTOS ALIMEN</v>
      </c>
      <c r="I2584">
        <f t="shared" si="202"/>
        <v>0</v>
      </c>
      <c r="J2584">
        <f t="shared" si="203"/>
        <v>1</v>
      </c>
    </row>
    <row r="2585" spans="1:10" x14ac:dyDescent="0.25">
      <c r="A2585" t="s">
        <v>66</v>
      </c>
      <c r="B2585" t="s">
        <v>67</v>
      </c>
      <c r="C2585" t="s">
        <v>56</v>
      </c>
      <c r="D2585" s="6">
        <v>45808</v>
      </c>
      <c r="E2585" t="str">
        <f>VLOOKUP(B2585,'PROCV GERENTES BD'!A:B,2,0)</f>
        <v xml:space="preserve">MARCUS VINICIUS </v>
      </c>
      <c r="F2585" s="4" t="str">
        <f t="shared" si="204"/>
        <v>2025-05-2</v>
      </c>
      <c r="G2585" t="str">
        <f t="shared" si="200"/>
        <v xml:space="preserve">MARCUS VINICIUS </v>
      </c>
      <c r="H2585" t="str">
        <f t="shared" si="201"/>
        <v>COM IND DE CEREAIS E TRANSPORTES MACIEL LTDA</v>
      </c>
      <c r="I2585">
        <f t="shared" si="202"/>
        <v>0</v>
      </c>
      <c r="J2585">
        <f t="shared" si="203"/>
        <v>1</v>
      </c>
    </row>
    <row r="2586" spans="1:10" x14ac:dyDescent="0.25">
      <c r="A2586" t="s">
        <v>361</v>
      </c>
      <c r="B2586" t="s">
        <v>103</v>
      </c>
      <c r="C2586" t="s">
        <v>56</v>
      </c>
      <c r="D2586" s="6">
        <v>45808</v>
      </c>
      <c r="E2586" t="str">
        <f>VLOOKUP(B2586,'PROCV GERENTES BD'!A:B,2,0)</f>
        <v>PRISCILA METZ</v>
      </c>
      <c r="F2586" s="4" t="str">
        <f t="shared" si="204"/>
        <v>2025-05-2</v>
      </c>
      <c r="G2586" t="str">
        <f t="shared" si="200"/>
        <v>PRISCILA METZ</v>
      </c>
      <c r="H2586" t="str">
        <f t="shared" si="201"/>
        <v>ESSENZA INDUSTRIA QUIMICA LTDA</v>
      </c>
      <c r="I2586">
        <f t="shared" si="202"/>
        <v>0</v>
      </c>
      <c r="J2586">
        <f t="shared" si="203"/>
        <v>1</v>
      </c>
    </row>
    <row r="2587" spans="1:10" x14ac:dyDescent="0.25">
      <c r="A2587" t="s">
        <v>325</v>
      </c>
      <c r="B2587" t="s">
        <v>210</v>
      </c>
      <c r="C2587" t="s">
        <v>56</v>
      </c>
      <c r="D2587" s="6">
        <v>45808</v>
      </c>
      <c r="E2587" t="str">
        <f>VLOOKUP(B2587,'PROCV GERENTES BD'!A:B,2,0)</f>
        <v>JOSE ROBERTO</v>
      </c>
      <c r="F2587" s="4" t="str">
        <f t="shared" si="204"/>
        <v>2025-05-2</v>
      </c>
      <c r="G2587" t="str">
        <f t="shared" si="200"/>
        <v>JOSE ROBERTO</v>
      </c>
      <c r="H2587" t="str">
        <f t="shared" si="201"/>
        <v>FUNDACAO DE ENSINO E PESQUISA DO SUL DE MINAS FEPE</v>
      </c>
      <c r="I2587">
        <f t="shared" si="202"/>
        <v>0</v>
      </c>
      <c r="J2587">
        <f t="shared" si="203"/>
        <v>1</v>
      </c>
    </row>
    <row r="2588" spans="1:10" x14ac:dyDescent="0.25">
      <c r="A2588" t="s">
        <v>64</v>
      </c>
      <c r="B2588" t="s">
        <v>65</v>
      </c>
      <c r="C2588" t="s">
        <v>72</v>
      </c>
      <c r="D2588" s="6">
        <v>45808</v>
      </c>
      <c r="E2588" t="str">
        <f>VLOOKUP(B2588,'PROCV GERENTES BD'!A:B,2,0)</f>
        <v>ADMINISTRAÇÃO</v>
      </c>
      <c r="F2588" s="4" t="str">
        <f t="shared" si="204"/>
        <v>2025-05-2</v>
      </c>
      <c r="G2588" t="str">
        <f t="shared" si="200"/>
        <v>ADMINISTRAÇÃO</v>
      </c>
      <c r="H2588" t="str">
        <f t="shared" si="201"/>
        <v>BIOTECH LOGISTICA LTDA</v>
      </c>
      <c r="I2588">
        <f t="shared" si="202"/>
        <v>1</v>
      </c>
      <c r="J2588">
        <f t="shared" si="203"/>
        <v>0</v>
      </c>
    </row>
    <row r="2589" spans="1:10" x14ac:dyDescent="0.25">
      <c r="A2589" t="s">
        <v>326</v>
      </c>
      <c r="B2589" t="s">
        <v>86</v>
      </c>
      <c r="C2589" t="s">
        <v>56</v>
      </c>
      <c r="D2589" s="6">
        <v>45808</v>
      </c>
      <c r="E2589" t="str">
        <f>VLOOKUP(B2589,'PROCV GERENTES BD'!A:B,2,0)</f>
        <v>CELIO PIMENTA</v>
      </c>
      <c r="F2589" s="4" t="str">
        <f t="shared" si="204"/>
        <v>2025-05-2</v>
      </c>
      <c r="G2589" t="str">
        <f t="shared" si="200"/>
        <v>CELIO PIMENTA</v>
      </c>
      <c r="H2589" t="str">
        <f t="shared" si="201"/>
        <v>IMPORTEXTIL COMERCIO DE TECIDOS LTDA</v>
      </c>
      <c r="I2589">
        <f t="shared" si="202"/>
        <v>0</v>
      </c>
      <c r="J2589">
        <f t="shared" si="203"/>
        <v>1</v>
      </c>
    </row>
    <row r="2590" spans="1:10" x14ac:dyDescent="0.25">
      <c r="A2590" t="s">
        <v>535</v>
      </c>
      <c r="B2590" t="s">
        <v>302</v>
      </c>
      <c r="C2590" t="s">
        <v>72</v>
      </c>
      <c r="D2590" s="6">
        <v>45808</v>
      </c>
      <c r="E2590" t="str">
        <f>VLOOKUP(B2590,'PROCV GERENTES BD'!A:B,2,0)</f>
        <v>PRISCILA METZ</v>
      </c>
      <c r="F2590" s="4" t="str">
        <f t="shared" si="204"/>
        <v>2025-05-2</v>
      </c>
      <c r="G2590" t="str">
        <f t="shared" si="200"/>
        <v>PRISCILA METZ</v>
      </c>
      <c r="H2590" t="str">
        <f t="shared" si="201"/>
        <v>BETEL UNIFORMES PROFISSIONAIS LTDA ME</v>
      </c>
      <c r="I2590">
        <f t="shared" si="202"/>
        <v>1</v>
      </c>
      <c r="J2590">
        <f t="shared" si="203"/>
        <v>0</v>
      </c>
    </row>
    <row r="2591" spans="1:10" x14ac:dyDescent="0.25">
      <c r="A2591" t="s">
        <v>329</v>
      </c>
      <c r="B2591" t="s">
        <v>301</v>
      </c>
      <c r="C2591" t="s">
        <v>72</v>
      </c>
      <c r="D2591" s="6">
        <v>45808</v>
      </c>
      <c r="E2591" t="str">
        <f>VLOOKUP(B2591,'PROCV GERENTES BD'!A:B,2,0)</f>
        <v>CAIO</v>
      </c>
      <c r="F2591" s="4" t="str">
        <f t="shared" si="204"/>
        <v>2025-05-2</v>
      </c>
      <c r="G2591" t="str">
        <f t="shared" si="200"/>
        <v>CAIO</v>
      </c>
      <c r="H2591" t="str">
        <f t="shared" si="201"/>
        <v>LAF COMERCIAL LTDA ME</v>
      </c>
      <c r="I2591">
        <f t="shared" si="202"/>
        <v>1</v>
      </c>
      <c r="J2591">
        <f t="shared" si="203"/>
        <v>0</v>
      </c>
    </row>
    <row r="2592" spans="1:10" x14ac:dyDescent="0.25">
      <c r="A2592" t="s">
        <v>395</v>
      </c>
      <c r="B2592" t="s">
        <v>141</v>
      </c>
      <c r="C2592" t="s">
        <v>72</v>
      </c>
      <c r="D2592" s="6">
        <v>45808</v>
      </c>
      <c r="E2592" t="str">
        <f>VLOOKUP(B2592,'PROCV GERENTES BD'!A:B,2,0)</f>
        <v>RAFAEL PARISE</v>
      </c>
      <c r="F2592" s="4" t="str">
        <f t="shared" si="204"/>
        <v>2025-05-2</v>
      </c>
      <c r="G2592" t="str">
        <f t="shared" si="200"/>
        <v>RAFAEL PARISE</v>
      </c>
      <c r="H2592" t="str">
        <f t="shared" si="201"/>
        <v>MAIS DISTRIBUIDORA LTDA</v>
      </c>
      <c r="I2592">
        <f t="shared" si="202"/>
        <v>1</v>
      </c>
      <c r="J2592">
        <f t="shared" si="203"/>
        <v>0</v>
      </c>
    </row>
    <row r="2593" spans="1:10" x14ac:dyDescent="0.25">
      <c r="A2593" t="s">
        <v>57</v>
      </c>
      <c r="B2593" t="s">
        <v>58</v>
      </c>
      <c r="C2593" t="s">
        <v>59</v>
      </c>
      <c r="D2593" s="6">
        <v>45808</v>
      </c>
      <c r="E2593" t="str">
        <f>VLOOKUP(B2593,'PROCV GERENTES BD'!A:B,2,0)</f>
        <v>RAFAEL PARISE</v>
      </c>
      <c r="F2593" s="4" t="str">
        <f t="shared" si="204"/>
        <v>2025-05-2</v>
      </c>
      <c r="G2593" t="str">
        <f t="shared" si="200"/>
        <v>RAFAEL PARISE</v>
      </c>
      <c r="H2593" t="str">
        <f t="shared" si="201"/>
        <v>TDR TRANSPORTES LOGISTICA LTDA</v>
      </c>
      <c r="I2593">
        <f t="shared" si="202"/>
        <v>0</v>
      </c>
      <c r="J2593">
        <f t="shared" si="203"/>
        <v>0</v>
      </c>
    </row>
    <row r="2594" spans="1:10" x14ac:dyDescent="0.25">
      <c r="A2594" t="s">
        <v>539</v>
      </c>
      <c r="B2594" t="s">
        <v>306</v>
      </c>
      <c r="C2594" t="s">
        <v>56</v>
      </c>
      <c r="D2594" s="6">
        <v>45808</v>
      </c>
      <c r="E2594" t="str">
        <f>VLOOKUP(B2594,'PROCV GERENTES BD'!A:B,2,0)</f>
        <v>RAFAEL PARISE</v>
      </c>
      <c r="F2594" s="4" t="str">
        <f t="shared" si="204"/>
        <v>2025-05-2</v>
      </c>
      <c r="G2594" t="str">
        <f t="shared" si="200"/>
        <v>RAFAEL PARISE</v>
      </c>
      <c r="H2594" t="str">
        <f t="shared" si="201"/>
        <v>GAMA COMERCIO E TRANSPORTES LTDA EPP</v>
      </c>
      <c r="I2594">
        <f t="shared" si="202"/>
        <v>0</v>
      </c>
      <c r="J2594">
        <f t="shared" si="203"/>
        <v>1</v>
      </c>
    </row>
    <row r="2595" spans="1:10" x14ac:dyDescent="0.25">
      <c r="A2595" t="s">
        <v>331</v>
      </c>
      <c r="B2595" t="s">
        <v>126</v>
      </c>
      <c r="C2595" t="s">
        <v>59</v>
      </c>
      <c r="D2595" s="6">
        <v>45808</v>
      </c>
      <c r="E2595" t="str">
        <f>VLOOKUP(B2595,'PROCV GERENTES BD'!A:B,2,0)</f>
        <v>FITZ</v>
      </c>
      <c r="F2595" s="4" t="str">
        <f t="shared" si="204"/>
        <v>2025-05-2</v>
      </c>
      <c r="G2595" t="str">
        <f t="shared" si="200"/>
        <v>FITZ</v>
      </c>
      <c r="H2595" t="str">
        <f t="shared" si="201"/>
        <v>TRANSHENRY TRANSPORTES LTDA</v>
      </c>
      <c r="I2595">
        <f t="shared" si="202"/>
        <v>0</v>
      </c>
      <c r="J2595">
        <f t="shared" si="203"/>
        <v>0</v>
      </c>
    </row>
    <row r="2596" spans="1:10" x14ac:dyDescent="0.25">
      <c r="A2596" t="s">
        <v>532</v>
      </c>
      <c r="B2596" t="s">
        <v>296</v>
      </c>
      <c r="C2596" t="s">
        <v>72</v>
      </c>
      <c r="D2596" s="6">
        <v>45808</v>
      </c>
      <c r="E2596" t="str">
        <f>VLOOKUP(B2596,'PROCV GERENTES BD'!A:B,2,0)</f>
        <v>DALVA</v>
      </c>
      <c r="F2596" s="4" t="str">
        <f t="shared" si="204"/>
        <v>2025-05-2</v>
      </c>
      <c r="G2596" t="str">
        <f t="shared" si="200"/>
        <v>DALVA</v>
      </c>
      <c r="H2596" t="str">
        <f t="shared" si="201"/>
        <v>FRAITECH INTELIGENCIA EM AUTOMACAO LTDA</v>
      </c>
      <c r="I2596">
        <f t="shared" si="202"/>
        <v>1</v>
      </c>
      <c r="J2596">
        <f t="shared" si="203"/>
        <v>0</v>
      </c>
    </row>
    <row r="2597" spans="1:10" x14ac:dyDescent="0.25">
      <c r="A2597" t="s">
        <v>531</v>
      </c>
      <c r="B2597" t="s">
        <v>295</v>
      </c>
      <c r="C2597" t="s">
        <v>56</v>
      </c>
      <c r="D2597" s="6">
        <v>45808</v>
      </c>
      <c r="E2597" t="str">
        <f>VLOOKUP(B2597,'PROCV GERENTES BD'!A:B,2,0)</f>
        <v>ADMINISTRAÇÃO</v>
      </c>
      <c r="F2597" s="4" t="str">
        <f t="shared" si="204"/>
        <v>2025-05-2</v>
      </c>
      <c r="G2597" t="str">
        <f t="shared" si="200"/>
        <v>ADMINISTRAÇÃO</v>
      </c>
      <c r="H2597" t="str">
        <f t="shared" si="201"/>
        <v>REFRACONT BRASIL LTDA</v>
      </c>
      <c r="I2597">
        <f t="shared" si="202"/>
        <v>0</v>
      </c>
      <c r="J2597">
        <f t="shared" si="203"/>
        <v>1</v>
      </c>
    </row>
    <row r="2598" spans="1:10" x14ac:dyDescent="0.25">
      <c r="A2598" t="s">
        <v>383</v>
      </c>
      <c r="B2598" t="s">
        <v>127</v>
      </c>
      <c r="C2598" t="s">
        <v>72</v>
      </c>
      <c r="D2598" s="6">
        <v>45808</v>
      </c>
      <c r="E2598" t="str">
        <f>VLOOKUP(B2598,'PROCV GERENTES BD'!A:B,2,0)</f>
        <v>NATALIA NUBIA</v>
      </c>
      <c r="F2598" s="4" t="str">
        <f t="shared" si="204"/>
        <v>2025-05-2</v>
      </c>
      <c r="G2598" t="str">
        <f t="shared" si="200"/>
        <v>NATALIA NUBIA</v>
      </c>
      <c r="H2598" t="str">
        <f t="shared" si="201"/>
        <v>FARINELLI NUTRIMENTOS LTDA</v>
      </c>
      <c r="I2598">
        <f t="shared" si="202"/>
        <v>1</v>
      </c>
      <c r="J2598">
        <f t="shared" si="203"/>
        <v>0</v>
      </c>
    </row>
    <row r="2599" spans="1:10" x14ac:dyDescent="0.25">
      <c r="A2599" t="s">
        <v>506</v>
      </c>
      <c r="B2599" t="s">
        <v>263</v>
      </c>
      <c r="C2599" t="s">
        <v>56</v>
      </c>
      <c r="D2599" s="6">
        <v>45808</v>
      </c>
      <c r="E2599" t="str">
        <f>VLOOKUP(B2599,'PROCV GERENTES BD'!A:B,2,0)</f>
        <v>CELIO PIMENTA</v>
      </c>
      <c r="F2599" s="4" t="str">
        <f t="shared" si="204"/>
        <v>2025-05-2</v>
      </c>
      <c r="G2599" t="str">
        <f t="shared" si="200"/>
        <v>CELIO PIMENTA</v>
      </c>
      <c r="H2599" t="str">
        <f t="shared" si="201"/>
        <v>SEU TRATOR LTDA EPP</v>
      </c>
      <c r="I2599">
        <f t="shared" si="202"/>
        <v>0</v>
      </c>
      <c r="J2599">
        <f t="shared" si="203"/>
        <v>1</v>
      </c>
    </row>
    <row r="2600" spans="1:10" x14ac:dyDescent="0.25">
      <c r="A2600" t="s">
        <v>498</v>
      </c>
      <c r="B2600" t="s">
        <v>255</v>
      </c>
      <c r="C2600" t="s">
        <v>72</v>
      </c>
      <c r="D2600" s="6">
        <v>45808</v>
      </c>
      <c r="E2600" t="str">
        <f>VLOOKUP(B2600,'PROCV GERENTES BD'!A:B,2,0)</f>
        <v>PROSPECTAR</v>
      </c>
      <c r="F2600" s="4" t="str">
        <f t="shared" si="204"/>
        <v>2025-05-2</v>
      </c>
      <c r="G2600" t="str">
        <f t="shared" si="200"/>
        <v>PROSPECTAR</v>
      </c>
      <c r="H2600" t="str">
        <f t="shared" si="201"/>
        <v>PRODUTOS PORTEIRAO COM DIST E REP LTDA EPP</v>
      </c>
      <c r="I2600">
        <f t="shared" si="202"/>
        <v>1</v>
      </c>
      <c r="J2600">
        <f t="shared" si="203"/>
        <v>0</v>
      </c>
    </row>
    <row r="2601" spans="1:10" x14ac:dyDescent="0.25">
      <c r="A2601" t="s">
        <v>318</v>
      </c>
      <c r="B2601" t="s">
        <v>87</v>
      </c>
      <c r="C2601" t="s">
        <v>56</v>
      </c>
      <c r="D2601" s="6">
        <v>45811</v>
      </c>
      <c r="E2601" t="str">
        <f>VLOOKUP(B2601,'PROCV GERENTES BD'!A:B,2,0)</f>
        <v>CELIO PIMENTA</v>
      </c>
      <c r="F2601" s="4" t="str">
        <f t="shared" ref="F2601:F2629" si="205">YEAR(D2601)&amp;"-"&amp;TEXT(MONTH(D2601),"00")&amp;"-"&amp;IF(DAY(D2601)&lt;=15,"1",IF(DAY(D2601)&gt;15,"2",""))</f>
        <v>2025-06-1</v>
      </c>
      <c r="G2601" t="str">
        <f t="shared" ref="G2601:G2629" si="206">E2601</f>
        <v>CELIO PIMENTA</v>
      </c>
      <c r="H2601" t="str">
        <f t="shared" ref="H2601:H2629" si="207">B2601</f>
        <v>MBIOLOG DIAGNOSTICOS LTDA</v>
      </c>
      <c r="I2601">
        <f t="shared" si="202"/>
        <v>0</v>
      </c>
      <c r="J2601">
        <f t="shared" si="203"/>
        <v>1</v>
      </c>
    </row>
    <row r="2602" spans="1:10" x14ac:dyDescent="0.25">
      <c r="A2602" t="s">
        <v>469</v>
      </c>
      <c r="B2602" t="s">
        <v>225</v>
      </c>
      <c r="C2602" t="s">
        <v>56</v>
      </c>
      <c r="D2602" s="6">
        <v>45811</v>
      </c>
      <c r="E2602" t="str">
        <f>VLOOKUP(B2602,'PROCV GERENTES BD'!A:B,2,0)</f>
        <v>SEM GERENTE</v>
      </c>
      <c r="F2602" s="4" t="str">
        <f t="shared" si="205"/>
        <v>2025-06-1</v>
      </c>
      <c r="G2602" t="str">
        <f t="shared" si="206"/>
        <v>SEM GERENTE</v>
      </c>
      <c r="H2602" t="str">
        <f t="shared" si="207"/>
        <v>KUARA COMERCIAL E EXPORTADORA DE FRUTAS LTDA</v>
      </c>
      <c r="I2602">
        <f t="shared" si="202"/>
        <v>0</v>
      </c>
      <c r="J2602">
        <f t="shared" si="203"/>
        <v>1</v>
      </c>
    </row>
    <row r="2603" spans="1:10" x14ac:dyDescent="0.25">
      <c r="A2603" t="s">
        <v>80</v>
      </c>
      <c r="B2603" t="s">
        <v>81</v>
      </c>
      <c r="C2603" t="s">
        <v>56</v>
      </c>
      <c r="D2603" s="6">
        <v>45811</v>
      </c>
      <c r="E2603" t="str">
        <f>VLOOKUP(B2603,'PROCV GERENTES BD'!A:B,2,0)</f>
        <v>CAIO</v>
      </c>
      <c r="F2603" s="4" t="str">
        <f t="shared" si="205"/>
        <v>2025-06-1</v>
      </c>
      <c r="G2603" t="str">
        <f t="shared" si="206"/>
        <v>CAIO</v>
      </c>
      <c r="H2603" t="str">
        <f t="shared" si="207"/>
        <v>TP DISTRIBUIDORA DE PECAS LTDA EPP</v>
      </c>
      <c r="I2603">
        <f t="shared" si="202"/>
        <v>0</v>
      </c>
      <c r="J2603">
        <f t="shared" si="203"/>
        <v>1</v>
      </c>
    </row>
    <row r="2604" spans="1:10" x14ac:dyDescent="0.25">
      <c r="A2604" t="s">
        <v>78</v>
      </c>
      <c r="B2604" t="s">
        <v>79</v>
      </c>
      <c r="C2604" t="s">
        <v>59</v>
      </c>
      <c r="D2604" s="6">
        <v>45811</v>
      </c>
      <c r="E2604" t="str">
        <f>VLOOKUP(B2604,'PROCV GERENTES BD'!A:B,2,0)</f>
        <v>NOELI SALETE</v>
      </c>
      <c r="F2604" s="4" t="str">
        <f t="shared" si="205"/>
        <v>2025-06-1</v>
      </c>
      <c r="G2604" t="str">
        <f t="shared" si="206"/>
        <v>NOELI SALETE</v>
      </c>
      <c r="H2604" t="str">
        <f t="shared" si="207"/>
        <v>SMARTCENTER SOLUCOES INTELIGENTES LTDA ME</v>
      </c>
      <c r="I2604">
        <f t="shared" si="202"/>
        <v>0</v>
      </c>
      <c r="J2604">
        <f t="shared" si="203"/>
        <v>0</v>
      </c>
    </row>
    <row r="2605" spans="1:10" x14ac:dyDescent="0.25">
      <c r="A2605" t="s">
        <v>436</v>
      </c>
      <c r="B2605" t="s">
        <v>186</v>
      </c>
      <c r="C2605" t="s">
        <v>56</v>
      </c>
      <c r="D2605" s="6">
        <v>45811</v>
      </c>
      <c r="E2605" t="str">
        <f>VLOOKUP(B2605,'PROCV GERENTES BD'!A:B,2,0)</f>
        <v xml:space="preserve">MARCUS VINICIUS </v>
      </c>
      <c r="F2605" s="4" t="str">
        <f t="shared" si="205"/>
        <v>2025-06-1</v>
      </c>
      <c r="G2605" t="str">
        <f t="shared" si="206"/>
        <v xml:space="preserve">MARCUS VINICIUS </v>
      </c>
      <c r="H2605" t="str">
        <f t="shared" si="207"/>
        <v>LABOR ELETRIC INDUSTRIA E COMERCIO UNIPESSOAL LTDA</v>
      </c>
      <c r="I2605">
        <f t="shared" si="202"/>
        <v>0</v>
      </c>
      <c r="J2605">
        <f t="shared" si="203"/>
        <v>1</v>
      </c>
    </row>
    <row r="2606" spans="1:10" x14ac:dyDescent="0.25">
      <c r="A2606" t="s">
        <v>435</v>
      </c>
      <c r="B2606" t="s">
        <v>185</v>
      </c>
      <c r="C2606" t="s">
        <v>56</v>
      </c>
      <c r="D2606" s="6">
        <v>45811</v>
      </c>
      <c r="E2606" t="str">
        <f>VLOOKUP(B2606,'PROCV GERENTES BD'!A:B,2,0)</f>
        <v>ADMINISTRAÇÃO</v>
      </c>
      <c r="F2606" s="4" t="str">
        <f t="shared" si="205"/>
        <v>2025-06-1</v>
      </c>
      <c r="G2606" t="str">
        <f t="shared" si="206"/>
        <v>ADMINISTRAÇÃO</v>
      </c>
      <c r="H2606" t="str">
        <f t="shared" si="207"/>
        <v>LIZZENA COSMETICOS LTDA EPP</v>
      </c>
      <c r="I2606">
        <f t="shared" si="202"/>
        <v>0</v>
      </c>
      <c r="J2606">
        <f t="shared" si="203"/>
        <v>1</v>
      </c>
    </row>
    <row r="2607" spans="1:10" x14ac:dyDescent="0.25">
      <c r="A2607" t="s">
        <v>523</v>
      </c>
      <c r="B2607" t="s">
        <v>284</v>
      </c>
      <c r="C2607" t="s">
        <v>56</v>
      </c>
      <c r="D2607" s="6">
        <v>45811</v>
      </c>
      <c r="E2607" t="str">
        <f>VLOOKUP(B2607,'PROCV GERENTES BD'!A:B,2,0)</f>
        <v>ALISSON DE SOUZA LIMA</v>
      </c>
      <c r="F2607" s="4" t="str">
        <f t="shared" si="205"/>
        <v>2025-06-1</v>
      </c>
      <c r="G2607" t="str">
        <f t="shared" si="206"/>
        <v>ALISSON DE SOUZA LIMA</v>
      </c>
      <c r="H2607" t="str">
        <f t="shared" si="207"/>
        <v>COMERCIAL GTS INFORMATICA LTDA EPP</v>
      </c>
      <c r="I2607">
        <f t="shared" si="202"/>
        <v>0</v>
      </c>
      <c r="J2607">
        <f t="shared" si="203"/>
        <v>1</v>
      </c>
    </row>
    <row r="2608" spans="1:10" x14ac:dyDescent="0.25">
      <c r="A2608" t="s">
        <v>73</v>
      </c>
      <c r="B2608" t="s">
        <v>74</v>
      </c>
      <c r="C2608" t="s">
        <v>56</v>
      </c>
      <c r="D2608" s="6">
        <v>45811</v>
      </c>
      <c r="E2608" t="str">
        <f>VLOOKUP(B2608,'PROCV GERENTES BD'!A:B,2,0)</f>
        <v xml:space="preserve">ROGERIO </v>
      </c>
      <c r="F2608" s="4" t="str">
        <f t="shared" si="205"/>
        <v>2025-06-1</v>
      </c>
      <c r="G2608" t="str">
        <f t="shared" si="206"/>
        <v xml:space="preserve">ROGERIO </v>
      </c>
      <c r="H2608" t="str">
        <f t="shared" si="207"/>
        <v>DIOTTONI INDUSTRIA E COMERCIO DE ALIMENTOS LTDA ME</v>
      </c>
      <c r="I2608">
        <f t="shared" si="202"/>
        <v>0</v>
      </c>
      <c r="J2608">
        <f t="shared" si="203"/>
        <v>1</v>
      </c>
    </row>
    <row r="2609" spans="1:10" x14ac:dyDescent="0.25">
      <c r="A2609" t="s">
        <v>70</v>
      </c>
      <c r="B2609" t="s">
        <v>71</v>
      </c>
      <c r="C2609" t="s">
        <v>59</v>
      </c>
      <c r="D2609" s="6">
        <v>45811</v>
      </c>
      <c r="E2609" t="str">
        <f>VLOOKUP(B2609,'PROCV GERENTES BD'!A:B,2,0)</f>
        <v>SEM GERENTE</v>
      </c>
      <c r="F2609" s="4" t="str">
        <f t="shared" si="205"/>
        <v>2025-06-1</v>
      </c>
      <c r="G2609" t="str">
        <f t="shared" si="206"/>
        <v>SEM GERENTE</v>
      </c>
      <c r="H2609" t="str">
        <f t="shared" si="207"/>
        <v>SOCIAL S/A</v>
      </c>
      <c r="I2609">
        <f t="shared" si="202"/>
        <v>0</v>
      </c>
      <c r="J2609">
        <f t="shared" si="203"/>
        <v>0</v>
      </c>
    </row>
    <row r="2610" spans="1:10" x14ac:dyDescent="0.25">
      <c r="A2610" t="s">
        <v>68</v>
      </c>
      <c r="B2610" t="s">
        <v>69</v>
      </c>
      <c r="C2610" t="s">
        <v>59</v>
      </c>
      <c r="D2610" s="6">
        <v>45811</v>
      </c>
      <c r="E2610" t="str">
        <f>VLOOKUP(B2610,'PROCV GERENTES BD'!A:B,2,0)</f>
        <v>FITZ</v>
      </c>
      <c r="F2610" s="4" t="str">
        <f t="shared" si="205"/>
        <v>2025-06-1</v>
      </c>
      <c r="G2610" t="str">
        <f t="shared" si="206"/>
        <v>FITZ</v>
      </c>
      <c r="H2610" t="str">
        <f t="shared" si="207"/>
        <v>MAPP COM IMPORTACAO EXPORTACAO IND PRODUTOS ALIMEN</v>
      </c>
      <c r="I2610">
        <f t="shared" si="202"/>
        <v>0</v>
      </c>
      <c r="J2610">
        <f t="shared" si="203"/>
        <v>0</v>
      </c>
    </row>
    <row r="2611" spans="1:10" x14ac:dyDescent="0.25">
      <c r="A2611" t="s">
        <v>507</v>
      </c>
      <c r="B2611" t="s">
        <v>265</v>
      </c>
      <c r="C2611" t="s">
        <v>59</v>
      </c>
      <c r="D2611" s="6">
        <v>45811</v>
      </c>
      <c r="E2611" t="str">
        <f>VLOOKUP(B2611,'PROCV GERENTES BD'!A:B,2,0)</f>
        <v>SEM GERENTE</v>
      </c>
      <c r="F2611" s="4" t="str">
        <f t="shared" si="205"/>
        <v>2025-06-1</v>
      </c>
      <c r="G2611" t="str">
        <f t="shared" si="206"/>
        <v>SEM GERENTE</v>
      </c>
      <c r="H2611" t="str">
        <f t="shared" si="207"/>
        <v>PLATINUM INDUSTRIA DE CONFECCOES LTDA</v>
      </c>
      <c r="I2611">
        <f t="shared" si="202"/>
        <v>0</v>
      </c>
      <c r="J2611">
        <f t="shared" si="203"/>
        <v>0</v>
      </c>
    </row>
    <row r="2612" spans="1:10" x14ac:dyDescent="0.25">
      <c r="A2612" t="s">
        <v>66</v>
      </c>
      <c r="B2612" t="s">
        <v>67</v>
      </c>
      <c r="C2612" t="s">
        <v>59</v>
      </c>
      <c r="D2612" s="6">
        <v>45811</v>
      </c>
      <c r="E2612" t="str">
        <f>VLOOKUP(B2612,'PROCV GERENTES BD'!A:B,2,0)</f>
        <v xml:space="preserve">MARCUS VINICIUS </v>
      </c>
      <c r="F2612" s="4" t="str">
        <f t="shared" si="205"/>
        <v>2025-06-1</v>
      </c>
      <c r="G2612" t="str">
        <f t="shared" si="206"/>
        <v xml:space="preserve">MARCUS VINICIUS </v>
      </c>
      <c r="H2612" t="str">
        <f t="shared" si="207"/>
        <v>COM IND DE CEREAIS E TRANSPORTES MACIEL LTDA</v>
      </c>
      <c r="I2612">
        <f t="shared" si="202"/>
        <v>0</v>
      </c>
      <c r="J2612">
        <f t="shared" si="203"/>
        <v>0</v>
      </c>
    </row>
    <row r="2613" spans="1:10" x14ac:dyDescent="0.25">
      <c r="A2613" t="s">
        <v>434</v>
      </c>
      <c r="B2613" t="s">
        <v>184</v>
      </c>
      <c r="C2613" t="s">
        <v>59</v>
      </c>
      <c r="D2613" s="6">
        <v>45811</v>
      </c>
      <c r="E2613" t="str">
        <f>VLOOKUP(B2613,'PROCV GERENTES BD'!A:B,2,0)</f>
        <v>WHELKYA IRIS</v>
      </c>
      <c r="F2613" s="4" t="str">
        <f t="shared" si="205"/>
        <v>2025-06-1</v>
      </c>
      <c r="G2613" t="str">
        <f t="shared" si="206"/>
        <v>WHELKYA IRIS</v>
      </c>
      <c r="H2613" t="str">
        <f t="shared" si="207"/>
        <v>JFIX INDUSTRIA QUIMICA LTDA ME</v>
      </c>
      <c r="I2613">
        <f t="shared" si="202"/>
        <v>0</v>
      </c>
      <c r="J2613">
        <f t="shared" si="203"/>
        <v>0</v>
      </c>
    </row>
    <row r="2614" spans="1:10" x14ac:dyDescent="0.25">
      <c r="A2614" t="s">
        <v>471</v>
      </c>
      <c r="B2614" t="s">
        <v>227</v>
      </c>
      <c r="C2614" t="s">
        <v>72</v>
      </c>
      <c r="D2614" s="6">
        <v>45811</v>
      </c>
      <c r="E2614" t="str">
        <f>VLOOKUP(B2614,'PROCV GERENTES BD'!A:B,2,0)</f>
        <v>ADMINISTRAÇÃO</v>
      </c>
      <c r="F2614" s="4" t="str">
        <f t="shared" si="205"/>
        <v>2025-06-1</v>
      </c>
      <c r="G2614" t="str">
        <f t="shared" si="206"/>
        <v>ADMINISTRAÇÃO</v>
      </c>
      <c r="H2614" t="str">
        <f t="shared" si="207"/>
        <v>A C ESPORTES S A F</v>
      </c>
      <c r="I2614">
        <f t="shared" si="202"/>
        <v>1</v>
      </c>
      <c r="J2614">
        <f t="shared" si="203"/>
        <v>0</v>
      </c>
    </row>
    <row r="2615" spans="1:10" x14ac:dyDescent="0.25">
      <c r="A2615" t="s">
        <v>361</v>
      </c>
      <c r="B2615" t="s">
        <v>103</v>
      </c>
      <c r="C2615" t="s">
        <v>56</v>
      </c>
      <c r="D2615" s="6">
        <v>45811</v>
      </c>
      <c r="E2615" t="str">
        <f>VLOOKUP(B2615,'PROCV GERENTES BD'!A:B,2,0)</f>
        <v>PRISCILA METZ</v>
      </c>
      <c r="F2615" s="4" t="str">
        <f t="shared" si="205"/>
        <v>2025-06-1</v>
      </c>
      <c r="G2615" t="str">
        <f t="shared" si="206"/>
        <v>PRISCILA METZ</v>
      </c>
      <c r="H2615" t="str">
        <f t="shared" si="207"/>
        <v>ESSENZA INDUSTRIA QUIMICA LTDA</v>
      </c>
      <c r="I2615">
        <f t="shared" si="202"/>
        <v>0</v>
      </c>
      <c r="J2615">
        <f t="shared" si="203"/>
        <v>1</v>
      </c>
    </row>
    <row r="2616" spans="1:10" x14ac:dyDescent="0.25">
      <c r="A2616" t="s">
        <v>64</v>
      </c>
      <c r="B2616" t="s">
        <v>65</v>
      </c>
      <c r="C2616" t="s">
        <v>56</v>
      </c>
      <c r="D2616" s="6">
        <v>45811</v>
      </c>
      <c r="E2616" t="str">
        <f>VLOOKUP(B2616,'PROCV GERENTES BD'!A:B,2,0)</f>
        <v>ADMINISTRAÇÃO</v>
      </c>
      <c r="F2616" s="4" t="str">
        <f t="shared" si="205"/>
        <v>2025-06-1</v>
      </c>
      <c r="G2616" t="str">
        <f t="shared" si="206"/>
        <v>ADMINISTRAÇÃO</v>
      </c>
      <c r="H2616" t="str">
        <f t="shared" si="207"/>
        <v>BIOTECH LOGISTICA LTDA</v>
      </c>
      <c r="I2616">
        <f t="shared" si="202"/>
        <v>0</v>
      </c>
      <c r="J2616">
        <f t="shared" si="203"/>
        <v>1</v>
      </c>
    </row>
    <row r="2617" spans="1:10" x14ac:dyDescent="0.25">
      <c r="A2617" t="s">
        <v>521</v>
      </c>
      <c r="B2617" t="s">
        <v>282</v>
      </c>
      <c r="C2617" t="s">
        <v>56</v>
      </c>
      <c r="D2617" s="6">
        <v>45811</v>
      </c>
      <c r="E2617" t="str">
        <f>VLOOKUP(B2617,'PROCV GERENTES BD'!A:B,2,0)</f>
        <v>ALISSON DE SOUZA LIMA</v>
      </c>
      <c r="F2617" s="4" t="str">
        <f t="shared" si="205"/>
        <v>2025-06-1</v>
      </c>
      <c r="G2617" t="str">
        <f t="shared" si="206"/>
        <v>ALISSON DE SOUZA LIMA</v>
      </c>
      <c r="H2617" t="str">
        <f t="shared" si="207"/>
        <v>COMERCIAL JLX DISTRIBUIDORA LTDA ME</v>
      </c>
      <c r="I2617">
        <f t="shared" si="202"/>
        <v>0</v>
      </c>
      <c r="J2617">
        <f t="shared" si="203"/>
        <v>1</v>
      </c>
    </row>
    <row r="2618" spans="1:10" x14ac:dyDescent="0.25">
      <c r="A2618" t="s">
        <v>326</v>
      </c>
      <c r="B2618" t="s">
        <v>86</v>
      </c>
      <c r="C2618" t="s">
        <v>56</v>
      </c>
      <c r="D2618" s="6">
        <v>45811</v>
      </c>
      <c r="E2618" t="str">
        <f>VLOOKUP(B2618,'PROCV GERENTES BD'!A:B,2,0)</f>
        <v>CELIO PIMENTA</v>
      </c>
      <c r="F2618" s="4" t="str">
        <f t="shared" si="205"/>
        <v>2025-06-1</v>
      </c>
      <c r="G2618" t="str">
        <f t="shared" si="206"/>
        <v>CELIO PIMENTA</v>
      </c>
      <c r="H2618" t="str">
        <f t="shared" si="207"/>
        <v>IMPORTEXTIL COMERCIO DE TECIDOS LTDA</v>
      </c>
      <c r="I2618">
        <f t="shared" si="202"/>
        <v>0</v>
      </c>
      <c r="J2618">
        <f t="shared" si="203"/>
        <v>1</v>
      </c>
    </row>
    <row r="2619" spans="1:10" x14ac:dyDescent="0.25">
      <c r="A2619" t="s">
        <v>62</v>
      </c>
      <c r="B2619" t="s">
        <v>63</v>
      </c>
      <c r="C2619" t="s">
        <v>56</v>
      </c>
      <c r="D2619" s="6">
        <v>45811</v>
      </c>
      <c r="E2619" t="str">
        <f>VLOOKUP(B2619,'PROCV GERENTES BD'!A:B,2,0)</f>
        <v xml:space="preserve">ROGERIO </v>
      </c>
      <c r="F2619" s="4" t="str">
        <f t="shared" si="205"/>
        <v>2025-06-1</v>
      </c>
      <c r="G2619" t="str">
        <f t="shared" si="206"/>
        <v xml:space="preserve">ROGERIO </v>
      </c>
      <c r="H2619" t="str">
        <f t="shared" si="207"/>
        <v>RODOVIEIRA TRANSPORTE LTDA</v>
      </c>
      <c r="I2619">
        <f t="shared" si="202"/>
        <v>0</v>
      </c>
      <c r="J2619">
        <f t="shared" si="203"/>
        <v>1</v>
      </c>
    </row>
    <row r="2620" spans="1:10" x14ac:dyDescent="0.25">
      <c r="A2620" t="s">
        <v>339</v>
      </c>
      <c r="B2620" t="s">
        <v>151</v>
      </c>
      <c r="C2620" t="s">
        <v>56</v>
      </c>
      <c r="D2620" s="6">
        <v>45811</v>
      </c>
      <c r="E2620" t="str">
        <f>VLOOKUP(B2620,'PROCV GERENTES BD'!A:B,2,0)</f>
        <v>ADMINISTRAÇÃO</v>
      </c>
      <c r="F2620" s="4" t="str">
        <f t="shared" si="205"/>
        <v>2025-06-1</v>
      </c>
      <c r="G2620" t="str">
        <f t="shared" si="206"/>
        <v>ADMINISTRAÇÃO</v>
      </c>
      <c r="H2620" t="str">
        <f t="shared" si="207"/>
        <v>BOM PASTOR PAPEIS LTDA EM RECUPERACAO JUDICIAL</v>
      </c>
      <c r="I2620">
        <f t="shared" si="202"/>
        <v>0</v>
      </c>
      <c r="J2620">
        <f t="shared" si="203"/>
        <v>1</v>
      </c>
    </row>
    <row r="2621" spans="1:10" x14ac:dyDescent="0.25">
      <c r="A2621" t="s">
        <v>60</v>
      </c>
      <c r="B2621" t="s">
        <v>61</v>
      </c>
      <c r="C2621" t="s">
        <v>56</v>
      </c>
      <c r="D2621" s="6">
        <v>45811</v>
      </c>
      <c r="E2621" t="str">
        <f>VLOOKUP(B2621,'PROCV GERENTES BD'!A:B,2,0)</f>
        <v>CELIO PIMENTA</v>
      </c>
      <c r="F2621" s="4" t="str">
        <f t="shared" si="205"/>
        <v>2025-06-1</v>
      </c>
      <c r="G2621" t="str">
        <f t="shared" si="206"/>
        <v>CELIO PIMENTA</v>
      </c>
      <c r="H2621" t="str">
        <f t="shared" si="207"/>
        <v>WJ CALDEIRARIA INDUSTRIA E COMERCIO LTDA ME</v>
      </c>
      <c r="I2621">
        <f t="shared" si="202"/>
        <v>0</v>
      </c>
      <c r="J2621">
        <f t="shared" si="203"/>
        <v>1</v>
      </c>
    </row>
    <row r="2622" spans="1:10" x14ac:dyDescent="0.25">
      <c r="A2622" t="s">
        <v>395</v>
      </c>
      <c r="B2622" t="s">
        <v>141</v>
      </c>
      <c r="C2622" t="s">
        <v>56</v>
      </c>
      <c r="D2622" s="6">
        <v>45811</v>
      </c>
      <c r="E2622" t="str">
        <f>VLOOKUP(B2622,'PROCV GERENTES BD'!A:B,2,0)</f>
        <v>RAFAEL PARISE</v>
      </c>
      <c r="F2622" s="4" t="str">
        <f t="shared" si="205"/>
        <v>2025-06-1</v>
      </c>
      <c r="G2622" t="str">
        <f t="shared" si="206"/>
        <v>RAFAEL PARISE</v>
      </c>
      <c r="H2622" t="str">
        <f t="shared" si="207"/>
        <v>MAIS DISTRIBUIDORA LTDA</v>
      </c>
      <c r="I2622">
        <f t="shared" si="202"/>
        <v>0</v>
      </c>
      <c r="J2622">
        <f t="shared" si="203"/>
        <v>1</v>
      </c>
    </row>
    <row r="2623" spans="1:10" x14ac:dyDescent="0.25">
      <c r="A2623" t="s">
        <v>540</v>
      </c>
      <c r="B2623" t="s">
        <v>307</v>
      </c>
      <c r="C2623" t="s">
        <v>56</v>
      </c>
      <c r="D2623" s="6">
        <v>45811</v>
      </c>
      <c r="E2623" t="str">
        <f>VLOOKUP(B2623,'PROCV GERENTES BD'!A:B,2,0)</f>
        <v>RAFAEL PARISE</v>
      </c>
      <c r="F2623" s="4" t="str">
        <f t="shared" si="205"/>
        <v>2025-06-1</v>
      </c>
      <c r="G2623" t="str">
        <f t="shared" si="206"/>
        <v>RAFAEL PARISE</v>
      </c>
      <c r="H2623" t="str">
        <f t="shared" si="207"/>
        <v>MINASPOL INDUSTRIA E COMERCIO DE COMPOSTOS POLIMER</v>
      </c>
      <c r="I2623">
        <f t="shared" si="202"/>
        <v>0</v>
      </c>
      <c r="J2623">
        <f t="shared" si="203"/>
        <v>1</v>
      </c>
    </row>
    <row r="2624" spans="1:10" x14ac:dyDescent="0.25">
      <c r="A2624" t="s">
        <v>57</v>
      </c>
      <c r="B2624" t="s">
        <v>58</v>
      </c>
      <c r="C2624" t="s">
        <v>56</v>
      </c>
      <c r="D2624" s="6">
        <v>45811</v>
      </c>
      <c r="E2624" t="str">
        <f>VLOOKUP(B2624,'PROCV GERENTES BD'!A:B,2,0)</f>
        <v>RAFAEL PARISE</v>
      </c>
      <c r="F2624" s="4" t="str">
        <f t="shared" si="205"/>
        <v>2025-06-1</v>
      </c>
      <c r="G2624" t="str">
        <f t="shared" si="206"/>
        <v>RAFAEL PARISE</v>
      </c>
      <c r="H2624" t="str">
        <f t="shared" si="207"/>
        <v>TDR TRANSPORTES LOGISTICA LTDA</v>
      </c>
      <c r="I2624">
        <f t="shared" si="202"/>
        <v>0</v>
      </c>
      <c r="J2624">
        <f t="shared" si="203"/>
        <v>1</v>
      </c>
    </row>
    <row r="2625" spans="1:10" x14ac:dyDescent="0.25">
      <c r="A2625" t="s">
        <v>330</v>
      </c>
      <c r="B2625" t="s">
        <v>116</v>
      </c>
      <c r="C2625" t="s">
        <v>56</v>
      </c>
      <c r="D2625" s="6">
        <v>45811</v>
      </c>
      <c r="E2625" t="str">
        <f>VLOOKUP(B2625,'PROCV GERENTES BD'!A:B,2,0)</f>
        <v>FITZ</v>
      </c>
      <c r="F2625" s="4" t="str">
        <f t="shared" si="205"/>
        <v>2025-06-1</v>
      </c>
      <c r="G2625" t="str">
        <f t="shared" si="206"/>
        <v>FITZ</v>
      </c>
      <c r="H2625" t="str">
        <f t="shared" si="207"/>
        <v>SIAP COMERCIO DE PRODUTOS AGROPECUARIOS LTDA</v>
      </c>
      <c r="I2625">
        <f t="shared" si="202"/>
        <v>0</v>
      </c>
      <c r="J2625">
        <f t="shared" si="203"/>
        <v>1</v>
      </c>
    </row>
    <row r="2626" spans="1:10" x14ac:dyDescent="0.25">
      <c r="A2626" t="s">
        <v>331</v>
      </c>
      <c r="B2626" t="s">
        <v>126</v>
      </c>
      <c r="C2626" t="s">
        <v>59</v>
      </c>
      <c r="D2626" s="6">
        <v>45811</v>
      </c>
      <c r="E2626" t="str">
        <f>VLOOKUP(B2626,'PROCV GERENTES BD'!A:B,2,0)</f>
        <v>FITZ</v>
      </c>
      <c r="F2626" s="4" t="str">
        <f t="shared" si="205"/>
        <v>2025-06-1</v>
      </c>
      <c r="G2626" t="str">
        <f t="shared" si="206"/>
        <v>FITZ</v>
      </c>
      <c r="H2626" t="str">
        <f t="shared" si="207"/>
        <v>TRANSHENRY TRANSPORTES LTDA</v>
      </c>
      <c r="I2626">
        <f t="shared" ref="I2626:I2689" si="208">IF(C2626="EXCLUSAO  ANOT.INADIMPLENCIA",1,0)</f>
        <v>0</v>
      </c>
      <c r="J2626">
        <f t="shared" ref="J2626:J2689" si="209">IF(C2626="INCLUSAO  ANOT.INADIMPLENCIA",1,0)</f>
        <v>0</v>
      </c>
    </row>
    <row r="2627" spans="1:10" x14ac:dyDescent="0.25">
      <c r="A2627" t="s">
        <v>423</v>
      </c>
      <c r="B2627" t="s">
        <v>172</v>
      </c>
      <c r="C2627" t="s">
        <v>72</v>
      </c>
      <c r="D2627" s="6">
        <v>45811</v>
      </c>
      <c r="E2627" t="str">
        <f>VLOOKUP(B2627,'PROCV GERENTES BD'!A:B,2,0)</f>
        <v>FITZ</v>
      </c>
      <c r="F2627" s="4" t="str">
        <f t="shared" si="205"/>
        <v>2025-06-1</v>
      </c>
      <c r="G2627" t="str">
        <f t="shared" si="206"/>
        <v>FITZ</v>
      </c>
      <c r="H2627" t="str">
        <f t="shared" si="207"/>
        <v>STA SERVICOS LTDA</v>
      </c>
      <c r="I2627">
        <f t="shared" si="208"/>
        <v>1</v>
      </c>
      <c r="J2627">
        <f t="shared" si="209"/>
        <v>0</v>
      </c>
    </row>
    <row r="2628" spans="1:10" x14ac:dyDescent="0.25">
      <c r="A2628" t="s">
        <v>325</v>
      </c>
      <c r="B2628" t="s">
        <v>210</v>
      </c>
      <c r="C2628" t="s">
        <v>56</v>
      </c>
      <c r="D2628" s="6">
        <v>45811</v>
      </c>
      <c r="E2628" t="str">
        <f>VLOOKUP(B2628,'PROCV GERENTES BD'!A:B,2,0)</f>
        <v>JOSE ROBERTO</v>
      </c>
      <c r="F2628" s="4" t="str">
        <f t="shared" si="205"/>
        <v>2025-06-1</v>
      </c>
      <c r="G2628" t="str">
        <f t="shared" si="206"/>
        <v>JOSE ROBERTO</v>
      </c>
      <c r="H2628" t="str">
        <f t="shared" si="207"/>
        <v>FUNDACAO DE ENSINO E PESQUISA DO SUL DE MINAS FEPE</v>
      </c>
      <c r="I2628">
        <f t="shared" si="208"/>
        <v>0</v>
      </c>
      <c r="J2628">
        <f t="shared" si="209"/>
        <v>1</v>
      </c>
    </row>
    <row r="2629" spans="1:10" x14ac:dyDescent="0.25">
      <c r="A2629" t="s">
        <v>333</v>
      </c>
      <c r="B2629" t="s">
        <v>129</v>
      </c>
      <c r="C2629" t="s">
        <v>56</v>
      </c>
      <c r="D2629" s="6">
        <v>45811</v>
      </c>
      <c r="E2629" t="str">
        <f>VLOOKUP(B2629,'PROCV GERENTES BD'!A:B,2,0)</f>
        <v xml:space="preserve">ROGERIO </v>
      </c>
      <c r="F2629" s="4" t="str">
        <f t="shared" si="205"/>
        <v>2025-06-1</v>
      </c>
      <c r="G2629" t="str">
        <f t="shared" si="206"/>
        <v xml:space="preserve">ROGERIO </v>
      </c>
      <c r="H2629" t="str">
        <f t="shared" si="207"/>
        <v>BIBE PRODUTOS INFANTIS LTDA</v>
      </c>
      <c r="I2629">
        <f t="shared" si="208"/>
        <v>0</v>
      </c>
      <c r="J2629">
        <f t="shared" si="209"/>
        <v>1</v>
      </c>
    </row>
    <row r="2630" spans="1:10" x14ac:dyDescent="0.25">
      <c r="A2630" t="s">
        <v>318</v>
      </c>
      <c r="B2630" t="s">
        <v>87</v>
      </c>
      <c r="C2630" t="s">
        <v>72</v>
      </c>
      <c r="D2630" s="6">
        <v>45812</v>
      </c>
      <c r="E2630" t="str">
        <f>VLOOKUP(B2630,'PROCV GERENTES BD'!A:B,2,0)</f>
        <v>CELIO PIMENTA</v>
      </c>
      <c r="F2630" s="4" t="str">
        <f t="shared" ref="F2630:F2653" si="210">YEAR(D2630)&amp;"-"&amp;TEXT(MONTH(D2630),"00")&amp;"-"&amp;IF(DAY(D2630)&lt;=15,"1",IF(DAY(D2630)&gt;15,"2",""))</f>
        <v>2025-06-1</v>
      </c>
      <c r="G2630" t="str">
        <f t="shared" ref="G2630:G2653" si="211">E2630</f>
        <v>CELIO PIMENTA</v>
      </c>
      <c r="H2630" t="str">
        <f t="shared" ref="H2630:H2653" si="212">B2630</f>
        <v>MBIOLOG DIAGNOSTICOS LTDA</v>
      </c>
      <c r="I2630">
        <f t="shared" si="208"/>
        <v>1</v>
      </c>
      <c r="J2630">
        <f t="shared" si="209"/>
        <v>0</v>
      </c>
    </row>
    <row r="2631" spans="1:10" x14ac:dyDescent="0.25">
      <c r="A2631" t="s">
        <v>322</v>
      </c>
      <c r="B2631" t="s">
        <v>277</v>
      </c>
      <c r="C2631" t="s">
        <v>56</v>
      </c>
      <c r="D2631" s="6">
        <v>45812</v>
      </c>
      <c r="E2631" t="str">
        <f>VLOOKUP(B2631,'PROCV GERENTES BD'!A:B,2,0)</f>
        <v>SEM GERENTE</v>
      </c>
      <c r="F2631" s="4" t="str">
        <f t="shared" si="210"/>
        <v>2025-06-1</v>
      </c>
      <c r="G2631" t="str">
        <f t="shared" si="211"/>
        <v>SEM GERENTE</v>
      </c>
      <c r="H2631" t="str">
        <f t="shared" si="212"/>
        <v>FAC INDUSTRIA E SERVICOS LTDA ME</v>
      </c>
      <c r="I2631">
        <f t="shared" si="208"/>
        <v>0</v>
      </c>
      <c r="J2631">
        <f t="shared" si="209"/>
        <v>1</v>
      </c>
    </row>
    <row r="2632" spans="1:10" x14ac:dyDescent="0.25">
      <c r="A2632" t="s">
        <v>378</v>
      </c>
      <c r="B2632" t="s">
        <v>121</v>
      </c>
      <c r="C2632" t="s">
        <v>72</v>
      </c>
      <c r="D2632" s="6">
        <v>45812</v>
      </c>
      <c r="E2632" t="str">
        <f>VLOOKUP(B2632,'PROCV GERENTES BD'!A:B,2,0)</f>
        <v>POENATELA</v>
      </c>
      <c r="F2632" s="4" t="str">
        <f t="shared" si="210"/>
        <v>2025-06-1</v>
      </c>
      <c r="G2632" t="str">
        <f t="shared" si="211"/>
        <v>POENATELA</v>
      </c>
      <c r="H2632" t="str">
        <f t="shared" si="212"/>
        <v>COOPERATIVA TRANSP AUTON CARGAS PASSAG SERVICOS LO</v>
      </c>
      <c r="I2632">
        <f t="shared" si="208"/>
        <v>1</v>
      </c>
      <c r="J2632">
        <f t="shared" si="209"/>
        <v>0</v>
      </c>
    </row>
    <row r="2633" spans="1:10" x14ac:dyDescent="0.25">
      <c r="A2633" t="s">
        <v>78</v>
      </c>
      <c r="B2633" t="s">
        <v>79</v>
      </c>
      <c r="C2633" t="s">
        <v>56</v>
      </c>
      <c r="D2633" s="6">
        <v>45812</v>
      </c>
      <c r="E2633" t="str">
        <f>VLOOKUP(B2633,'PROCV GERENTES BD'!A:B,2,0)</f>
        <v>NOELI SALETE</v>
      </c>
      <c r="F2633" s="4" t="str">
        <f t="shared" si="210"/>
        <v>2025-06-1</v>
      </c>
      <c r="G2633" t="str">
        <f t="shared" si="211"/>
        <v>NOELI SALETE</v>
      </c>
      <c r="H2633" t="str">
        <f t="shared" si="212"/>
        <v>SMARTCENTER SOLUCOES INTELIGENTES LTDA ME</v>
      </c>
      <c r="I2633">
        <f t="shared" si="208"/>
        <v>0</v>
      </c>
      <c r="J2633">
        <f t="shared" si="209"/>
        <v>1</v>
      </c>
    </row>
    <row r="2634" spans="1:10" x14ac:dyDescent="0.25">
      <c r="A2634" t="s">
        <v>377</v>
      </c>
      <c r="B2634" t="s">
        <v>120</v>
      </c>
      <c r="C2634" t="s">
        <v>56</v>
      </c>
      <c r="D2634" s="6">
        <v>45812</v>
      </c>
      <c r="E2634" t="str">
        <f>VLOOKUP(B2634,'PROCV GERENTES BD'!A:B,2,0)</f>
        <v xml:space="preserve">MARCUS VINICIUS </v>
      </c>
      <c r="F2634" s="4" t="str">
        <f t="shared" si="210"/>
        <v>2025-06-1</v>
      </c>
      <c r="G2634" t="str">
        <f t="shared" si="211"/>
        <v xml:space="preserve">MARCUS VINICIUS </v>
      </c>
      <c r="H2634" t="str">
        <f t="shared" si="212"/>
        <v>ISOBASE POLIESTIRENO LTDA EPP</v>
      </c>
      <c r="I2634">
        <f t="shared" si="208"/>
        <v>0</v>
      </c>
      <c r="J2634">
        <f t="shared" si="209"/>
        <v>1</v>
      </c>
    </row>
    <row r="2635" spans="1:10" x14ac:dyDescent="0.25">
      <c r="A2635" t="s">
        <v>73</v>
      </c>
      <c r="B2635" t="s">
        <v>74</v>
      </c>
      <c r="C2635" t="s">
        <v>56</v>
      </c>
      <c r="D2635" s="6">
        <v>45812</v>
      </c>
      <c r="E2635" t="str">
        <f>VLOOKUP(B2635,'PROCV GERENTES BD'!A:B,2,0)</f>
        <v xml:space="preserve">ROGERIO </v>
      </c>
      <c r="F2635" s="4" t="str">
        <f t="shared" si="210"/>
        <v>2025-06-1</v>
      </c>
      <c r="G2635" t="str">
        <f t="shared" si="211"/>
        <v xml:space="preserve">ROGERIO </v>
      </c>
      <c r="H2635" t="str">
        <f t="shared" si="212"/>
        <v>DIOTTONI INDUSTRIA E COMERCIO DE ALIMENTOS LTDA ME</v>
      </c>
      <c r="I2635">
        <f t="shared" si="208"/>
        <v>0</v>
      </c>
      <c r="J2635">
        <f t="shared" si="209"/>
        <v>1</v>
      </c>
    </row>
    <row r="2636" spans="1:10" x14ac:dyDescent="0.25">
      <c r="A2636" t="s">
        <v>70</v>
      </c>
      <c r="B2636" t="s">
        <v>71</v>
      </c>
      <c r="C2636" t="s">
        <v>59</v>
      </c>
      <c r="D2636" s="6">
        <v>45812</v>
      </c>
      <c r="E2636" t="str">
        <f>VLOOKUP(B2636,'PROCV GERENTES BD'!A:B,2,0)</f>
        <v>SEM GERENTE</v>
      </c>
      <c r="F2636" s="4" t="str">
        <f t="shared" si="210"/>
        <v>2025-06-1</v>
      </c>
      <c r="G2636" t="str">
        <f t="shared" si="211"/>
        <v>SEM GERENTE</v>
      </c>
      <c r="H2636" t="str">
        <f t="shared" si="212"/>
        <v>SOCIAL S/A</v>
      </c>
      <c r="I2636">
        <f t="shared" si="208"/>
        <v>0</v>
      </c>
      <c r="J2636">
        <f t="shared" si="209"/>
        <v>0</v>
      </c>
    </row>
    <row r="2637" spans="1:10" x14ac:dyDescent="0.25">
      <c r="A2637" t="s">
        <v>428</v>
      </c>
      <c r="B2637" t="s">
        <v>177</v>
      </c>
      <c r="C2637" t="s">
        <v>56</v>
      </c>
      <c r="D2637" s="6">
        <v>45812</v>
      </c>
      <c r="E2637" t="str">
        <f>VLOOKUP(B2637,'PROCV GERENTES BD'!A:B,2,0)</f>
        <v>POENATELA</v>
      </c>
      <c r="F2637" s="4" t="str">
        <f t="shared" si="210"/>
        <v>2025-06-1</v>
      </c>
      <c r="G2637" t="str">
        <f t="shared" si="211"/>
        <v>POENATELA</v>
      </c>
      <c r="H2637" t="str">
        <f t="shared" si="212"/>
        <v>SAVIXX COMERCIO INTERNACIONAL S/A</v>
      </c>
      <c r="I2637">
        <f t="shared" si="208"/>
        <v>0</v>
      </c>
      <c r="J2637">
        <f t="shared" si="209"/>
        <v>1</v>
      </c>
    </row>
    <row r="2638" spans="1:10" x14ac:dyDescent="0.25">
      <c r="A2638" t="s">
        <v>68</v>
      </c>
      <c r="B2638" t="s">
        <v>69</v>
      </c>
      <c r="C2638" t="s">
        <v>56</v>
      </c>
      <c r="D2638" s="6">
        <v>45812</v>
      </c>
      <c r="E2638" t="str">
        <f>VLOOKUP(B2638,'PROCV GERENTES BD'!A:B,2,0)</f>
        <v>FITZ</v>
      </c>
      <c r="F2638" s="4" t="str">
        <f t="shared" si="210"/>
        <v>2025-06-1</v>
      </c>
      <c r="G2638" t="str">
        <f t="shared" si="211"/>
        <v>FITZ</v>
      </c>
      <c r="H2638" t="str">
        <f t="shared" si="212"/>
        <v>MAPP COM IMPORTACAO EXPORTACAO IND PRODUTOS ALIMEN</v>
      </c>
      <c r="I2638">
        <f t="shared" si="208"/>
        <v>0</v>
      </c>
      <c r="J2638">
        <f t="shared" si="209"/>
        <v>1</v>
      </c>
    </row>
    <row r="2639" spans="1:10" x14ac:dyDescent="0.25">
      <c r="A2639" t="s">
        <v>66</v>
      </c>
      <c r="B2639" t="s">
        <v>67</v>
      </c>
      <c r="C2639" t="s">
        <v>56</v>
      </c>
      <c r="D2639" s="6">
        <v>45812</v>
      </c>
      <c r="E2639" t="str">
        <f>VLOOKUP(B2639,'PROCV GERENTES BD'!A:B,2,0)</f>
        <v xml:space="preserve">MARCUS VINICIUS </v>
      </c>
      <c r="F2639" s="4" t="str">
        <f t="shared" si="210"/>
        <v>2025-06-1</v>
      </c>
      <c r="G2639" t="str">
        <f t="shared" si="211"/>
        <v xml:space="preserve">MARCUS VINICIUS </v>
      </c>
      <c r="H2639" t="str">
        <f t="shared" si="212"/>
        <v>COM IND DE CEREAIS E TRANSPORTES MACIEL LTDA</v>
      </c>
      <c r="I2639">
        <f t="shared" si="208"/>
        <v>0</v>
      </c>
      <c r="J2639">
        <f t="shared" si="209"/>
        <v>1</v>
      </c>
    </row>
    <row r="2640" spans="1:10" x14ac:dyDescent="0.25">
      <c r="A2640" t="s">
        <v>64</v>
      </c>
      <c r="B2640" t="s">
        <v>65</v>
      </c>
      <c r="C2640" t="s">
        <v>72</v>
      </c>
      <c r="D2640" s="6">
        <v>45812</v>
      </c>
      <c r="E2640" t="str">
        <f>VLOOKUP(B2640,'PROCV GERENTES BD'!A:B,2,0)</f>
        <v>ADMINISTRAÇÃO</v>
      </c>
      <c r="F2640" s="4" t="str">
        <f t="shared" si="210"/>
        <v>2025-06-1</v>
      </c>
      <c r="G2640" t="str">
        <f t="shared" si="211"/>
        <v>ADMINISTRAÇÃO</v>
      </c>
      <c r="H2640" t="str">
        <f t="shared" si="212"/>
        <v>BIOTECH LOGISTICA LTDA</v>
      </c>
      <c r="I2640">
        <f t="shared" si="208"/>
        <v>1</v>
      </c>
      <c r="J2640">
        <f t="shared" si="209"/>
        <v>0</v>
      </c>
    </row>
    <row r="2641" spans="1:10" x14ac:dyDescent="0.25">
      <c r="A2641" t="s">
        <v>521</v>
      </c>
      <c r="B2641" t="s">
        <v>282</v>
      </c>
      <c r="C2641" t="s">
        <v>56</v>
      </c>
      <c r="D2641" s="6">
        <v>45812</v>
      </c>
      <c r="E2641" t="str">
        <f>VLOOKUP(B2641,'PROCV GERENTES BD'!A:B,2,0)</f>
        <v>ALISSON DE SOUZA LIMA</v>
      </c>
      <c r="F2641" s="4" t="str">
        <f t="shared" si="210"/>
        <v>2025-06-1</v>
      </c>
      <c r="G2641" t="str">
        <f t="shared" si="211"/>
        <v>ALISSON DE SOUZA LIMA</v>
      </c>
      <c r="H2641" t="str">
        <f t="shared" si="212"/>
        <v>COMERCIAL JLX DISTRIBUIDORA LTDA ME</v>
      </c>
      <c r="I2641">
        <f t="shared" si="208"/>
        <v>0</v>
      </c>
      <c r="J2641">
        <f t="shared" si="209"/>
        <v>1</v>
      </c>
    </row>
    <row r="2642" spans="1:10" x14ac:dyDescent="0.25">
      <c r="A2642" t="s">
        <v>326</v>
      </c>
      <c r="B2642" t="s">
        <v>86</v>
      </c>
      <c r="C2642" t="s">
        <v>56</v>
      </c>
      <c r="D2642" s="6">
        <v>45812</v>
      </c>
      <c r="E2642" t="str">
        <f>VLOOKUP(B2642,'PROCV GERENTES BD'!A:B,2,0)</f>
        <v>CELIO PIMENTA</v>
      </c>
      <c r="F2642" s="4" t="str">
        <f t="shared" si="210"/>
        <v>2025-06-1</v>
      </c>
      <c r="G2642" t="str">
        <f t="shared" si="211"/>
        <v>CELIO PIMENTA</v>
      </c>
      <c r="H2642" t="str">
        <f t="shared" si="212"/>
        <v>IMPORTEXTIL COMERCIO DE TECIDOS LTDA</v>
      </c>
      <c r="I2642">
        <f t="shared" si="208"/>
        <v>0</v>
      </c>
      <c r="J2642">
        <f t="shared" si="209"/>
        <v>1</v>
      </c>
    </row>
    <row r="2643" spans="1:10" x14ac:dyDescent="0.25">
      <c r="A2643" t="s">
        <v>62</v>
      </c>
      <c r="B2643" t="s">
        <v>63</v>
      </c>
      <c r="C2643" t="s">
        <v>72</v>
      </c>
      <c r="D2643" s="6">
        <v>45812</v>
      </c>
      <c r="E2643" t="str">
        <f>VLOOKUP(B2643,'PROCV GERENTES BD'!A:B,2,0)</f>
        <v xml:space="preserve">ROGERIO </v>
      </c>
      <c r="F2643" s="4" t="str">
        <f t="shared" si="210"/>
        <v>2025-06-1</v>
      </c>
      <c r="G2643" t="str">
        <f t="shared" si="211"/>
        <v xml:space="preserve">ROGERIO </v>
      </c>
      <c r="H2643" t="str">
        <f t="shared" si="212"/>
        <v>RODOVIEIRA TRANSPORTE LTDA</v>
      </c>
      <c r="I2643">
        <f t="shared" si="208"/>
        <v>1</v>
      </c>
      <c r="J2643">
        <f t="shared" si="209"/>
        <v>0</v>
      </c>
    </row>
    <row r="2644" spans="1:10" x14ac:dyDescent="0.25">
      <c r="A2644" t="s">
        <v>541</v>
      </c>
      <c r="B2644" t="s">
        <v>308</v>
      </c>
      <c r="C2644" t="s">
        <v>72</v>
      </c>
      <c r="D2644" s="6">
        <v>45812</v>
      </c>
      <c r="E2644" t="str">
        <f>VLOOKUP(B2644,'PROCV GERENTES BD'!A:B,2,0)</f>
        <v xml:space="preserve">MARCUS VINICIUS </v>
      </c>
      <c r="F2644" s="4" t="str">
        <f t="shared" si="210"/>
        <v>2025-06-1</v>
      </c>
      <c r="G2644" t="str">
        <f t="shared" si="211"/>
        <v xml:space="preserve">MARCUS VINICIUS </v>
      </c>
      <c r="H2644" t="str">
        <f t="shared" si="212"/>
        <v>LINDINALDO ANISIO DA SILVA ME</v>
      </c>
      <c r="I2644">
        <f t="shared" si="208"/>
        <v>1</v>
      </c>
      <c r="J2644">
        <f t="shared" si="209"/>
        <v>0</v>
      </c>
    </row>
    <row r="2645" spans="1:10" x14ac:dyDescent="0.25">
      <c r="A2645" t="s">
        <v>60</v>
      </c>
      <c r="B2645" t="s">
        <v>61</v>
      </c>
      <c r="C2645" t="s">
        <v>56</v>
      </c>
      <c r="D2645" s="6">
        <v>45812</v>
      </c>
      <c r="E2645" t="str">
        <f>VLOOKUP(B2645,'PROCV GERENTES BD'!A:B,2,0)</f>
        <v>CELIO PIMENTA</v>
      </c>
      <c r="F2645" s="4" t="str">
        <f t="shared" si="210"/>
        <v>2025-06-1</v>
      </c>
      <c r="G2645" t="str">
        <f t="shared" si="211"/>
        <v>CELIO PIMENTA</v>
      </c>
      <c r="H2645" t="str">
        <f t="shared" si="212"/>
        <v>WJ CALDEIRARIA INDUSTRIA E COMERCIO LTDA ME</v>
      </c>
      <c r="I2645">
        <f t="shared" si="208"/>
        <v>0</v>
      </c>
      <c r="J2645">
        <f t="shared" si="209"/>
        <v>1</v>
      </c>
    </row>
    <row r="2646" spans="1:10" x14ac:dyDescent="0.25">
      <c r="A2646" t="s">
        <v>329</v>
      </c>
      <c r="B2646" t="s">
        <v>301</v>
      </c>
      <c r="C2646" t="s">
        <v>56</v>
      </c>
      <c r="D2646" s="6">
        <v>45812</v>
      </c>
      <c r="E2646" t="str">
        <f>VLOOKUP(B2646,'PROCV GERENTES BD'!A:B,2,0)</f>
        <v>CAIO</v>
      </c>
      <c r="F2646" s="4" t="str">
        <f t="shared" si="210"/>
        <v>2025-06-1</v>
      </c>
      <c r="G2646" t="str">
        <f t="shared" si="211"/>
        <v>CAIO</v>
      </c>
      <c r="H2646" t="str">
        <f t="shared" si="212"/>
        <v>LAF COMERCIAL LTDA ME</v>
      </c>
      <c r="I2646">
        <f t="shared" si="208"/>
        <v>0</v>
      </c>
      <c r="J2646">
        <f t="shared" si="209"/>
        <v>1</v>
      </c>
    </row>
    <row r="2647" spans="1:10" x14ac:dyDescent="0.25">
      <c r="A2647" t="s">
        <v>395</v>
      </c>
      <c r="B2647" t="s">
        <v>141</v>
      </c>
      <c r="C2647" t="s">
        <v>56</v>
      </c>
      <c r="D2647" s="6">
        <v>45812</v>
      </c>
      <c r="E2647" t="str">
        <f>VLOOKUP(B2647,'PROCV GERENTES BD'!A:B,2,0)</f>
        <v>RAFAEL PARISE</v>
      </c>
      <c r="F2647" s="4" t="str">
        <f t="shared" si="210"/>
        <v>2025-06-1</v>
      </c>
      <c r="G2647" t="str">
        <f t="shared" si="211"/>
        <v>RAFAEL PARISE</v>
      </c>
      <c r="H2647" t="str">
        <f t="shared" si="212"/>
        <v>MAIS DISTRIBUIDORA LTDA</v>
      </c>
      <c r="I2647">
        <f t="shared" si="208"/>
        <v>0</v>
      </c>
      <c r="J2647">
        <f t="shared" si="209"/>
        <v>1</v>
      </c>
    </row>
    <row r="2648" spans="1:10" x14ac:dyDescent="0.25">
      <c r="A2648" t="s">
        <v>57</v>
      </c>
      <c r="B2648" t="s">
        <v>58</v>
      </c>
      <c r="C2648" t="s">
        <v>59</v>
      </c>
      <c r="D2648" s="6">
        <v>45812</v>
      </c>
      <c r="E2648" t="str">
        <f>VLOOKUP(B2648,'PROCV GERENTES BD'!A:B,2,0)</f>
        <v>RAFAEL PARISE</v>
      </c>
      <c r="F2648" s="4" t="str">
        <f t="shared" si="210"/>
        <v>2025-06-1</v>
      </c>
      <c r="G2648" t="str">
        <f t="shared" si="211"/>
        <v>RAFAEL PARISE</v>
      </c>
      <c r="H2648" t="str">
        <f t="shared" si="212"/>
        <v>TDR TRANSPORTES LOGISTICA LTDA</v>
      </c>
      <c r="I2648">
        <f t="shared" si="208"/>
        <v>0</v>
      </c>
      <c r="J2648">
        <f t="shared" si="209"/>
        <v>0</v>
      </c>
    </row>
    <row r="2649" spans="1:10" x14ac:dyDescent="0.25">
      <c r="A2649" t="s">
        <v>330</v>
      </c>
      <c r="B2649" t="s">
        <v>116</v>
      </c>
      <c r="C2649" t="s">
        <v>72</v>
      </c>
      <c r="D2649" s="6">
        <v>45812</v>
      </c>
      <c r="E2649" t="str">
        <f>VLOOKUP(B2649,'PROCV GERENTES BD'!A:B,2,0)</f>
        <v>FITZ</v>
      </c>
      <c r="F2649" s="4" t="str">
        <f t="shared" si="210"/>
        <v>2025-06-1</v>
      </c>
      <c r="G2649" t="str">
        <f t="shared" si="211"/>
        <v>FITZ</v>
      </c>
      <c r="H2649" t="str">
        <f t="shared" si="212"/>
        <v>SIAP COMERCIO DE PRODUTOS AGROPECUARIOS LTDA</v>
      </c>
      <c r="I2649">
        <f t="shared" si="208"/>
        <v>1</v>
      </c>
      <c r="J2649">
        <f t="shared" si="209"/>
        <v>0</v>
      </c>
    </row>
    <row r="2650" spans="1:10" x14ac:dyDescent="0.25">
      <c r="A2650" t="s">
        <v>331</v>
      </c>
      <c r="B2650" t="s">
        <v>126</v>
      </c>
      <c r="C2650" t="s">
        <v>56</v>
      </c>
      <c r="D2650" s="6">
        <v>45812</v>
      </c>
      <c r="E2650" t="str">
        <f>VLOOKUP(B2650,'PROCV GERENTES BD'!A:B,2,0)</f>
        <v>FITZ</v>
      </c>
      <c r="F2650" s="4" t="str">
        <f t="shared" si="210"/>
        <v>2025-06-1</v>
      </c>
      <c r="G2650" t="str">
        <f t="shared" si="211"/>
        <v>FITZ</v>
      </c>
      <c r="H2650" t="str">
        <f t="shared" si="212"/>
        <v>TRANSHENRY TRANSPORTES LTDA</v>
      </c>
      <c r="I2650">
        <f t="shared" si="208"/>
        <v>0</v>
      </c>
      <c r="J2650">
        <f t="shared" si="209"/>
        <v>1</v>
      </c>
    </row>
    <row r="2651" spans="1:10" x14ac:dyDescent="0.25">
      <c r="A2651" t="s">
        <v>531</v>
      </c>
      <c r="B2651" t="s">
        <v>295</v>
      </c>
      <c r="C2651" t="s">
        <v>72</v>
      </c>
      <c r="D2651" s="6">
        <v>45812</v>
      </c>
      <c r="E2651" t="str">
        <f>VLOOKUP(B2651,'PROCV GERENTES BD'!A:B,2,0)</f>
        <v>ADMINISTRAÇÃO</v>
      </c>
      <c r="F2651" s="4" t="str">
        <f t="shared" si="210"/>
        <v>2025-06-1</v>
      </c>
      <c r="G2651" t="str">
        <f t="shared" si="211"/>
        <v>ADMINISTRAÇÃO</v>
      </c>
      <c r="H2651" t="str">
        <f t="shared" si="212"/>
        <v>REFRACONT BRASIL LTDA</v>
      </c>
      <c r="I2651">
        <f t="shared" si="208"/>
        <v>1</v>
      </c>
      <c r="J2651">
        <f t="shared" si="209"/>
        <v>0</v>
      </c>
    </row>
    <row r="2652" spans="1:10" x14ac:dyDescent="0.25">
      <c r="A2652" t="s">
        <v>321</v>
      </c>
      <c r="B2652" t="s">
        <v>253</v>
      </c>
      <c r="C2652" t="s">
        <v>72</v>
      </c>
      <c r="D2652" s="6">
        <v>45812</v>
      </c>
      <c r="E2652" t="str">
        <f>VLOOKUP(B2652,'PROCV GERENTES BD'!A:B,2,0)</f>
        <v>THAYNA/COMERCIAL</v>
      </c>
      <c r="F2652" s="4" t="str">
        <f t="shared" si="210"/>
        <v>2025-06-1</v>
      </c>
      <c r="G2652" t="str">
        <f t="shared" si="211"/>
        <v>THAYNA/COMERCIAL</v>
      </c>
      <c r="H2652" t="str">
        <f t="shared" si="212"/>
        <v>MUTCD CENTRO DE DISTRIBUICAO DE IND FABRICANTE DE</v>
      </c>
      <c r="I2652">
        <f t="shared" si="208"/>
        <v>1</v>
      </c>
      <c r="J2652">
        <f t="shared" si="209"/>
        <v>0</v>
      </c>
    </row>
    <row r="2653" spans="1:10" x14ac:dyDescent="0.25">
      <c r="A2653" t="s">
        <v>332</v>
      </c>
      <c r="B2653" t="s">
        <v>145</v>
      </c>
      <c r="C2653" t="s">
        <v>56</v>
      </c>
      <c r="D2653" s="6">
        <v>45812</v>
      </c>
      <c r="E2653" t="str">
        <f>VLOOKUP(B2653,'PROCV GERENTES BD'!A:B,2,0)</f>
        <v>SEM GERENTE</v>
      </c>
      <c r="F2653" s="4" t="str">
        <f t="shared" si="210"/>
        <v>2025-06-1</v>
      </c>
      <c r="G2653" t="str">
        <f t="shared" si="211"/>
        <v>SEM GERENTE</v>
      </c>
      <c r="H2653" t="str">
        <f t="shared" si="212"/>
        <v>ALLIAGE S A INDUSTRIAS MEDICO ODONTOLOGICA</v>
      </c>
      <c r="I2653">
        <f t="shared" si="208"/>
        <v>0</v>
      </c>
      <c r="J2653">
        <f t="shared" si="209"/>
        <v>1</v>
      </c>
    </row>
    <row r="2654" spans="1:10" x14ac:dyDescent="0.25">
      <c r="A2654" t="s">
        <v>510</v>
      </c>
      <c r="B2654" t="s">
        <v>269</v>
      </c>
      <c r="C2654" t="s">
        <v>72</v>
      </c>
      <c r="D2654" s="6">
        <v>45813</v>
      </c>
      <c r="E2654" t="str">
        <f>VLOOKUP(B2654,'PROCV GERENTES BD'!A:B,2,0)</f>
        <v>ANTECIPA</v>
      </c>
      <c r="F2654" s="4" t="str">
        <f t="shared" ref="F2654:F2666" si="213">YEAR(D2654)&amp;"-"&amp;TEXT(MONTH(D2654),"00")&amp;"-"&amp;IF(DAY(D2654)&lt;=15,"1",IF(DAY(D2654)&gt;15,"2",""))</f>
        <v>2025-06-1</v>
      </c>
      <c r="G2654" t="str">
        <f t="shared" ref="G2654:G2666" si="214">E2654</f>
        <v>ANTECIPA</v>
      </c>
      <c r="H2654" t="str">
        <f t="shared" ref="H2654:H2666" si="215">B2654</f>
        <v>CONSTRUENGE ENGENHARIA E GERENCIAMENTO LTDA</v>
      </c>
      <c r="I2654">
        <f t="shared" si="208"/>
        <v>1</v>
      </c>
      <c r="J2654">
        <f t="shared" si="209"/>
        <v>0</v>
      </c>
    </row>
    <row r="2655" spans="1:10" x14ac:dyDescent="0.25">
      <c r="A2655" t="s">
        <v>331</v>
      </c>
      <c r="B2655" t="s">
        <v>126</v>
      </c>
      <c r="C2655" t="s">
        <v>72</v>
      </c>
      <c r="D2655" s="6">
        <v>45813</v>
      </c>
      <c r="E2655" t="str">
        <f>VLOOKUP(B2655,'PROCV GERENTES BD'!A:B,2,0)</f>
        <v>FITZ</v>
      </c>
      <c r="F2655" s="4" t="str">
        <f t="shared" si="213"/>
        <v>2025-06-1</v>
      </c>
      <c r="G2655" t="str">
        <f t="shared" si="214"/>
        <v>FITZ</v>
      </c>
      <c r="H2655" t="str">
        <f t="shared" si="215"/>
        <v>TRANSHENRY TRANSPORTES LTDA</v>
      </c>
      <c r="I2655">
        <f t="shared" si="208"/>
        <v>1</v>
      </c>
      <c r="J2655">
        <f t="shared" si="209"/>
        <v>0</v>
      </c>
    </row>
    <row r="2656" spans="1:10" x14ac:dyDescent="0.25">
      <c r="A2656" t="s">
        <v>330</v>
      </c>
      <c r="B2656" t="s">
        <v>116</v>
      </c>
      <c r="C2656" t="s">
        <v>72</v>
      </c>
      <c r="D2656" s="6">
        <v>45813</v>
      </c>
      <c r="E2656" t="str">
        <f>VLOOKUP(B2656,'PROCV GERENTES BD'!A:B,2,0)</f>
        <v>FITZ</v>
      </c>
      <c r="F2656" s="4" t="str">
        <f t="shared" si="213"/>
        <v>2025-06-1</v>
      </c>
      <c r="G2656" t="str">
        <f t="shared" si="214"/>
        <v>FITZ</v>
      </c>
      <c r="H2656" t="str">
        <f t="shared" si="215"/>
        <v>SIAP COMERCIO DE PRODUTOS AGROPECUARIOS LTDA</v>
      </c>
      <c r="I2656">
        <f t="shared" si="208"/>
        <v>1</v>
      </c>
      <c r="J2656">
        <f t="shared" si="209"/>
        <v>0</v>
      </c>
    </row>
    <row r="2657" spans="1:10" x14ac:dyDescent="0.25">
      <c r="A2657" t="s">
        <v>57</v>
      </c>
      <c r="B2657" t="s">
        <v>58</v>
      </c>
      <c r="C2657" t="s">
        <v>72</v>
      </c>
      <c r="D2657" s="6">
        <v>45813</v>
      </c>
      <c r="E2657" t="str">
        <f>VLOOKUP(B2657,'PROCV GERENTES BD'!A:B,2,0)</f>
        <v>RAFAEL PARISE</v>
      </c>
      <c r="F2657" s="4" t="str">
        <f t="shared" si="213"/>
        <v>2025-06-1</v>
      </c>
      <c r="G2657" t="str">
        <f t="shared" si="214"/>
        <v>RAFAEL PARISE</v>
      </c>
      <c r="H2657" t="str">
        <f t="shared" si="215"/>
        <v>TDR TRANSPORTES LOGISTICA LTDA</v>
      </c>
      <c r="I2657">
        <f t="shared" si="208"/>
        <v>1</v>
      </c>
      <c r="J2657">
        <f t="shared" si="209"/>
        <v>0</v>
      </c>
    </row>
    <row r="2658" spans="1:10" x14ac:dyDescent="0.25">
      <c r="A2658" t="s">
        <v>395</v>
      </c>
      <c r="B2658" t="s">
        <v>141</v>
      </c>
      <c r="C2658" t="s">
        <v>59</v>
      </c>
      <c r="D2658" s="6">
        <v>45813</v>
      </c>
      <c r="E2658" t="str">
        <f>VLOOKUP(B2658,'PROCV GERENTES BD'!A:B,2,0)</f>
        <v>RAFAEL PARISE</v>
      </c>
      <c r="F2658" s="4" t="str">
        <f t="shared" si="213"/>
        <v>2025-06-1</v>
      </c>
      <c r="G2658" t="str">
        <f t="shared" si="214"/>
        <v>RAFAEL PARISE</v>
      </c>
      <c r="H2658" t="str">
        <f t="shared" si="215"/>
        <v>MAIS DISTRIBUIDORA LTDA</v>
      </c>
      <c r="I2658">
        <f t="shared" si="208"/>
        <v>0</v>
      </c>
      <c r="J2658">
        <f t="shared" si="209"/>
        <v>0</v>
      </c>
    </row>
    <row r="2659" spans="1:10" x14ac:dyDescent="0.25">
      <c r="A2659" t="s">
        <v>339</v>
      </c>
      <c r="B2659" t="s">
        <v>151</v>
      </c>
      <c r="C2659" t="s">
        <v>56</v>
      </c>
      <c r="D2659" s="6">
        <v>45813</v>
      </c>
      <c r="E2659" t="str">
        <f>VLOOKUP(B2659,'PROCV GERENTES BD'!A:B,2,0)</f>
        <v>ADMINISTRAÇÃO</v>
      </c>
      <c r="F2659" s="4" t="str">
        <f t="shared" si="213"/>
        <v>2025-06-1</v>
      </c>
      <c r="G2659" t="str">
        <f t="shared" si="214"/>
        <v>ADMINISTRAÇÃO</v>
      </c>
      <c r="H2659" t="str">
        <f t="shared" si="215"/>
        <v>BOM PASTOR PAPEIS LTDA EM RECUPERACAO JUDICIAL</v>
      </c>
      <c r="I2659">
        <f t="shared" si="208"/>
        <v>0</v>
      </c>
      <c r="J2659">
        <f t="shared" si="209"/>
        <v>1</v>
      </c>
    </row>
    <row r="2660" spans="1:10" x14ac:dyDescent="0.25">
      <c r="A2660" t="s">
        <v>62</v>
      </c>
      <c r="B2660" t="s">
        <v>63</v>
      </c>
      <c r="C2660" t="s">
        <v>59</v>
      </c>
      <c r="D2660" s="6">
        <v>45813</v>
      </c>
      <c r="E2660" t="str">
        <f>VLOOKUP(B2660,'PROCV GERENTES BD'!A:B,2,0)</f>
        <v xml:space="preserve">ROGERIO </v>
      </c>
      <c r="F2660" s="4" t="str">
        <f t="shared" si="213"/>
        <v>2025-06-1</v>
      </c>
      <c r="G2660" t="str">
        <f t="shared" si="214"/>
        <v xml:space="preserve">ROGERIO </v>
      </c>
      <c r="H2660" t="str">
        <f t="shared" si="215"/>
        <v>RODOVIEIRA TRANSPORTE LTDA</v>
      </c>
      <c r="I2660">
        <f t="shared" si="208"/>
        <v>0</v>
      </c>
      <c r="J2660">
        <f t="shared" si="209"/>
        <v>0</v>
      </c>
    </row>
    <row r="2661" spans="1:10" x14ac:dyDescent="0.25">
      <c r="A2661" t="s">
        <v>326</v>
      </c>
      <c r="B2661" t="s">
        <v>86</v>
      </c>
      <c r="C2661" t="s">
        <v>56</v>
      </c>
      <c r="D2661" s="6">
        <v>45813</v>
      </c>
      <c r="E2661" t="str">
        <f>VLOOKUP(B2661,'PROCV GERENTES BD'!A:B,2,0)</f>
        <v>CELIO PIMENTA</v>
      </c>
      <c r="F2661" s="4" t="str">
        <f t="shared" si="213"/>
        <v>2025-06-1</v>
      </c>
      <c r="G2661" t="str">
        <f t="shared" si="214"/>
        <v>CELIO PIMENTA</v>
      </c>
      <c r="H2661" t="str">
        <f t="shared" si="215"/>
        <v>IMPORTEXTIL COMERCIO DE TECIDOS LTDA</v>
      </c>
      <c r="I2661">
        <f t="shared" si="208"/>
        <v>0</v>
      </c>
      <c r="J2661">
        <f t="shared" si="209"/>
        <v>1</v>
      </c>
    </row>
    <row r="2662" spans="1:10" x14ac:dyDescent="0.25">
      <c r="A2662" t="s">
        <v>521</v>
      </c>
      <c r="B2662" t="s">
        <v>282</v>
      </c>
      <c r="C2662" t="s">
        <v>59</v>
      </c>
      <c r="D2662" s="6">
        <v>45813</v>
      </c>
      <c r="E2662" t="str">
        <f>VLOOKUP(B2662,'PROCV GERENTES BD'!A:B,2,0)</f>
        <v>ALISSON DE SOUZA LIMA</v>
      </c>
      <c r="F2662" s="4" t="str">
        <f t="shared" si="213"/>
        <v>2025-06-1</v>
      </c>
      <c r="G2662" t="str">
        <f t="shared" si="214"/>
        <v>ALISSON DE SOUZA LIMA</v>
      </c>
      <c r="H2662" t="str">
        <f t="shared" si="215"/>
        <v>COMERCIAL JLX DISTRIBUIDORA LTDA ME</v>
      </c>
      <c r="I2662">
        <f t="shared" si="208"/>
        <v>0</v>
      </c>
      <c r="J2662">
        <f t="shared" si="209"/>
        <v>0</v>
      </c>
    </row>
    <row r="2663" spans="1:10" x14ac:dyDescent="0.25">
      <c r="A2663" t="s">
        <v>325</v>
      </c>
      <c r="B2663" t="s">
        <v>210</v>
      </c>
      <c r="C2663" t="s">
        <v>72</v>
      </c>
      <c r="D2663" s="6">
        <v>45813</v>
      </c>
      <c r="E2663" t="str">
        <f>VLOOKUP(B2663,'PROCV GERENTES BD'!A:B,2,0)</f>
        <v>JOSE ROBERTO</v>
      </c>
      <c r="F2663" s="4" t="str">
        <f t="shared" si="213"/>
        <v>2025-06-1</v>
      </c>
      <c r="G2663" t="str">
        <f t="shared" si="214"/>
        <v>JOSE ROBERTO</v>
      </c>
      <c r="H2663" t="str">
        <f t="shared" si="215"/>
        <v>FUNDACAO DE ENSINO E PESQUISA DO SUL DE MINAS FEPE</v>
      </c>
      <c r="I2663">
        <f t="shared" si="208"/>
        <v>1</v>
      </c>
      <c r="J2663">
        <f t="shared" si="209"/>
        <v>0</v>
      </c>
    </row>
    <row r="2664" spans="1:10" x14ac:dyDescent="0.25">
      <c r="A2664" t="s">
        <v>66</v>
      </c>
      <c r="B2664" t="s">
        <v>67</v>
      </c>
      <c r="C2664" t="s">
        <v>56</v>
      </c>
      <c r="D2664" s="6">
        <v>45813</v>
      </c>
      <c r="E2664" t="str">
        <f>VLOOKUP(B2664,'PROCV GERENTES BD'!A:B,2,0)</f>
        <v xml:space="preserve">MARCUS VINICIUS </v>
      </c>
      <c r="F2664" s="4" t="str">
        <f t="shared" si="213"/>
        <v>2025-06-1</v>
      </c>
      <c r="G2664" t="str">
        <f t="shared" si="214"/>
        <v xml:space="preserve">MARCUS VINICIUS </v>
      </c>
      <c r="H2664" t="str">
        <f t="shared" si="215"/>
        <v>COM IND DE CEREAIS E TRANSPORTES MACIEL LTDA</v>
      </c>
      <c r="I2664">
        <f t="shared" si="208"/>
        <v>0</v>
      </c>
      <c r="J2664">
        <f t="shared" si="209"/>
        <v>1</v>
      </c>
    </row>
    <row r="2665" spans="1:10" x14ac:dyDescent="0.25">
      <c r="A2665" t="s">
        <v>73</v>
      </c>
      <c r="B2665" t="s">
        <v>74</v>
      </c>
      <c r="C2665" t="s">
        <v>59</v>
      </c>
      <c r="D2665" s="6">
        <v>45813</v>
      </c>
      <c r="E2665" t="str">
        <f>VLOOKUP(B2665,'PROCV GERENTES BD'!A:B,2,0)</f>
        <v xml:space="preserve">ROGERIO </v>
      </c>
      <c r="F2665" s="4" t="str">
        <f t="shared" si="213"/>
        <v>2025-06-1</v>
      </c>
      <c r="G2665" t="str">
        <f t="shared" si="214"/>
        <v xml:space="preserve">ROGERIO </v>
      </c>
      <c r="H2665" t="str">
        <f t="shared" si="215"/>
        <v>DIOTTONI INDUSTRIA E COMERCIO DE ALIMENTOS LTDA ME</v>
      </c>
      <c r="I2665">
        <f t="shared" si="208"/>
        <v>0</v>
      </c>
      <c r="J2665">
        <f t="shared" si="209"/>
        <v>0</v>
      </c>
    </row>
    <row r="2666" spans="1:10" x14ac:dyDescent="0.25">
      <c r="A2666" t="s">
        <v>321</v>
      </c>
      <c r="B2666" t="s">
        <v>253</v>
      </c>
      <c r="C2666" t="s">
        <v>72</v>
      </c>
      <c r="D2666" s="6">
        <v>45813</v>
      </c>
      <c r="E2666" t="str">
        <f>VLOOKUP(B2666,'PROCV GERENTES BD'!A:B,2,0)</f>
        <v>THAYNA/COMERCIAL</v>
      </c>
      <c r="F2666" s="4" t="str">
        <f t="shared" si="213"/>
        <v>2025-06-1</v>
      </c>
      <c r="G2666" t="str">
        <f t="shared" si="214"/>
        <v>THAYNA/COMERCIAL</v>
      </c>
      <c r="H2666" t="str">
        <f t="shared" si="215"/>
        <v>MUTCD CENTRO DE DISTRIBUICAO DE IND FABRICANTE DE</v>
      </c>
      <c r="I2666">
        <f t="shared" si="208"/>
        <v>1</v>
      </c>
      <c r="J2666">
        <f t="shared" si="209"/>
        <v>0</v>
      </c>
    </row>
    <row r="2667" spans="1:10" x14ac:dyDescent="0.25">
      <c r="A2667" t="s">
        <v>331</v>
      </c>
      <c r="B2667" t="s">
        <v>126</v>
      </c>
      <c r="C2667" t="s">
        <v>72</v>
      </c>
      <c r="D2667" s="6">
        <v>45814</v>
      </c>
      <c r="E2667" t="str">
        <f>VLOOKUP(B2667,'PROCV GERENTES BD'!A:B,2,0)</f>
        <v>FITZ</v>
      </c>
      <c r="F2667" s="4" t="str">
        <f t="shared" ref="F2667:F2676" si="216">YEAR(D2667)&amp;"-"&amp;TEXT(MONTH(D2667),"00")&amp;"-"&amp;IF(DAY(D2667)&lt;=15,"1",IF(DAY(D2667)&gt;15,"2",""))</f>
        <v>2025-06-1</v>
      </c>
      <c r="G2667" t="str">
        <f t="shared" ref="G2667:G2676" si="217">E2667</f>
        <v>FITZ</v>
      </c>
      <c r="H2667" t="str">
        <f t="shared" ref="H2667:H2676" si="218">B2667</f>
        <v>TRANSHENRY TRANSPORTES LTDA</v>
      </c>
      <c r="I2667">
        <f t="shared" si="208"/>
        <v>1</v>
      </c>
      <c r="J2667">
        <f t="shared" si="209"/>
        <v>0</v>
      </c>
    </row>
    <row r="2668" spans="1:10" x14ac:dyDescent="0.25">
      <c r="A2668" t="s">
        <v>540</v>
      </c>
      <c r="B2668" t="s">
        <v>307</v>
      </c>
      <c r="C2668" t="s">
        <v>72</v>
      </c>
      <c r="D2668" s="6">
        <v>45814</v>
      </c>
      <c r="E2668" t="str">
        <f>VLOOKUP(B2668,'PROCV GERENTES BD'!A:B,2,0)</f>
        <v>RAFAEL PARISE</v>
      </c>
      <c r="F2668" s="4" t="str">
        <f t="shared" si="216"/>
        <v>2025-06-1</v>
      </c>
      <c r="G2668" t="str">
        <f t="shared" si="217"/>
        <v>RAFAEL PARISE</v>
      </c>
      <c r="H2668" t="str">
        <f t="shared" si="218"/>
        <v>MINASPOL INDUSTRIA E COMERCIO DE COMPOSTOS POLIMER</v>
      </c>
      <c r="I2668">
        <f t="shared" si="208"/>
        <v>1</v>
      </c>
      <c r="J2668">
        <f t="shared" si="209"/>
        <v>0</v>
      </c>
    </row>
    <row r="2669" spans="1:10" x14ac:dyDescent="0.25">
      <c r="A2669" t="s">
        <v>395</v>
      </c>
      <c r="B2669" t="s">
        <v>141</v>
      </c>
      <c r="C2669" t="s">
        <v>56</v>
      </c>
      <c r="D2669" s="6">
        <v>45814</v>
      </c>
      <c r="E2669" t="str">
        <f>VLOOKUP(B2669,'PROCV GERENTES BD'!A:B,2,0)</f>
        <v>RAFAEL PARISE</v>
      </c>
      <c r="F2669" s="4" t="str">
        <f t="shared" si="216"/>
        <v>2025-06-1</v>
      </c>
      <c r="G2669" t="str">
        <f t="shared" si="217"/>
        <v>RAFAEL PARISE</v>
      </c>
      <c r="H2669" t="str">
        <f t="shared" si="218"/>
        <v>MAIS DISTRIBUIDORA LTDA</v>
      </c>
      <c r="I2669">
        <f t="shared" si="208"/>
        <v>0</v>
      </c>
      <c r="J2669">
        <f t="shared" si="209"/>
        <v>1</v>
      </c>
    </row>
    <row r="2670" spans="1:10" x14ac:dyDescent="0.25">
      <c r="A2670" t="s">
        <v>509</v>
      </c>
      <c r="B2670" t="s">
        <v>267</v>
      </c>
      <c r="C2670" t="s">
        <v>72</v>
      </c>
      <c r="D2670" s="6">
        <v>45814</v>
      </c>
      <c r="E2670" t="str">
        <f>VLOOKUP(B2670,'PROCV GERENTES BD'!A:B,2,0)</f>
        <v>SEM GERENTE</v>
      </c>
      <c r="F2670" s="4" t="str">
        <f t="shared" si="216"/>
        <v>2025-06-1</v>
      </c>
      <c r="G2670" t="str">
        <f t="shared" si="217"/>
        <v>SEM GERENTE</v>
      </c>
      <c r="H2670" t="str">
        <f t="shared" si="218"/>
        <v>ENGREMAT ENG PROJETO MANUTENCAO INSPECAO MONTAGENS</v>
      </c>
      <c r="I2670">
        <f t="shared" si="208"/>
        <v>1</v>
      </c>
      <c r="J2670">
        <f t="shared" si="209"/>
        <v>0</v>
      </c>
    </row>
    <row r="2671" spans="1:10" x14ac:dyDescent="0.25">
      <c r="A2671" t="s">
        <v>380</v>
      </c>
      <c r="B2671" t="s">
        <v>123</v>
      </c>
      <c r="C2671" t="s">
        <v>56</v>
      </c>
      <c r="D2671" s="6">
        <v>45814</v>
      </c>
      <c r="E2671" t="str">
        <f>VLOOKUP(B2671,'PROCV GERENTES BD'!A:B,2,0)</f>
        <v>ANTONIO CARLOS</v>
      </c>
      <c r="F2671" s="4" t="str">
        <f t="shared" si="216"/>
        <v>2025-06-1</v>
      </c>
      <c r="G2671" t="str">
        <f t="shared" si="217"/>
        <v>ANTONIO CARLOS</v>
      </c>
      <c r="H2671" t="str">
        <f t="shared" si="218"/>
        <v>PREMOLDADOS MATOSINHOS LTDA EPP</v>
      </c>
      <c r="I2671">
        <f t="shared" si="208"/>
        <v>0</v>
      </c>
      <c r="J2671">
        <f t="shared" si="209"/>
        <v>1</v>
      </c>
    </row>
    <row r="2672" spans="1:10" x14ac:dyDescent="0.25">
      <c r="A2672" t="s">
        <v>507</v>
      </c>
      <c r="B2672" t="s">
        <v>265</v>
      </c>
      <c r="C2672" t="s">
        <v>72</v>
      </c>
      <c r="D2672" s="6">
        <v>45814</v>
      </c>
      <c r="E2672" t="str">
        <f>VLOOKUP(B2672,'PROCV GERENTES BD'!A:B,2,0)</f>
        <v>SEM GERENTE</v>
      </c>
      <c r="F2672" s="4" t="str">
        <f t="shared" si="216"/>
        <v>2025-06-1</v>
      </c>
      <c r="G2672" t="str">
        <f t="shared" si="217"/>
        <v>SEM GERENTE</v>
      </c>
      <c r="H2672" t="str">
        <f t="shared" si="218"/>
        <v>PLATINUM INDUSTRIA DE CONFECCOES LTDA</v>
      </c>
      <c r="I2672">
        <f t="shared" si="208"/>
        <v>1</v>
      </c>
      <c r="J2672">
        <f t="shared" si="209"/>
        <v>0</v>
      </c>
    </row>
    <row r="2673" spans="1:10" x14ac:dyDescent="0.25">
      <c r="A2673" t="s">
        <v>70</v>
      </c>
      <c r="B2673" t="s">
        <v>71</v>
      </c>
      <c r="C2673" t="s">
        <v>59</v>
      </c>
      <c r="D2673" s="6">
        <v>45814</v>
      </c>
      <c r="E2673" t="str">
        <f>VLOOKUP(B2673,'PROCV GERENTES BD'!A:B,2,0)</f>
        <v>SEM GERENTE</v>
      </c>
      <c r="F2673" s="4" t="str">
        <f t="shared" si="216"/>
        <v>2025-06-1</v>
      </c>
      <c r="G2673" t="str">
        <f t="shared" si="217"/>
        <v>SEM GERENTE</v>
      </c>
      <c r="H2673" t="str">
        <f t="shared" si="218"/>
        <v>SOCIAL S/A</v>
      </c>
      <c r="I2673">
        <f t="shared" si="208"/>
        <v>0</v>
      </c>
      <c r="J2673">
        <f t="shared" si="209"/>
        <v>0</v>
      </c>
    </row>
    <row r="2674" spans="1:10" x14ac:dyDescent="0.25">
      <c r="A2674" t="s">
        <v>377</v>
      </c>
      <c r="B2674" t="s">
        <v>120</v>
      </c>
      <c r="C2674" t="s">
        <v>56</v>
      </c>
      <c r="D2674" s="6">
        <v>45814</v>
      </c>
      <c r="E2674" t="str">
        <f>VLOOKUP(B2674,'PROCV GERENTES BD'!A:B,2,0)</f>
        <v xml:space="preserve">MARCUS VINICIUS </v>
      </c>
      <c r="F2674" s="4" t="str">
        <f t="shared" si="216"/>
        <v>2025-06-1</v>
      </c>
      <c r="G2674" t="str">
        <f t="shared" si="217"/>
        <v xml:space="preserve">MARCUS VINICIUS </v>
      </c>
      <c r="H2674" t="str">
        <f t="shared" si="218"/>
        <v>ISOBASE POLIESTIRENO LTDA EPP</v>
      </c>
      <c r="I2674">
        <f t="shared" si="208"/>
        <v>0</v>
      </c>
      <c r="J2674">
        <f t="shared" si="209"/>
        <v>1</v>
      </c>
    </row>
    <row r="2675" spans="1:10" x14ac:dyDescent="0.25">
      <c r="A2675" t="s">
        <v>452</v>
      </c>
      <c r="B2675" t="s">
        <v>202</v>
      </c>
      <c r="C2675" t="s">
        <v>72</v>
      </c>
      <c r="D2675" s="6">
        <v>45814</v>
      </c>
      <c r="E2675" t="str">
        <f>VLOOKUP(B2675,'PROCV GERENTES BD'!A:B,2,0)</f>
        <v>RAFAEL PARISE</v>
      </c>
      <c r="F2675" s="4" t="str">
        <f t="shared" si="216"/>
        <v>2025-06-1</v>
      </c>
      <c r="G2675" t="str">
        <f t="shared" si="217"/>
        <v>RAFAEL PARISE</v>
      </c>
      <c r="H2675" t="str">
        <f t="shared" si="218"/>
        <v>GEDIBOR RUBBER POLYURETHANE LTDA EPP</v>
      </c>
      <c r="I2675">
        <f t="shared" si="208"/>
        <v>1</v>
      </c>
      <c r="J2675">
        <f t="shared" si="209"/>
        <v>0</v>
      </c>
    </row>
    <row r="2676" spans="1:10" x14ac:dyDescent="0.25">
      <c r="A2676" t="s">
        <v>321</v>
      </c>
      <c r="B2676" t="s">
        <v>253</v>
      </c>
      <c r="C2676" t="s">
        <v>56</v>
      </c>
      <c r="D2676" s="6">
        <v>45814</v>
      </c>
      <c r="E2676" t="str">
        <f>VLOOKUP(B2676,'PROCV GERENTES BD'!A:B,2,0)</f>
        <v>THAYNA/COMERCIAL</v>
      </c>
      <c r="F2676" s="4" t="str">
        <f t="shared" si="216"/>
        <v>2025-06-1</v>
      </c>
      <c r="G2676" t="str">
        <f t="shared" si="217"/>
        <v>THAYNA/COMERCIAL</v>
      </c>
      <c r="H2676" t="str">
        <f t="shared" si="218"/>
        <v>MUTCD CENTRO DE DISTRIBUICAO DE IND FABRICANTE DE</v>
      </c>
      <c r="I2676">
        <f t="shared" si="208"/>
        <v>0</v>
      </c>
      <c r="J2676">
        <f t="shared" si="209"/>
        <v>1</v>
      </c>
    </row>
    <row r="2677" spans="1:10" x14ac:dyDescent="0.25">
      <c r="A2677" t="s">
        <v>311</v>
      </c>
      <c r="B2677" t="s">
        <v>130</v>
      </c>
      <c r="C2677" t="s">
        <v>72</v>
      </c>
      <c r="D2677" s="6">
        <v>45815</v>
      </c>
      <c r="E2677" t="str">
        <f>VLOOKUP(B2677,'PROCV GERENTES BD'!A:B,2,0)</f>
        <v>ANTONIO CARLOS</v>
      </c>
      <c r="F2677" s="4" t="str">
        <f t="shared" ref="F2677:F2693" si="219">YEAR(D2677)&amp;"-"&amp;TEXT(MONTH(D2677),"00")&amp;"-"&amp;IF(DAY(D2677)&lt;=15,"1",IF(DAY(D2677)&gt;15,"2",""))</f>
        <v>2025-06-1</v>
      </c>
      <c r="G2677" t="str">
        <f t="shared" ref="G2677:G2693" si="220">E2677</f>
        <v>ANTONIO CARLOS</v>
      </c>
      <c r="H2677" t="str">
        <f t="shared" ref="H2677:H2693" si="221">B2677</f>
        <v>VIC LOGISTICA LTDA EM RECUPERACAO JUDICIAL</v>
      </c>
      <c r="I2677">
        <f t="shared" si="208"/>
        <v>1</v>
      </c>
      <c r="J2677">
        <f t="shared" si="209"/>
        <v>0</v>
      </c>
    </row>
    <row r="2678" spans="1:10" x14ac:dyDescent="0.25">
      <c r="A2678" t="s">
        <v>458</v>
      </c>
      <c r="B2678" t="s">
        <v>214</v>
      </c>
      <c r="C2678" t="s">
        <v>72</v>
      </c>
      <c r="D2678" s="6">
        <v>45815</v>
      </c>
      <c r="E2678" t="str">
        <f>VLOOKUP(B2678,'PROCV GERENTES BD'!A:B,2,0)</f>
        <v>CELIO PIMENTA</v>
      </c>
      <c r="F2678" s="4" t="str">
        <f t="shared" si="219"/>
        <v>2025-06-1</v>
      </c>
      <c r="G2678" t="str">
        <f t="shared" si="220"/>
        <v>CELIO PIMENTA</v>
      </c>
      <c r="H2678" t="str">
        <f t="shared" si="221"/>
        <v>LIDER COMERCIO DE UNIFORMES E EPI S LTDA ME</v>
      </c>
      <c r="I2678">
        <f t="shared" si="208"/>
        <v>1</v>
      </c>
      <c r="J2678">
        <f t="shared" si="209"/>
        <v>0</v>
      </c>
    </row>
    <row r="2679" spans="1:10" x14ac:dyDescent="0.25">
      <c r="A2679" t="s">
        <v>73</v>
      </c>
      <c r="B2679" t="s">
        <v>74</v>
      </c>
      <c r="C2679" t="s">
        <v>56</v>
      </c>
      <c r="D2679" s="6">
        <v>45815</v>
      </c>
      <c r="E2679" t="str">
        <f>VLOOKUP(B2679,'PROCV GERENTES BD'!A:B,2,0)</f>
        <v xml:space="preserve">ROGERIO </v>
      </c>
      <c r="F2679" s="4" t="str">
        <f t="shared" si="219"/>
        <v>2025-06-1</v>
      </c>
      <c r="G2679" t="str">
        <f t="shared" si="220"/>
        <v xml:space="preserve">ROGERIO </v>
      </c>
      <c r="H2679" t="str">
        <f t="shared" si="221"/>
        <v>DIOTTONI INDUSTRIA E COMERCIO DE ALIMENTOS LTDA ME</v>
      </c>
      <c r="I2679">
        <f t="shared" si="208"/>
        <v>0</v>
      </c>
      <c r="J2679">
        <f t="shared" si="209"/>
        <v>1</v>
      </c>
    </row>
    <row r="2680" spans="1:10" x14ac:dyDescent="0.25">
      <c r="A2680" t="s">
        <v>70</v>
      </c>
      <c r="B2680" t="s">
        <v>71</v>
      </c>
      <c r="C2680" t="s">
        <v>59</v>
      </c>
      <c r="D2680" s="6">
        <v>45815</v>
      </c>
      <c r="E2680" t="str">
        <f>VLOOKUP(B2680,'PROCV GERENTES BD'!A:B,2,0)</f>
        <v>SEM GERENTE</v>
      </c>
      <c r="F2680" s="4" t="str">
        <f t="shared" si="219"/>
        <v>2025-06-1</v>
      </c>
      <c r="G2680" t="str">
        <f t="shared" si="220"/>
        <v>SEM GERENTE</v>
      </c>
      <c r="H2680" t="str">
        <f t="shared" si="221"/>
        <v>SOCIAL S/A</v>
      </c>
      <c r="I2680">
        <f t="shared" si="208"/>
        <v>0</v>
      </c>
      <c r="J2680">
        <f t="shared" si="209"/>
        <v>0</v>
      </c>
    </row>
    <row r="2681" spans="1:10" x14ac:dyDescent="0.25">
      <c r="A2681" t="s">
        <v>68</v>
      </c>
      <c r="B2681" t="s">
        <v>69</v>
      </c>
      <c r="C2681" t="s">
        <v>56</v>
      </c>
      <c r="D2681" s="6">
        <v>45815</v>
      </c>
      <c r="E2681" t="str">
        <f>VLOOKUP(B2681,'PROCV GERENTES BD'!A:B,2,0)</f>
        <v>FITZ</v>
      </c>
      <c r="F2681" s="4" t="str">
        <f t="shared" si="219"/>
        <v>2025-06-1</v>
      </c>
      <c r="G2681" t="str">
        <f t="shared" si="220"/>
        <v>FITZ</v>
      </c>
      <c r="H2681" t="str">
        <f t="shared" si="221"/>
        <v>MAPP COM IMPORTACAO EXPORTACAO IND PRODUTOS ALIMEN</v>
      </c>
      <c r="I2681">
        <f t="shared" si="208"/>
        <v>0</v>
      </c>
      <c r="J2681">
        <f t="shared" si="209"/>
        <v>1</v>
      </c>
    </row>
    <row r="2682" spans="1:10" x14ac:dyDescent="0.25">
      <c r="A2682" t="s">
        <v>507</v>
      </c>
      <c r="B2682" t="s">
        <v>265</v>
      </c>
      <c r="C2682" t="s">
        <v>72</v>
      </c>
      <c r="D2682" s="6">
        <v>45815</v>
      </c>
      <c r="E2682" t="str">
        <f>VLOOKUP(B2682,'PROCV GERENTES BD'!A:B,2,0)</f>
        <v>SEM GERENTE</v>
      </c>
      <c r="F2682" s="4" t="str">
        <f t="shared" si="219"/>
        <v>2025-06-1</v>
      </c>
      <c r="G2682" t="str">
        <f t="shared" si="220"/>
        <v>SEM GERENTE</v>
      </c>
      <c r="H2682" t="str">
        <f t="shared" si="221"/>
        <v>PLATINUM INDUSTRIA DE CONFECCOES LTDA</v>
      </c>
      <c r="I2682">
        <f t="shared" si="208"/>
        <v>1</v>
      </c>
      <c r="J2682">
        <f t="shared" si="209"/>
        <v>0</v>
      </c>
    </row>
    <row r="2683" spans="1:10" x14ac:dyDescent="0.25">
      <c r="A2683" t="s">
        <v>317</v>
      </c>
      <c r="B2683" t="s">
        <v>211</v>
      </c>
      <c r="C2683" t="s">
        <v>56</v>
      </c>
      <c r="D2683" s="6">
        <v>45815</v>
      </c>
      <c r="E2683" t="str">
        <f>VLOOKUP(B2683,'PROCV GERENTES BD'!A:B,2,0)</f>
        <v xml:space="preserve">MARCUS VINICIUS </v>
      </c>
      <c r="F2683" s="4" t="str">
        <f t="shared" si="219"/>
        <v>2025-06-1</v>
      </c>
      <c r="G2683" t="str">
        <f t="shared" si="220"/>
        <v xml:space="preserve">MARCUS VINICIUS </v>
      </c>
      <c r="H2683" t="str">
        <f t="shared" si="221"/>
        <v>INDUSTRIA E COMERCIO DE CHURRASQUEIRAS BOM JESUS L</v>
      </c>
      <c r="I2683">
        <f t="shared" si="208"/>
        <v>0</v>
      </c>
      <c r="J2683">
        <f t="shared" si="209"/>
        <v>1</v>
      </c>
    </row>
    <row r="2684" spans="1:10" x14ac:dyDescent="0.25">
      <c r="A2684" t="s">
        <v>506</v>
      </c>
      <c r="B2684" t="s">
        <v>263</v>
      </c>
      <c r="C2684" t="s">
        <v>72</v>
      </c>
      <c r="D2684" s="6">
        <v>45815</v>
      </c>
      <c r="E2684" t="str">
        <f>VLOOKUP(B2684,'PROCV GERENTES BD'!A:B,2,0)</f>
        <v>CELIO PIMENTA</v>
      </c>
      <c r="F2684" s="4" t="str">
        <f t="shared" si="219"/>
        <v>2025-06-1</v>
      </c>
      <c r="G2684" t="str">
        <f t="shared" si="220"/>
        <v>CELIO PIMENTA</v>
      </c>
      <c r="H2684" t="str">
        <f t="shared" si="221"/>
        <v>SEU TRATOR LTDA EPP</v>
      </c>
      <c r="I2684">
        <f t="shared" si="208"/>
        <v>1</v>
      </c>
      <c r="J2684">
        <f t="shared" si="209"/>
        <v>0</v>
      </c>
    </row>
    <row r="2685" spans="1:10" x14ac:dyDescent="0.25">
      <c r="A2685" t="s">
        <v>66</v>
      </c>
      <c r="B2685" t="s">
        <v>67</v>
      </c>
      <c r="C2685" t="s">
        <v>56</v>
      </c>
      <c r="D2685" s="6">
        <v>45815</v>
      </c>
      <c r="E2685" t="str">
        <f>VLOOKUP(B2685,'PROCV GERENTES BD'!A:B,2,0)</f>
        <v xml:space="preserve">MARCUS VINICIUS </v>
      </c>
      <c r="F2685" s="4" t="str">
        <f t="shared" si="219"/>
        <v>2025-06-1</v>
      </c>
      <c r="G2685" t="str">
        <f t="shared" si="220"/>
        <v xml:space="preserve">MARCUS VINICIUS </v>
      </c>
      <c r="H2685" t="str">
        <f t="shared" si="221"/>
        <v>COM IND DE CEREAIS E TRANSPORTES MACIEL LTDA</v>
      </c>
      <c r="I2685">
        <f t="shared" si="208"/>
        <v>0</v>
      </c>
      <c r="J2685">
        <f t="shared" si="209"/>
        <v>1</v>
      </c>
    </row>
    <row r="2686" spans="1:10" x14ac:dyDescent="0.25">
      <c r="A2686" t="s">
        <v>64</v>
      </c>
      <c r="B2686" t="s">
        <v>65</v>
      </c>
      <c r="C2686" t="s">
        <v>72</v>
      </c>
      <c r="D2686" s="6">
        <v>45815</v>
      </c>
      <c r="E2686" t="str">
        <f>VLOOKUP(B2686,'PROCV GERENTES BD'!A:B,2,0)</f>
        <v>ADMINISTRAÇÃO</v>
      </c>
      <c r="F2686" s="4" t="str">
        <f t="shared" si="219"/>
        <v>2025-06-1</v>
      </c>
      <c r="G2686" t="str">
        <f t="shared" si="220"/>
        <v>ADMINISTRAÇÃO</v>
      </c>
      <c r="H2686" t="str">
        <f t="shared" si="221"/>
        <v>BIOTECH LOGISTICA LTDA</v>
      </c>
      <c r="I2686">
        <f t="shared" si="208"/>
        <v>1</v>
      </c>
      <c r="J2686">
        <f t="shared" si="209"/>
        <v>0</v>
      </c>
    </row>
    <row r="2687" spans="1:10" x14ac:dyDescent="0.25">
      <c r="A2687" t="s">
        <v>326</v>
      </c>
      <c r="B2687" t="s">
        <v>86</v>
      </c>
      <c r="C2687" t="s">
        <v>56</v>
      </c>
      <c r="D2687" s="6">
        <v>45815</v>
      </c>
      <c r="E2687" t="str">
        <f>VLOOKUP(B2687,'PROCV GERENTES BD'!A:B,2,0)</f>
        <v>CELIO PIMENTA</v>
      </c>
      <c r="F2687" s="4" t="str">
        <f t="shared" si="219"/>
        <v>2025-06-1</v>
      </c>
      <c r="G2687" t="str">
        <f t="shared" si="220"/>
        <v>CELIO PIMENTA</v>
      </c>
      <c r="H2687" t="str">
        <f t="shared" si="221"/>
        <v>IMPORTEXTIL COMERCIO DE TECIDOS LTDA</v>
      </c>
      <c r="I2687">
        <f t="shared" si="208"/>
        <v>0</v>
      </c>
      <c r="J2687">
        <f t="shared" si="209"/>
        <v>1</v>
      </c>
    </row>
    <row r="2688" spans="1:10" x14ac:dyDescent="0.25">
      <c r="A2688" t="s">
        <v>62</v>
      </c>
      <c r="B2688" t="s">
        <v>63</v>
      </c>
      <c r="C2688" t="s">
        <v>56</v>
      </c>
      <c r="D2688" s="6">
        <v>45815</v>
      </c>
      <c r="E2688" t="str">
        <f>VLOOKUP(B2688,'PROCV GERENTES BD'!A:B,2,0)</f>
        <v xml:space="preserve">ROGERIO </v>
      </c>
      <c r="F2688" s="4" t="str">
        <f t="shared" si="219"/>
        <v>2025-06-1</v>
      </c>
      <c r="G2688" t="str">
        <f t="shared" si="220"/>
        <v xml:space="preserve">ROGERIO </v>
      </c>
      <c r="H2688" t="str">
        <f t="shared" si="221"/>
        <v>RODOVIEIRA TRANSPORTE LTDA</v>
      </c>
      <c r="I2688">
        <f t="shared" si="208"/>
        <v>0</v>
      </c>
      <c r="J2688">
        <f t="shared" si="209"/>
        <v>1</v>
      </c>
    </row>
    <row r="2689" spans="1:10" x14ac:dyDescent="0.25">
      <c r="A2689" t="s">
        <v>57</v>
      </c>
      <c r="B2689" t="s">
        <v>58</v>
      </c>
      <c r="C2689" t="s">
        <v>56</v>
      </c>
      <c r="D2689" s="6">
        <v>45815</v>
      </c>
      <c r="E2689" t="str">
        <f>VLOOKUP(B2689,'PROCV GERENTES BD'!A:B,2,0)</f>
        <v>RAFAEL PARISE</v>
      </c>
      <c r="F2689" s="4" t="str">
        <f t="shared" si="219"/>
        <v>2025-06-1</v>
      </c>
      <c r="G2689" t="str">
        <f t="shared" si="220"/>
        <v>RAFAEL PARISE</v>
      </c>
      <c r="H2689" t="str">
        <f t="shared" si="221"/>
        <v>TDR TRANSPORTES LOGISTICA LTDA</v>
      </c>
      <c r="I2689">
        <f t="shared" si="208"/>
        <v>0</v>
      </c>
      <c r="J2689">
        <f t="shared" si="209"/>
        <v>1</v>
      </c>
    </row>
    <row r="2690" spans="1:10" x14ac:dyDescent="0.25">
      <c r="A2690" t="s">
        <v>331</v>
      </c>
      <c r="B2690" t="s">
        <v>126</v>
      </c>
      <c r="C2690" t="s">
        <v>59</v>
      </c>
      <c r="D2690" s="6">
        <v>45815</v>
      </c>
      <c r="E2690" t="str">
        <f>VLOOKUP(B2690,'PROCV GERENTES BD'!A:B,2,0)</f>
        <v>FITZ</v>
      </c>
      <c r="F2690" s="4" t="str">
        <f t="shared" si="219"/>
        <v>2025-06-1</v>
      </c>
      <c r="G2690" t="str">
        <f t="shared" si="220"/>
        <v>FITZ</v>
      </c>
      <c r="H2690" t="str">
        <f t="shared" si="221"/>
        <v>TRANSHENRY TRANSPORTES LTDA</v>
      </c>
      <c r="I2690">
        <f t="shared" ref="I2690:I2753" si="222">IF(C2690="EXCLUSAO  ANOT.INADIMPLENCIA",1,0)</f>
        <v>0</v>
      </c>
      <c r="J2690">
        <f t="shared" ref="J2690:J2753" si="223">IF(C2690="INCLUSAO  ANOT.INADIMPLENCIA",1,0)</f>
        <v>0</v>
      </c>
    </row>
    <row r="2691" spans="1:10" x14ac:dyDescent="0.25">
      <c r="A2691" t="s">
        <v>531</v>
      </c>
      <c r="B2691" t="s">
        <v>295</v>
      </c>
      <c r="C2691" t="s">
        <v>56</v>
      </c>
      <c r="D2691" s="6">
        <v>45815</v>
      </c>
      <c r="E2691" t="str">
        <f>VLOOKUP(B2691,'PROCV GERENTES BD'!A:B,2,0)</f>
        <v>ADMINISTRAÇÃO</v>
      </c>
      <c r="F2691" s="4" t="str">
        <f t="shared" si="219"/>
        <v>2025-06-1</v>
      </c>
      <c r="G2691" t="str">
        <f t="shared" si="220"/>
        <v>ADMINISTRAÇÃO</v>
      </c>
      <c r="H2691" t="str">
        <f t="shared" si="221"/>
        <v>REFRACONT BRASIL LTDA</v>
      </c>
      <c r="I2691">
        <f t="shared" si="222"/>
        <v>0</v>
      </c>
      <c r="J2691">
        <f t="shared" si="223"/>
        <v>1</v>
      </c>
    </row>
    <row r="2692" spans="1:10" x14ac:dyDescent="0.25">
      <c r="A2692" t="s">
        <v>316</v>
      </c>
      <c r="B2692" t="s">
        <v>298</v>
      </c>
      <c r="C2692" t="s">
        <v>56</v>
      </c>
      <c r="D2692" s="6">
        <v>45815</v>
      </c>
      <c r="E2692" t="str">
        <f>VLOOKUP(B2692,'PROCV GERENTES BD'!A:B,2,0)</f>
        <v>ANTECIPA</v>
      </c>
      <c r="F2692" s="4" t="str">
        <f t="shared" si="219"/>
        <v>2025-06-1</v>
      </c>
      <c r="G2692" t="str">
        <f t="shared" si="220"/>
        <v>ANTECIPA</v>
      </c>
      <c r="H2692" t="str">
        <f t="shared" si="221"/>
        <v>CENTRAL DO M R O COMERCIAL IMPORTACOES E SERVICOS</v>
      </c>
      <c r="I2692">
        <f t="shared" si="222"/>
        <v>0</v>
      </c>
      <c r="J2692">
        <f t="shared" si="223"/>
        <v>1</v>
      </c>
    </row>
    <row r="2693" spans="1:10" x14ac:dyDescent="0.25">
      <c r="A2693" t="s">
        <v>455</v>
      </c>
      <c r="B2693" t="s">
        <v>207</v>
      </c>
      <c r="C2693" t="s">
        <v>72</v>
      </c>
      <c r="D2693" s="6">
        <v>45815</v>
      </c>
      <c r="E2693" t="str">
        <f>VLOOKUP(B2693,'PROCV GERENTES BD'!A:B,2,0)</f>
        <v xml:space="preserve">ROGERIO </v>
      </c>
      <c r="F2693" s="4" t="str">
        <f t="shared" si="219"/>
        <v>2025-06-1</v>
      </c>
      <c r="G2693" t="str">
        <f t="shared" si="220"/>
        <v xml:space="preserve">ROGERIO </v>
      </c>
      <c r="H2693" t="str">
        <f t="shared" si="221"/>
        <v>ORTHOSIDE INDUSTRIA E COMERCIO LTDA EPP</v>
      </c>
      <c r="I2693">
        <f t="shared" si="222"/>
        <v>1</v>
      </c>
      <c r="J2693">
        <f t="shared" si="223"/>
        <v>0</v>
      </c>
    </row>
    <row r="2694" spans="1:10" x14ac:dyDescent="0.25">
      <c r="A2694" t="s">
        <v>383</v>
      </c>
      <c r="B2694" t="s">
        <v>127</v>
      </c>
      <c r="C2694" t="s">
        <v>72</v>
      </c>
      <c r="D2694" s="6">
        <v>45818</v>
      </c>
      <c r="E2694" t="str">
        <f>VLOOKUP(B2694,'PROCV GERENTES BD'!A:B,2,0)</f>
        <v>NATALIA NUBIA</v>
      </c>
      <c r="F2694" s="4" t="str">
        <f t="shared" ref="F2694:F2721" si="224">YEAR(D2694)&amp;"-"&amp;TEXT(MONTH(D2694),"00")&amp;"-"&amp;IF(DAY(D2694)&lt;=15,"1",IF(DAY(D2694)&gt;15,"2",""))</f>
        <v>2025-06-1</v>
      </c>
      <c r="G2694" t="str">
        <f t="shared" ref="G2694:G2721" si="225">E2694</f>
        <v>NATALIA NUBIA</v>
      </c>
      <c r="H2694" t="str">
        <f t="shared" ref="H2694:H2721" si="226">B2694</f>
        <v>FARINELLI NUTRIMENTOS LTDA</v>
      </c>
      <c r="I2694">
        <f t="shared" si="222"/>
        <v>1</v>
      </c>
      <c r="J2694">
        <f t="shared" si="223"/>
        <v>0</v>
      </c>
    </row>
    <row r="2695" spans="1:10" x14ac:dyDescent="0.25">
      <c r="A2695" t="s">
        <v>471</v>
      </c>
      <c r="B2695" t="s">
        <v>227</v>
      </c>
      <c r="C2695" t="s">
        <v>56</v>
      </c>
      <c r="D2695" s="6">
        <v>45818</v>
      </c>
      <c r="E2695" t="str">
        <f>VLOOKUP(B2695,'PROCV GERENTES BD'!A:B,2,0)</f>
        <v>ADMINISTRAÇÃO</v>
      </c>
      <c r="F2695" s="4" t="str">
        <f t="shared" si="224"/>
        <v>2025-06-1</v>
      </c>
      <c r="G2695" t="str">
        <f t="shared" si="225"/>
        <v>ADMINISTRAÇÃO</v>
      </c>
      <c r="H2695" t="str">
        <f t="shared" si="226"/>
        <v>A C ESPORTES S A F</v>
      </c>
      <c r="I2695">
        <f t="shared" si="222"/>
        <v>0</v>
      </c>
      <c r="J2695">
        <f t="shared" si="223"/>
        <v>1</v>
      </c>
    </row>
    <row r="2696" spans="1:10" x14ac:dyDescent="0.25">
      <c r="A2696" t="s">
        <v>448</v>
      </c>
      <c r="B2696" t="s">
        <v>198</v>
      </c>
      <c r="C2696" t="s">
        <v>56</v>
      </c>
      <c r="D2696" s="6">
        <v>45818</v>
      </c>
      <c r="E2696" t="str">
        <f>VLOOKUP(B2696,'PROCV GERENTES BD'!A:B,2,0)</f>
        <v>FITZ</v>
      </c>
      <c r="F2696" s="4" t="str">
        <f t="shared" si="224"/>
        <v>2025-06-1</v>
      </c>
      <c r="G2696" t="str">
        <f t="shared" si="225"/>
        <v>FITZ</v>
      </c>
      <c r="H2696" t="str">
        <f t="shared" si="226"/>
        <v>SAFRA OURO AGRONEGOCIOS LTDA EPP</v>
      </c>
      <c r="I2696">
        <f t="shared" si="222"/>
        <v>0</v>
      </c>
      <c r="J2696">
        <f t="shared" si="223"/>
        <v>1</v>
      </c>
    </row>
    <row r="2697" spans="1:10" x14ac:dyDescent="0.25">
      <c r="A2697" t="s">
        <v>321</v>
      </c>
      <c r="B2697" t="s">
        <v>253</v>
      </c>
      <c r="C2697" t="s">
        <v>56</v>
      </c>
      <c r="D2697" s="6">
        <v>45818</v>
      </c>
      <c r="E2697" t="str">
        <f>VLOOKUP(B2697,'PROCV GERENTES BD'!A:B,2,0)</f>
        <v>THAYNA/COMERCIAL</v>
      </c>
      <c r="F2697" s="4" t="str">
        <f t="shared" si="224"/>
        <v>2025-06-1</v>
      </c>
      <c r="G2697" t="str">
        <f t="shared" si="225"/>
        <v>THAYNA/COMERCIAL</v>
      </c>
      <c r="H2697" t="str">
        <f t="shared" si="226"/>
        <v>MUTCD CENTRO DE DISTRIBUICAO DE IND FABRICANTE DE</v>
      </c>
      <c r="I2697">
        <f t="shared" si="222"/>
        <v>0</v>
      </c>
      <c r="J2697">
        <f t="shared" si="223"/>
        <v>1</v>
      </c>
    </row>
    <row r="2698" spans="1:10" x14ac:dyDescent="0.25">
      <c r="A2698" t="s">
        <v>82</v>
      </c>
      <c r="B2698" t="s">
        <v>83</v>
      </c>
      <c r="C2698" t="s">
        <v>56</v>
      </c>
      <c r="D2698" s="6">
        <v>45818</v>
      </c>
      <c r="E2698" t="str">
        <f>VLOOKUP(B2698,'PROCV GERENTES BD'!A:B,2,0)</f>
        <v>RAFAEL PARISE</v>
      </c>
      <c r="F2698" s="4" t="str">
        <f t="shared" si="224"/>
        <v>2025-06-1</v>
      </c>
      <c r="G2698" t="str">
        <f t="shared" si="225"/>
        <v>RAFAEL PARISE</v>
      </c>
      <c r="H2698" t="str">
        <f t="shared" si="226"/>
        <v>UNITA AUTO PECAS LTDA EPP</v>
      </c>
      <c r="I2698">
        <f t="shared" si="222"/>
        <v>0</v>
      </c>
      <c r="J2698">
        <f t="shared" si="223"/>
        <v>1</v>
      </c>
    </row>
    <row r="2699" spans="1:10" x14ac:dyDescent="0.25">
      <c r="A2699" t="s">
        <v>378</v>
      </c>
      <c r="B2699" t="s">
        <v>121</v>
      </c>
      <c r="C2699" t="s">
        <v>72</v>
      </c>
      <c r="D2699" s="6">
        <v>45818</v>
      </c>
      <c r="E2699" t="str">
        <f>VLOOKUP(B2699,'PROCV GERENTES BD'!A:B,2,0)</f>
        <v>POENATELA</v>
      </c>
      <c r="F2699" s="4" t="str">
        <f t="shared" si="224"/>
        <v>2025-06-1</v>
      </c>
      <c r="G2699" t="str">
        <f t="shared" si="225"/>
        <v>POENATELA</v>
      </c>
      <c r="H2699" t="str">
        <f t="shared" si="226"/>
        <v>COOPERATIVA TRANSP AUTON CARGAS PASSAG SERVICOS LO</v>
      </c>
      <c r="I2699">
        <f t="shared" si="222"/>
        <v>1</v>
      </c>
      <c r="J2699">
        <f t="shared" si="223"/>
        <v>0</v>
      </c>
    </row>
    <row r="2700" spans="1:10" x14ac:dyDescent="0.25">
      <c r="A2700" t="s">
        <v>80</v>
      </c>
      <c r="B2700" t="s">
        <v>81</v>
      </c>
      <c r="C2700" t="s">
        <v>56</v>
      </c>
      <c r="D2700" s="6">
        <v>45818</v>
      </c>
      <c r="E2700" t="str">
        <f>VLOOKUP(B2700,'PROCV GERENTES BD'!A:B,2,0)</f>
        <v>CAIO</v>
      </c>
      <c r="F2700" s="4" t="str">
        <f t="shared" si="224"/>
        <v>2025-06-1</v>
      </c>
      <c r="G2700" t="str">
        <f t="shared" si="225"/>
        <v>CAIO</v>
      </c>
      <c r="H2700" t="str">
        <f t="shared" si="226"/>
        <v>TP DISTRIBUIDORA DE PECAS LTDA EPP</v>
      </c>
      <c r="I2700">
        <f t="shared" si="222"/>
        <v>0</v>
      </c>
      <c r="J2700">
        <f t="shared" si="223"/>
        <v>1</v>
      </c>
    </row>
    <row r="2701" spans="1:10" x14ac:dyDescent="0.25">
      <c r="A2701" t="s">
        <v>323</v>
      </c>
      <c r="B2701" t="s">
        <v>309</v>
      </c>
      <c r="C2701" t="s">
        <v>56</v>
      </c>
      <c r="D2701" s="6">
        <v>45818</v>
      </c>
      <c r="E2701" t="str">
        <f>VLOOKUP(B2701,'PROCV GERENTES BD'!A:B,2,0)</f>
        <v>CELIO PIMENTA</v>
      </c>
      <c r="F2701" s="4" t="str">
        <f t="shared" si="224"/>
        <v>2025-06-1</v>
      </c>
      <c r="G2701" t="str">
        <f t="shared" si="225"/>
        <v>CELIO PIMENTA</v>
      </c>
      <c r="H2701" t="str">
        <f t="shared" si="226"/>
        <v>LOTUS DESENVOLVIMENTO IMOBILIARIO LTDA</v>
      </c>
      <c r="I2701">
        <f t="shared" si="222"/>
        <v>0</v>
      </c>
      <c r="J2701">
        <f t="shared" si="223"/>
        <v>1</v>
      </c>
    </row>
    <row r="2702" spans="1:10" x14ac:dyDescent="0.25">
      <c r="A2702" t="s">
        <v>70</v>
      </c>
      <c r="B2702" t="s">
        <v>71</v>
      </c>
      <c r="C2702" t="s">
        <v>56</v>
      </c>
      <c r="D2702" s="6">
        <v>45818</v>
      </c>
      <c r="E2702" t="str">
        <f>VLOOKUP(B2702,'PROCV GERENTES BD'!A:B,2,0)</f>
        <v>SEM GERENTE</v>
      </c>
      <c r="F2702" s="4" t="str">
        <f t="shared" si="224"/>
        <v>2025-06-1</v>
      </c>
      <c r="G2702" t="str">
        <f t="shared" si="225"/>
        <v>SEM GERENTE</v>
      </c>
      <c r="H2702" t="str">
        <f t="shared" si="226"/>
        <v>SOCIAL S/A</v>
      </c>
      <c r="I2702">
        <f t="shared" si="222"/>
        <v>0</v>
      </c>
      <c r="J2702">
        <f t="shared" si="223"/>
        <v>1</v>
      </c>
    </row>
    <row r="2703" spans="1:10" x14ac:dyDescent="0.25">
      <c r="A2703" t="s">
        <v>428</v>
      </c>
      <c r="B2703" t="s">
        <v>177</v>
      </c>
      <c r="C2703" t="s">
        <v>72</v>
      </c>
      <c r="D2703" s="6">
        <v>45818</v>
      </c>
      <c r="E2703" t="str">
        <f>VLOOKUP(B2703,'PROCV GERENTES BD'!A:B,2,0)</f>
        <v>POENATELA</v>
      </c>
      <c r="F2703" s="4" t="str">
        <f t="shared" si="224"/>
        <v>2025-06-1</v>
      </c>
      <c r="G2703" t="str">
        <f t="shared" si="225"/>
        <v>POENATELA</v>
      </c>
      <c r="H2703" t="str">
        <f t="shared" si="226"/>
        <v>SAVIXX COMERCIO INTERNACIONAL S/A</v>
      </c>
      <c r="I2703">
        <f t="shared" si="222"/>
        <v>1</v>
      </c>
      <c r="J2703">
        <f t="shared" si="223"/>
        <v>0</v>
      </c>
    </row>
    <row r="2704" spans="1:10" x14ac:dyDescent="0.25">
      <c r="A2704" t="s">
        <v>68</v>
      </c>
      <c r="B2704" t="s">
        <v>69</v>
      </c>
      <c r="C2704" t="s">
        <v>56</v>
      </c>
      <c r="D2704" s="6">
        <v>45818</v>
      </c>
      <c r="E2704" t="str">
        <f>VLOOKUP(B2704,'PROCV GERENTES BD'!A:B,2,0)</f>
        <v>FITZ</v>
      </c>
      <c r="F2704" s="4" t="str">
        <f t="shared" si="224"/>
        <v>2025-06-1</v>
      </c>
      <c r="G2704" t="str">
        <f t="shared" si="225"/>
        <v>FITZ</v>
      </c>
      <c r="H2704" t="str">
        <f t="shared" si="226"/>
        <v>MAPP COM IMPORTACAO EXPORTACAO IND PRODUTOS ALIMEN</v>
      </c>
      <c r="I2704">
        <f t="shared" si="222"/>
        <v>0</v>
      </c>
      <c r="J2704">
        <f t="shared" si="223"/>
        <v>1</v>
      </c>
    </row>
    <row r="2705" spans="1:10" x14ac:dyDescent="0.25">
      <c r="A2705" t="s">
        <v>66</v>
      </c>
      <c r="B2705" t="s">
        <v>67</v>
      </c>
      <c r="C2705" t="s">
        <v>56</v>
      </c>
      <c r="D2705" s="6">
        <v>45818</v>
      </c>
      <c r="E2705" t="str">
        <f>VLOOKUP(B2705,'PROCV GERENTES BD'!A:B,2,0)</f>
        <v xml:space="preserve">MARCUS VINICIUS </v>
      </c>
      <c r="F2705" s="4" t="str">
        <f t="shared" si="224"/>
        <v>2025-06-1</v>
      </c>
      <c r="G2705" t="str">
        <f t="shared" si="225"/>
        <v xml:space="preserve">MARCUS VINICIUS </v>
      </c>
      <c r="H2705" t="str">
        <f t="shared" si="226"/>
        <v>COM IND DE CEREAIS E TRANSPORTES MACIEL LTDA</v>
      </c>
      <c r="I2705">
        <f t="shared" si="222"/>
        <v>0</v>
      </c>
      <c r="J2705">
        <f t="shared" si="223"/>
        <v>1</v>
      </c>
    </row>
    <row r="2706" spans="1:10" x14ac:dyDescent="0.25">
      <c r="A2706" t="s">
        <v>324</v>
      </c>
      <c r="B2706" t="s">
        <v>287</v>
      </c>
      <c r="C2706" t="s">
        <v>56</v>
      </c>
      <c r="D2706" s="6">
        <v>45818</v>
      </c>
      <c r="E2706" t="str">
        <f>VLOOKUP(B2706,'PROCV GERENTES BD'!A:B,2,0)</f>
        <v>PROSPECTAR</v>
      </c>
      <c r="F2706" s="4" t="str">
        <f t="shared" si="224"/>
        <v>2025-06-1</v>
      </c>
      <c r="G2706" t="str">
        <f t="shared" si="225"/>
        <v>PROSPECTAR</v>
      </c>
      <c r="H2706" t="str">
        <f t="shared" si="226"/>
        <v>STA TECHCANA LTDA</v>
      </c>
      <c r="I2706">
        <f t="shared" si="222"/>
        <v>0</v>
      </c>
      <c r="J2706">
        <f t="shared" si="223"/>
        <v>1</v>
      </c>
    </row>
    <row r="2707" spans="1:10" x14ac:dyDescent="0.25">
      <c r="A2707" t="s">
        <v>361</v>
      </c>
      <c r="B2707" t="s">
        <v>103</v>
      </c>
      <c r="C2707" t="s">
        <v>56</v>
      </c>
      <c r="D2707" s="6">
        <v>45818</v>
      </c>
      <c r="E2707" t="str">
        <f>VLOOKUP(B2707,'PROCV GERENTES BD'!A:B,2,0)</f>
        <v>PRISCILA METZ</v>
      </c>
      <c r="F2707" s="4" t="str">
        <f t="shared" si="224"/>
        <v>2025-06-1</v>
      </c>
      <c r="G2707" t="str">
        <f t="shared" si="225"/>
        <v>PRISCILA METZ</v>
      </c>
      <c r="H2707" t="str">
        <f t="shared" si="226"/>
        <v>ESSENZA INDUSTRIA QUIMICA LTDA</v>
      </c>
      <c r="I2707">
        <f t="shared" si="222"/>
        <v>0</v>
      </c>
      <c r="J2707">
        <f t="shared" si="223"/>
        <v>1</v>
      </c>
    </row>
    <row r="2708" spans="1:10" x14ac:dyDescent="0.25">
      <c r="A2708" t="s">
        <v>64</v>
      </c>
      <c r="B2708" t="s">
        <v>65</v>
      </c>
      <c r="C2708" t="s">
        <v>72</v>
      </c>
      <c r="D2708" s="6">
        <v>45818</v>
      </c>
      <c r="E2708" t="str">
        <f>VLOOKUP(B2708,'PROCV GERENTES BD'!A:B,2,0)</f>
        <v>ADMINISTRAÇÃO</v>
      </c>
      <c r="F2708" s="4" t="str">
        <f t="shared" si="224"/>
        <v>2025-06-1</v>
      </c>
      <c r="G2708" t="str">
        <f t="shared" si="225"/>
        <v>ADMINISTRAÇÃO</v>
      </c>
      <c r="H2708" t="str">
        <f t="shared" si="226"/>
        <v>BIOTECH LOGISTICA LTDA</v>
      </c>
      <c r="I2708">
        <f t="shared" si="222"/>
        <v>1</v>
      </c>
      <c r="J2708">
        <f t="shared" si="223"/>
        <v>0</v>
      </c>
    </row>
    <row r="2709" spans="1:10" x14ac:dyDescent="0.25">
      <c r="A2709" t="s">
        <v>538</v>
      </c>
      <c r="B2709" t="s">
        <v>305</v>
      </c>
      <c r="C2709" t="s">
        <v>72</v>
      </c>
      <c r="D2709" s="6">
        <v>45818</v>
      </c>
      <c r="E2709" t="str">
        <f>VLOOKUP(B2709,'PROCV GERENTES BD'!A:B,2,0)</f>
        <v>ALISSON DE SOUZA LIMA</v>
      </c>
      <c r="F2709" s="4" t="str">
        <f t="shared" si="224"/>
        <v>2025-06-1</v>
      </c>
      <c r="G2709" t="str">
        <f t="shared" si="225"/>
        <v>ALISSON DE SOUZA LIMA</v>
      </c>
      <c r="H2709" t="str">
        <f t="shared" si="226"/>
        <v>ANGIOMEDIC COMERCIO DE MATERIAL MEDICO HOSPITALAR</v>
      </c>
      <c r="I2709">
        <f t="shared" si="222"/>
        <v>1</v>
      </c>
      <c r="J2709">
        <f t="shared" si="223"/>
        <v>0</v>
      </c>
    </row>
    <row r="2710" spans="1:10" x14ac:dyDescent="0.25">
      <c r="A2710" t="s">
        <v>326</v>
      </c>
      <c r="B2710" t="s">
        <v>86</v>
      </c>
      <c r="C2710" t="s">
        <v>56</v>
      </c>
      <c r="D2710" s="6">
        <v>45818</v>
      </c>
      <c r="E2710" t="str">
        <f>VLOOKUP(B2710,'PROCV GERENTES BD'!A:B,2,0)</f>
        <v>CELIO PIMENTA</v>
      </c>
      <c r="F2710" s="4" t="str">
        <f t="shared" si="224"/>
        <v>2025-06-1</v>
      </c>
      <c r="G2710" t="str">
        <f t="shared" si="225"/>
        <v>CELIO PIMENTA</v>
      </c>
      <c r="H2710" t="str">
        <f t="shared" si="226"/>
        <v>IMPORTEXTIL COMERCIO DE TECIDOS LTDA</v>
      </c>
      <c r="I2710">
        <f t="shared" si="222"/>
        <v>0</v>
      </c>
      <c r="J2710">
        <f t="shared" si="223"/>
        <v>1</v>
      </c>
    </row>
    <row r="2711" spans="1:10" x14ac:dyDescent="0.25">
      <c r="A2711" t="s">
        <v>62</v>
      </c>
      <c r="B2711" t="s">
        <v>63</v>
      </c>
      <c r="C2711" t="s">
        <v>56</v>
      </c>
      <c r="D2711" s="6">
        <v>45818</v>
      </c>
      <c r="E2711" t="str">
        <f>VLOOKUP(B2711,'PROCV GERENTES BD'!A:B,2,0)</f>
        <v xml:space="preserve">ROGERIO </v>
      </c>
      <c r="F2711" s="4" t="str">
        <f t="shared" si="224"/>
        <v>2025-06-1</v>
      </c>
      <c r="G2711" t="str">
        <f t="shared" si="225"/>
        <v xml:space="preserve">ROGERIO </v>
      </c>
      <c r="H2711" t="str">
        <f t="shared" si="226"/>
        <v>RODOVIEIRA TRANSPORTE LTDA</v>
      </c>
      <c r="I2711">
        <f t="shared" si="222"/>
        <v>0</v>
      </c>
      <c r="J2711">
        <f t="shared" si="223"/>
        <v>1</v>
      </c>
    </row>
    <row r="2712" spans="1:10" x14ac:dyDescent="0.25">
      <c r="A2712" t="s">
        <v>339</v>
      </c>
      <c r="B2712" t="s">
        <v>151</v>
      </c>
      <c r="C2712" t="s">
        <v>56</v>
      </c>
      <c r="D2712" s="6">
        <v>45818</v>
      </c>
      <c r="E2712" t="str">
        <f>VLOOKUP(B2712,'PROCV GERENTES BD'!A:B,2,0)</f>
        <v>ADMINISTRAÇÃO</v>
      </c>
      <c r="F2712" s="4" t="str">
        <f t="shared" si="224"/>
        <v>2025-06-1</v>
      </c>
      <c r="G2712" t="str">
        <f t="shared" si="225"/>
        <v>ADMINISTRAÇÃO</v>
      </c>
      <c r="H2712" t="str">
        <f t="shared" si="226"/>
        <v>BOM PASTOR PAPEIS LTDA EM RECUPERACAO JUDICIAL</v>
      </c>
      <c r="I2712">
        <f t="shared" si="222"/>
        <v>0</v>
      </c>
      <c r="J2712">
        <f t="shared" si="223"/>
        <v>1</v>
      </c>
    </row>
    <row r="2713" spans="1:10" x14ac:dyDescent="0.25">
      <c r="A2713" t="s">
        <v>395</v>
      </c>
      <c r="B2713" t="s">
        <v>141</v>
      </c>
      <c r="C2713" t="s">
        <v>56</v>
      </c>
      <c r="D2713" s="6">
        <v>45818</v>
      </c>
      <c r="E2713" t="str">
        <f>VLOOKUP(B2713,'PROCV GERENTES BD'!A:B,2,0)</f>
        <v>RAFAEL PARISE</v>
      </c>
      <c r="F2713" s="4" t="str">
        <f t="shared" si="224"/>
        <v>2025-06-1</v>
      </c>
      <c r="G2713" t="str">
        <f t="shared" si="225"/>
        <v>RAFAEL PARISE</v>
      </c>
      <c r="H2713" t="str">
        <f t="shared" si="226"/>
        <v>MAIS DISTRIBUIDORA LTDA</v>
      </c>
      <c r="I2713">
        <f t="shared" si="222"/>
        <v>0</v>
      </c>
      <c r="J2713">
        <f t="shared" si="223"/>
        <v>1</v>
      </c>
    </row>
    <row r="2714" spans="1:10" x14ac:dyDescent="0.25">
      <c r="A2714" t="s">
        <v>371</v>
      </c>
      <c r="B2714" t="s">
        <v>115</v>
      </c>
      <c r="C2714" t="s">
        <v>56</v>
      </c>
      <c r="D2714" s="6">
        <v>45818</v>
      </c>
      <c r="E2714" t="str">
        <f>VLOOKUP(B2714,'PROCV GERENTES BD'!A:B,2,0)</f>
        <v>ANDERSON FRAGA</v>
      </c>
      <c r="F2714" s="4" t="str">
        <f t="shared" si="224"/>
        <v>2025-06-1</v>
      </c>
      <c r="G2714" t="str">
        <f t="shared" si="225"/>
        <v>ANDERSON FRAGA</v>
      </c>
      <c r="H2714" t="str">
        <f t="shared" si="226"/>
        <v>AMP INDUSTRIA E COMERCIO DE CONDUTORES LTDA</v>
      </c>
      <c r="I2714">
        <f t="shared" si="222"/>
        <v>0</v>
      </c>
      <c r="J2714">
        <f t="shared" si="223"/>
        <v>1</v>
      </c>
    </row>
    <row r="2715" spans="1:10" x14ac:dyDescent="0.25">
      <c r="A2715" t="s">
        <v>393</v>
      </c>
      <c r="B2715" t="s">
        <v>139</v>
      </c>
      <c r="C2715" t="s">
        <v>72</v>
      </c>
      <c r="D2715" s="6">
        <v>45818</v>
      </c>
      <c r="E2715" t="str">
        <f>VLOOKUP(B2715,'PROCV GERENTES BD'!A:B,2,0)</f>
        <v xml:space="preserve">MARCUS VINICIUS </v>
      </c>
      <c r="F2715" s="4" t="str">
        <f t="shared" si="224"/>
        <v>2025-06-1</v>
      </c>
      <c r="G2715" t="str">
        <f t="shared" si="225"/>
        <v xml:space="preserve">MARCUS VINICIUS </v>
      </c>
      <c r="H2715" t="str">
        <f t="shared" si="226"/>
        <v>RODOANEL REFORMADORA DE IMPLEMENTOS RODOVIARIOS LT</v>
      </c>
      <c r="I2715">
        <f t="shared" si="222"/>
        <v>1</v>
      </c>
      <c r="J2715">
        <f t="shared" si="223"/>
        <v>0</v>
      </c>
    </row>
    <row r="2716" spans="1:10" x14ac:dyDescent="0.25">
      <c r="A2716" t="s">
        <v>57</v>
      </c>
      <c r="B2716" t="s">
        <v>58</v>
      </c>
      <c r="C2716" t="s">
        <v>56</v>
      </c>
      <c r="D2716" s="6">
        <v>45818</v>
      </c>
      <c r="E2716" t="str">
        <f>VLOOKUP(B2716,'PROCV GERENTES BD'!A:B,2,0)</f>
        <v>RAFAEL PARISE</v>
      </c>
      <c r="F2716" s="4" t="str">
        <f t="shared" si="224"/>
        <v>2025-06-1</v>
      </c>
      <c r="G2716" t="str">
        <f t="shared" si="225"/>
        <v>RAFAEL PARISE</v>
      </c>
      <c r="H2716" t="str">
        <f t="shared" si="226"/>
        <v>TDR TRANSPORTES LOGISTICA LTDA</v>
      </c>
      <c r="I2716">
        <f t="shared" si="222"/>
        <v>0</v>
      </c>
      <c r="J2716">
        <f t="shared" si="223"/>
        <v>1</v>
      </c>
    </row>
    <row r="2717" spans="1:10" x14ac:dyDescent="0.25">
      <c r="A2717" t="s">
        <v>331</v>
      </c>
      <c r="B2717" t="s">
        <v>126</v>
      </c>
      <c r="C2717" t="s">
        <v>59</v>
      </c>
      <c r="D2717" s="6">
        <v>45818</v>
      </c>
      <c r="E2717" t="str">
        <f>VLOOKUP(B2717,'PROCV GERENTES BD'!A:B,2,0)</f>
        <v>FITZ</v>
      </c>
      <c r="F2717" s="4" t="str">
        <f t="shared" si="224"/>
        <v>2025-06-1</v>
      </c>
      <c r="G2717" t="str">
        <f t="shared" si="225"/>
        <v>FITZ</v>
      </c>
      <c r="H2717" t="str">
        <f t="shared" si="226"/>
        <v>TRANSHENRY TRANSPORTES LTDA</v>
      </c>
      <c r="I2717">
        <f t="shared" si="222"/>
        <v>0</v>
      </c>
      <c r="J2717">
        <f t="shared" si="223"/>
        <v>0</v>
      </c>
    </row>
    <row r="2718" spans="1:10" x14ac:dyDescent="0.25">
      <c r="A2718" t="s">
        <v>531</v>
      </c>
      <c r="B2718" t="s">
        <v>295</v>
      </c>
      <c r="C2718" t="s">
        <v>56</v>
      </c>
      <c r="D2718" s="6">
        <v>45818</v>
      </c>
      <c r="E2718" t="str">
        <f>VLOOKUP(B2718,'PROCV GERENTES BD'!A:B,2,0)</f>
        <v>ADMINISTRAÇÃO</v>
      </c>
      <c r="F2718" s="4" t="str">
        <f t="shared" si="224"/>
        <v>2025-06-1</v>
      </c>
      <c r="G2718" t="str">
        <f t="shared" si="225"/>
        <v>ADMINISTRAÇÃO</v>
      </c>
      <c r="H2718" t="str">
        <f t="shared" si="226"/>
        <v>REFRACONT BRASIL LTDA</v>
      </c>
      <c r="I2718">
        <f t="shared" si="222"/>
        <v>0</v>
      </c>
      <c r="J2718">
        <f t="shared" si="223"/>
        <v>1</v>
      </c>
    </row>
    <row r="2719" spans="1:10" x14ac:dyDescent="0.25">
      <c r="A2719" t="s">
        <v>54</v>
      </c>
      <c r="B2719" t="s">
        <v>55</v>
      </c>
      <c r="C2719" t="s">
        <v>56</v>
      </c>
      <c r="D2719" s="6">
        <v>45818</v>
      </c>
      <c r="E2719" t="str">
        <f>VLOOKUP(B2719,'PROCV GERENTES BD'!A:B,2,0)</f>
        <v xml:space="preserve">MARCUS VINICIUS </v>
      </c>
      <c r="F2719" s="4" t="str">
        <f t="shared" si="224"/>
        <v>2025-06-1</v>
      </c>
      <c r="G2719" t="str">
        <f t="shared" si="225"/>
        <v xml:space="preserve">MARCUS VINICIUS </v>
      </c>
      <c r="H2719" t="str">
        <f t="shared" si="226"/>
        <v>PROMEL IND COM IMP E EXP DE PRODS NATURAIS LTDA</v>
      </c>
      <c r="I2719">
        <f t="shared" si="222"/>
        <v>0</v>
      </c>
      <c r="J2719">
        <f t="shared" si="223"/>
        <v>1</v>
      </c>
    </row>
    <row r="2720" spans="1:10" x14ac:dyDescent="0.25">
      <c r="A2720" t="s">
        <v>542</v>
      </c>
      <c r="B2720" t="s">
        <v>310</v>
      </c>
      <c r="C2720" t="s">
        <v>56</v>
      </c>
      <c r="D2720" s="6">
        <v>45818</v>
      </c>
      <c r="E2720" t="str">
        <f>VLOOKUP(B2720,'PROCV GERENTES BD'!A:B,2,0)</f>
        <v xml:space="preserve">MARCUS VINICIUS </v>
      </c>
      <c r="F2720" s="4" t="str">
        <f t="shared" si="224"/>
        <v>2025-06-1</v>
      </c>
      <c r="G2720" t="str">
        <f t="shared" si="225"/>
        <v xml:space="preserve">MARCUS VINICIUS </v>
      </c>
      <c r="H2720" t="str">
        <f t="shared" si="226"/>
        <v>GRAFICA JSA LTDA EPP</v>
      </c>
      <c r="I2720">
        <f t="shared" si="222"/>
        <v>0</v>
      </c>
      <c r="J2720">
        <f t="shared" si="223"/>
        <v>1</v>
      </c>
    </row>
    <row r="2721" spans="1:10" x14ac:dyDescent="0.25">
      <c r="A2721" t="s">
        <v>333</v>
      </c>
      <c r="B2721" t="s">
        <v>129</v>
      </c>
      <c r="C2721" t="s">
        <v>59</v>
      </c>
      <c r="D2721" s="6">
        <v>45818</v>
      </c>
      <c r="E2721" t="str">
        <f>VLOOKUP(B2721,'PROCV GERENTES BD'!A:B,2,0)</f>
        <v xml:space="preserve">ROGERIO </v>
      </c>
      <c r="F2721" s="4" t="str">
        <f t="shared" si="224"/>
        <v>2025-06-1</v>
      </c>
      <c r="G2721" t="str">
        <f t="shared" si="225"/>
        <v xml:space="preserve">ROGERIO </v>
      </c>
      <c r="H2721" t="str">
        <f t="shared" si="226"/>
        <v>BIBE PRODUTOS INFANTIS LTDA</v>
      </c>
      <c r="I2721">
        <f t="shared" si="222"/>
        <v>0</v>
      </c>
      <c r="J2721">
        <f t="shared" si="223"/>
        <v>0</v>
      </c>
    </row>
    <row r="2722" spans="1:10" x14ac:dyDescent="0.25">
      <c r="A2722" s="15" t="s">
        <v>54</v>
      </c>
      <c r="B2722" s="15" t="s">
        <v>55</v>
      </c>
      <c r="C2722" s="15" t="s">
        <v>56</v>
      </c>
      <c r="D2722" s="6">
        <v>45819</v>
      </c>
      <c r="E2722" t="str">
        <f>VLOOKUP(B2722,'PROCV GERENTES BD'!A:B,2,0)</f>
        <v xml:space="preserve">MARCUS VINICIUS </v>
      </c>
      <c r="F2722" s="4" t="str">
        <f t="shared" ref="F2722:F2734" si="227">YEAR(D2722)&amp;"-"&amp;TEXT(MONTH(D2722),"00")&amp;"-"&amp;IF(DAY(D2722)&lt;=15,"1",IF(DAY(D2722)&gt;15,"2",""))</f>
        <v>2025-06-1</v>
      </c>
      <c r="G2722" t="str">
        <f t="shared" ref="G2722:G2734" si="228">E2722</f>
        <v xml:space="preserve">MARCUS VINICIUS </v>
      </c>
      <c r="H2722" t="str">
        <f t="shared" ref="H2722:H2734" si="229">B2722</f>
        <v>PROMEL IND COM IMP E EXP DE PRODS NATURAIS LTDA</v>
      </c>
      <c r="I2722">
        <f t="shared" si="222"/>
        <v>0</v>
      </c>
      <c r="J2722">
        <f t="shared" si="223"/>
        <v>1</v>
      </c>
    </row>
    <row r="2723" spans="1:10" x14ac:dyDescent="0.25">
      <c r="A2723" s="15" t="s">
        <v>57</v>
      </c>
      <c r="B2723" s="15" t="s">
        <v>58</v>
      </c>
      <c r="C2723" s="15" t="s">
        <v>59</v>
      </c>
      <c r="D2723" s="6">
        <v>45819</v>
      </c>
      <c r="E2723" t="str">
        <f>VLOOKUP(B2723,'PROCV GERENTES BD'!A:B,2,0)</f>
        <v>RAFAEL PARISE</v>
      </c>
      <c r="F2723" s="4" t="str">
        <f t="shared" si="227"/>
        <v>2025-06-1</v>
      </c>
      <c r="G2723" t="str">
        <f t="shared" si="228"/>
        <v>RAFAEL PARISE</v>
      </c>
      <c r="H2723" t="str">
        <f t="shared" si="229"/>
        <v>TDR TRANSPORTES LOGISTICA LTDA</v>
      </c>
      <c r="I2723">
        <f t="shared" si="222"/>
        <v>0</v>
      </c>
      <c r="J2723">
        <f t="shared" si="223"/>
        <v>0</v>
      </c>
    </row>
    <row r="2724" spans="1:10" x14ac:dyDescent="0.25">
      <c r="A2724" s="15" t="s">
        <v>60</v>
      </c>
      <c r="B2724" s="15" t="s">
        <v>61</v>
      </c>
      <c r="C2724" s="15" t="s">
        <v>56</v>
      </c>
      <c r="D2724" s="6">
        <v>45819</v>
      </c>
      <c r="E2724" t="str">
        <f>VLOOKUP(B2724,'PROCV GERENTES BD'!A:B,2,0)</f>
        <v>CELIO PIMENTA</v>
      </c>
      <c r="F2724" s="4" t="str">
        <f t="shared" si="227"/>
        <v>2025-06-1</v>
      </c>
      <c r="G2724" t="str">
        <f t="shared" si="228"/>
        <v>CELIO PIMENTA</v>
      </c>
      <c r="H2724" t="str">
        <f t="shared" si="229"/>
        <v>WJ CALDEIRARIA INDUSTRIA E COMERCIO LTDA ME</v>
      </c>
      <c r="I2724">
        <f t="shared" si="222"/>
        <v>0</v>
      </c>
      <c r="J2724">
        <f t="shared" si="223"/>
        <v>1</v>
      </c>
    </row>
    <row r="2725" spans="1:10" x14ac:dyDescent="0.25">
      <c r="A2725" s="15" t="s">
        <v>62</v>
      </c>
      <c r="B2725" s="15" t="s">
        <v>63</v>
      </c>
      <c r="C2725" s="15" t="s">
        <v>56</v>
      </c>
      <c r="D2725" s="6">
        <v>45819</v>
      </c>
      <c r="E2725" t="str">
        <f>VLOOKUP(B2725,'PROCV GERENTES BD'!A:B,2,0)</f>
        <v xml:space="preserve">ROGERIO </v>
      </c>
      <c r="F2725" s="4" t="str">
        <f t="shared" si="227"/>
        <v>2025-06-1</v>
      </c>
      <c r="G2725" t="str">
        <f t="shared" si="228"/>
        <v xml:space="preserve">ROGERIO </v>
      </c>
      <c r="H2725" t="str">
        <f t="shared" si="229"/>
        <v>RODOVIEIRA TRANSPORTE LTDA</v>
      </c>
      <c r="I2725">
        <f t="shared" si="222"/>
        <v>0</v>
      </c>
      <c r="J2725">
        <f t="shared" si="223"/>
        <v>1</v>
      </c>
    </row>
    <row r="2726" spans="1:10" x14ac:dyDescent="0.25">
      <c r="A2726" s="15" t="s">
        <v>64</v>
      </c>
      <c r="B2726" s="15" t="s">
        <v>65</v>
      </c>
      <c r="C2726" s="15" t="s">
        <v>56</v>
      </c>
      <c r="D2726" s="6">
        <v>45819</v>
      </c>
      <c r="E2726" t="str">
        <f>VLOOKUP(B2726,'PROCV GERENTES BD'!A:B,2,0)</f>
        <v>ADMINISTRAÇÃO</v>
      </c>
      <c r="F2726" s="4" t="str">
        <f t="shared" si="227"/>
        <v>2025-06-1</v>
      </c>
      <c r="G2726" t="str">
        <f t="shared" si="228"/>
        <v>ADMINISTRAÇÃO</v>
      </c>
      <c r="H2726" t="str">
        <f t="shared" si="229"/>
        <v>BIOTECH LOGISTICA LTDA</v>
      </c>
      <c r="I2726">
        <f t="shared" si="222"/>
        <v>0</v>
      </c>
      <c r="J2726">
        <f t="shared" si="223"/>
        <v>1</v>
      </c>
    </row>
    <row r="2727" spans="1:10" x14ac:dyDescent="0.25">
      <c r="A2727" s="15" t="s">
        <v>66</v>
      </c>
      <c r="B2727" s="15" t="s">
        <v>67</v>
      </c>
      <c r="C2727" s="15" t="s">
        <v>56</v>
      </c>
      <c r="D2727" s="6">
        <v>45819</v>
      </c>
      <c r="E2727" t="str">
        <f>VLOOKUP(B2727,'PROCV GERENTES BD'!A:B,2,0)</f>
        <v xml:space="preserve">MARCUS VINICIUS </v>
      </c>
      <c r="F2727" s="4" t="str">
        <f t="shared" si="227"/>
        <v>2025-06-1</v>
      </c>
      <c r="G2727" t="str">
        <f t="shared" si="228"/>
        <v xml:space="preserve">MARCUS VINICIUS </v>
      </c>
      <c r="H2727" t="str">
        <f t="shared" si="229"/>
        <v>COM IND DE CEREAIS E TRANSPORTES MACIEL LTDA</v>
      </c>
      <c r="I2727">
        <f t="shared" si="222"/>
        <v>0</v>
      </c>
      <c r="J2727">
        <f t="shared" si="223"/>
        <v>1</v>
      </c>
    </row>
    <row r="2728" spans="1:10" x14ac:dyDescent="0.25">
      <c r="A2728" s="15" t="s">
        <v>68</v>
      </c>
      <c r="B2728" s="15" t="s">
        <v>69</v>
      </c>
      <c r="C2728" s="15" t="s">
        <v>56</v>
      </c>
      <c r="D2728" s="6">
        <v>45819</v>
      </c>
      <c r="E2728" t="str">
        <f>VLOOKUP(B2728,'PROCV GERENTES BD'!A:B,2,0)</f>
        <v>FITZ</v>
      </c>
      <c r="F2728" s="4" t="str">
        <f t="shared" si="227"/>
        <v>2025-06-1</v>
      </c>
      <c r="G2728" t="str">
        <f t="shared" si="228"/>
        <v>FITZ</v>
      </c>
      <c r="H2728" t="str">
        <f t="shared" si="229"/>
        <v>MAPP COM IMPORTACAO EXPORTACAO IND PRODUTOS ALIMEN</v>
      </c>
      <c r="I2728">
        <f t="shared" si="222"/>
        <v>0</v>
      </c>
      <c r="J2728">
        <f t="shared" si="223"/>
        <v>1</v>
      </c>
    </row>
    <row r="2729" spans="1:10" x14ac:dyDescent="0.25">
      <c r="A2729" s="15" t="s">
        <v>70</v>
      </c>
      <c r="B2729" s="15" t="s">
        <v>71</v>
      </c>
      <c r="C2729" s="15" t="s">
        <v>72</v>
      </c>
      <c r="D2729" s="6">
        <v>45819</v>
      </c>
      <c r="E2729" t="str">
        <f>VLOOKUP(B2729,'PROCV GERENTES BD'!A:B,2,0)</f>
        <v>SEM GERENTE</v>
      </c>
      <c r="F2729" s="4" t="str">
        <f t="shared" si="227"/>
        <v>2025-06-1</v>
      </c>
      <c r="G2729" t="str">
        <f t="shared" si="228"/>
        <v>SEM GERENTE</v>
      </c>
      <c r="H2729" t="str">
        <f t="shared" si="229"/>
        <v>SOCIAL S/A</v>
      </c>
      <c r="I2729">
        <f t="shared" si="222"/>
        <v>1</v>
      </c>
      <c r="J2729">
        <f t="shared" si="223"/>
        <v>0</v>
      </c>
    </row>
    <row r="2730" spans="1:10" x14ac:dyDescent="0.25">
      <c r="A2730" s="15" t="s">
        <v>73</v>
      </c>
      <c r="B2730" s="15" t="s">
        <v>74</v>
      </c>
      <c r="C2730" s="15" t="s">
        <v>56</v>
      </c>
      <c r="D2730" s="6">
        <v>45819</v>
      </c>
      <c r="E2730" t="str">
        <f>VLOOKUP(B2730,'PROCV GERENTES BD'!A:B,2,0)</f>
        <v xml:space="preserve">ROGERIO </v>
      </c>
      <c r="F2730" s="4" t="str">
        <f t="shared" si="227"/>
        <v>2025-06-1</v>
      </c>
      <c r="G2730" t="str">
        <f t="shared" si="228"/>
        <v xml:space="preserve">ROGERIO </v>
      </c>
      <c r="H2730" t="str">
        <f t="shared" si="229"/>
        <v>DIOTTONI INDUSTRIA E COMERCIO DE ALIMENTOS LTDA ME</v>
      </c>
      <c r="I2730">
        <f t="shared" si="222"/>
        <v>0</v>
      </c>
      <c r="J2730">
        <f t="shared" si="223"/>
        <v>1</v>
      </c>
    </row>
    <row r="2731" spans="1:10" x14ac:dyDescent="0.25">
      <c r="A2731" s="15" t="s">
        <v>75</v>
      </c>
      <c r="B2731" s="15" t="s">
        <v>76</v>
      </c>
      <c r="C2731" s="15" t="s">
        <v>77</v>
      </c>
      <c r="D2731" s="6">
        <v>45819</v>
      </c>
      <c r="E2731" t="str">
        <f>VLOOKUP(B2731,'PROCV GERENTES BD'!A:B,2,0)</f>
        <v>ALISSON DE SOUZA LIMA</v>
      </c>
      <c r="F2731" s="4" t="str">
        <f t="shared" si="227"/>
        <v>2025-06-1</v>
      </c>
      <c r="G2731" t="str">
        <f t="shared" si="228"/>
        <v>ALISSON DE SOUZA LIMA</v>
      </c>
      <c r="H2731" t="str">
        <f t="shared" si="229"/>
        <v>AUTOMOTIV DO BRASIL INDUSTRIAL LTDA</v>
      </c>
      <c r="I2731">
        <f t="shared" si="222"/>
        <v>0</v>
      </c>
      <c r="J2731">
        <f t="shared" si="223"/>
        <v>0</v>
      </c>
    </row>
    <row r="2732" spans="1:10" x14ac:dyDescent="0.25">
      <c r="A2732" s="15" t="s">
        <v>78</v>
      </c>
      <c r="B2732" s="15" t="s">
        <v>79</v>
      </c>
      <c r="C2732" s="15" t="s">
        <v>56</v>
      </c>
      <c r="D2732" s="6">
        <v>45819</v>
      </c>
      <c r="E2732" t="str">
        <f>VLOOKUP(B2732,'PROCV GERENTES BD'!A:B,2,0)</f>
        <v>NOELI SALETE</v>
      </c>
      <c r="F2732" s="4" t="str">
        <f t="shared" si="227"/>
        <v>2025-06-1</v>
      </c>
      <c r="G2732" t="str">
        <f t="shared" si="228"/>
        <v>NOELI SALETE</v>
      </c>
      <c r="H2732" t="str">
        <f t="shared" si="229"/>
        <v>SMARTCENTER SOLUCOES INTELIGENTES LTDA ME</v>
      </c>
      <c r="I2732">
        <f t="shared" si="222"/>
        <v>0</v>
      </c>
      <c r="J2732">
        <f t="shared" si="223"/>
        <v>1</v>
      </c>
    </row>
    <row r="2733" spans="1:10" x14ac:dyDescent="0.25">
      <c r="A2733" s="15" t="s">
        <v>80</v>
      </c>
      <c r="B2733" s="15" t="s">
        <v>81</v>
      </c>
      <c r="C2733" s="15" t="s">
        <v>72</v>
      </c>
      <c r="D2733" s="6">
        <v>45819</v>
      </c>
      <c r="E2733" t="str">
        <f>VLOOKUP(B2733,'PROCV GERENTES BD'!A:B,2,0)</f>
        <v>CAIO</v>
      </c>
      <c r="F2733" s="4" t="str">
        <f t="shared" si="227"/>
        <v>2025-06-1</v>
      </c>
      <c r="G2733" t="str">
        <f t="shared" si="228"/>
        <v>CAIO</v>
      </c>
      <c r="H2733" t="str">
        <f t="shared" si="229"/>
        <v>TP DISTRIBUIDORA DE PECAS LTDA EPP</v>
      </c>
      <c r="I2733">
        <f t="shared" si="222"/>
        <v>1</v>
      </c>
      <c r="J2733">
        <f t="shared" si="223"/>
        <v>0</v>
      </c>
    </row>
    <row r="2734" spans="1:10" x14ac:dyDescent="0.25">
      <c r="A2734" s="15" t="s">
        <v>82</v>
      </c>
      <c r="B2734" s="15" t="s">
        <v>83</v>
      </c>
      <c r="C2734" s="15" t="s">
        <v>72</v>
      </c>
      <c r="D2734" s="6">
        <v>45819</v>
      </c>
      <c r="E2734" t="str">
        <f>VLOOKUP(B2734,'PROCV GERENTES BD'!A:B,2,0)</f>
        <v>RAFAEL PARISE</v>
      </c>
      <c r="F2734" s="4" t="str">
        <f t="shared" si="227"/>
        <v>2025-06-1</v>
      </c>
      <c r="G2734" t="str">
        <f t="shared" si="228"/>
        <v>RAFAEL PARISE</v>
      </c>
      <c r="H2734" t="str">
        <f t="shared" si="229"/>
        <v>UNITA AUTO PECAS LTDA EPP</v>
      </c>
      <c r="I2734">
        <f t="shared" si="222"/>
        <v>1</v>
      </c>
      <c r="J2734">
        <f t="shared" si="223"/>
        <v>0</v>
      </c>
    </row>
    <row r="2735" spans="1:10" x14ac:dyDescent="0.25">
      <c r="A2735" s="15" t="s">
        <v>311</v>
      </c>
      <c r="B2735" s="15" t="s">
        <v>130</v>
      </c>
      <c r="C2735" s="15" t="s">
        <v>56</v>
      </c>
      <c r="D2735" s="6">
        <v>45820</v>
      </c>
      <c r="E2735" t="str">
        <f>VLOOKUP(B2735,'PROCV GERENTES BD'!A:B,2,0)</f>
        <v>ANTONIO CARLOS</v>
      </c>
      <c r="F2735" s="4" t="str">
        <f t="shared" ref="F2735:F2746" si="230">YEAR(D2735)&amp;"-"&amp;TEXT(MONTH(D2735),"00")&amp;"-"&amp;IF(DAY(D2735)&lt;=15,"1",IF(DAY(D2735)&gt;15,"2",""))</f>
        <v>2025-06-1</v>
      </c>
      <c r="G2735" t="str">
        <f t="shared" ref="G2735:G2746" si="231">E2735</f>
        <v>ANTONIO CARLOS</v>
      </c>
      <c r="H2735" t="str">
        <f t="shared" ref="H2735:H2746" si="232">B2735</f>
        <v>VIC LOGISTICA LTDA EM RECUPERACAO JUDICIAL</v>
      </c>
      <c r="I2735">
        <f t="shared" si="222"/>
        <v>0</v>
      </c>
      <c r="J2735">
        <f t="shared" si="223"/>
        <v>1</v>
      </c>
    </row>
    <row r="2736" spans="1:10" x14ac:dyDescent="0.25">
      <c r="A2736" s="15" t="s">
        <v>312</v>
      </c>
      <c r="B2736" s="15" t="s">
        <v>148</v>
      </c>
      <c r="C2736" s="15" t="s">
        <v>72</v>
      </c>
      <c r="D2736" s="6">
        <v>45820</v>
      </c>
      <c r="E2736" t="str">
        <f>VLOOKUP(B2736,'PROCV GERENTES BD'!A:B,2,0)</f>
        <v>NOELI SALETE</v>
      </c>
      <c r="F2736" s="4" t="str">
        <f t="shared" si="230"/>
        <v>2025-06-1</v>
      </c>
      <c r="G2736" t="str">
        <f t="shared" si="231"/>
        <v>NOELI SALETE</v>
      </c>
      <c r="H2736" t="str">
        <f t="shared" si="232"/>
        <v>JMS EMBALAGENS INDUSTRIAIS LTDA</v>
      </c>
      <c r="I2736">
        <f t="shared" si="222"/>
        <v>1</v>
      </c>
      <c r="J2736">
        <f t="shared" si="223"/>
        <v>0</v>
      </c>
    </row>
    <row r="2737" spans="1:10" x14ac:dyDescent="0.25">
      <c r="A2737" s="15" t="s">
        <v>313</v>
      </c>
      <c r="B2737" s="15" t="s">
        <v>273</v>
      </c>
      <c r="C2737" s="15" t="s">
        <v>72</v>
      </c>
      <c r="D2737" s="6">
        <v>45820</v>
      </c>
      <c r="E2737" t="str">
        <f>VLOOKUP(B2737,'PROCV GERENTES BD'!A:B,2,0)</f>
        <v>CAIO</v>
      </c>
      <c r="F2737" s="4" t="str">
        <f t="shared" si="230"/>
        <v>2025-06-1</v>
      </c>
      <c r="G2737" t="str">
        <f t="shared" si="231"/>
        <v>CAIO</v>
      </c>
      <c r="H2737" t="str">
        <f t="shared" si="232"/>
        <v>MECALD MECANICA E CALDEIRARIA LTDA EPP</v>
      </c>
      <c r="I2737">
        <f t="shared" si="222"/>
        <v>1</v>
      </c>
      <c r="J2737">
        <f t="shared" si="223"/>
        <v>0</v>
      </c>
    </row>
    <row r="2738" spans="1:10" x14ac:dyDescent="0.25">
      <c r="A2738" s="15" t="s">
        <v>314</v>
      </c>
      <c r="B2738" s="15" t="s">
        <v>108</v>
      </c>
      <c r="C2738" s="15" t="s">
        <v>72</v>
      </c>
      <c r="D2738" s="6">
        <v>45820</v>
      </c>
      <c r="E2738" t="str">
        <f>VLOOKUP(B2738,'PROCV GERENTES BD'!A:B,2,0)</f>
        <v>POENATELA</v>
      </c>
      <c r="F2738" s="4" t="str">
        <f t="shared" si="230"/>
        <v>2025-06-1</v>
      </c>
      <c r="G2738" t="str">
        <f t="shared" si="231"/>
        <v>POENATELA</v>
      </c>
      <c r="H2738" t="str">
        <f t="shared" si="232"/>
        <v>ECOPINUS INDUSTRIA E COMERCIO DE EMBALAGENS DE MAD</v>
      </c>
      <c r="I2738">
        <f t="shared" si="222"/>
        <v>1</v>
      </c>
      <c r="J2738">
        <f t="shared" si="223"/>
        <v>0</v>
      </c>
    </row>
    <row r="2739" spans="1:10" x14ac:dyDescent="0.25">
      <c r="A2739" s="15" t="s">
        <v>60</v>
      </c>
      <c r="B2739" s="15" t="s">
        <v>61</v>
      </c>
      <c r="C2739" s="15" t="s">
        <v>56</v>
      </c>
      <c r="D2739" s="6">
        <v>45820</v>
      </c>
      <c r="E2739" t="str">
        <f>VLOOKUP(B2739,'PROCV GERENTES BD'!A:B,2,0)</f>
        <v>CELIO PIMENTA</v>
      </c>
      <c r="F2739" s="4" t="str">
        <f t="shared" si="230"/>
        <v>2025-06-1</v>
      </c>
      <c r="G2739" t="str">
        <f t="shared" si="231"/>
        <v>CELIO PIMENTA</v>
      </c>
      <c r="H2739" t="str">
        <f t="shared" si="232"/>
        <v>WJ CALDEIRARIA INDUSTRIA E COMERCIO LTDA ME</v>
      </c>
      <c r="I2739">
        <f t="shared" si="222"/>
        <v>0</v>
      </c>
      <c r="J2739">
        <f t="shared" si="223"/>
        <v>1</v>
      </c>
    </row>
    <row r="2740" spans="1:10" x14ac:dyDescent="0.25">
      <c r="A2740" s="15" t="s">
        <v>315</v>
      </c>
      <c r="B2740" s="15" t="s">
        <v>291</v>
      </c>
      <c r="C2740" s="15" t="s">
        <v>72</v>
      </c>
      <c r="D2740" s="6">
        <v>45820</v>
      </c>
      <c r="E2740" t="str">
        <f>VLOOKUP(B2740,'PROCV GERENTES BD'!A:B,2,0)</f>
        <v>CAIO</v>
      </c>
      <c r="F2740" s="4" t="str">
        <f t="shared" si="230"/>
        <v>2025-06-1</v>
      </c>
      <c r="G2740" t="str">
        <f t="shared" si="231"/>
        <v>CAIO</v>
      </c>
      <c r="H2740" t="str">
        <f t="shared" si="232"/>
        <v>GLOBALMAX INDUSTRIA PLASTICA S/A</v>
      </c>
      <c r="I2740">
        <f t="shared" si="222"/>
        <v>1</v>
      </c>
      <c r="J2740">
        <f t="shared" si="223"/>
        <v>0</v>
      </c>
    </row>
    <row r="2741" spans="1:10" x14ac:dyDescent="0.25">
      <c r="A2741" s="15" t="s">
        <v>62</v>
      </c>
      <c r="B2741" s="15" t="s">
        <v>63</v>
      </c>
      <c r="C2741" s="15" t="s">
        <v>56</v>
      </c>
      <c r="D2741" s="6">
        <v>45820</v>
      </c>
      <c r="E2741" t="str">
        <f>VLOOKUP(B2741,'PROCV GERENTES BD'!A:B,2,0)</f>
        <v xml:space="preserve">ROGERIO </v>
      </c>
      <c r="F2741" s="4" t="str">
        <f t="shared" si="230"/>
        <v>2025-06-1</v>
      </c>
      <c r="G2741" t="str">
        <f t="shared" si="231"/>
        <v xml:space="preserve">ROGERIO </v>
      </c>
      <c r="H2741" t="str">
        <f t="shared" si="232"/>
        <v>RODOVIEIRA TRANSPORTE LTDA</v>
      </c>
      <c r="I2741">
        <f t="shared" si="222"/>
        <v>0</v>
      </c>
      <c r="J2741">
        <f t="shared" si="223"/>
        <v>1</v>
      </c>
    </row>
    <row r="2742" spans="1:10" x14ac:dyDescent="0.25">
      <c r="A2742" s="15" t="s">
        <v>64</v>
      </c>
      <c r="B2742" s="15" t="s">
        <v>65</v>
      </c>
      <c r="C2742" s="15" t="s">
        <v>72</v>
      </c>
      <c r="D2742" s="6">
        <v>45820</v>
      </c>
      <c r="E2742" t="str">
        <f>VLOOKUP(B2742,'PROCV GERENTES BD'!A:B,2,0)</f>
        <v>ADMINISTRAÇÃO</v>
      </c>
      <c r="F2742" s="4" t="str">
        <f t="shared" si="230"/>
        <v>2025-06-1</v>
      </c>
      <c r="G2742" t="str">
        <f t="shared" si="231"/>
        <v>ADMINISTRAÇÃO</v>
      </c>
      <c r="H2742" t="str">
        <f t="shared" si="232"/>
        <v>BIOTECH LOGISTICA LTDA</v>
      </c>
      <c r="I2742">
        <f t="shared" si="222"/>
        <v>1</v>
      </c>
      <c r="J2742">
        <f t="shared" si="223"/>
        <v>0</v>
      </c>
    </row>
    <row r="2743" spans="1:10" x14ac:dyDescent="0.25">
      <c r="A2743" s="15" t="s">
        <v>316</v>
      </c>
      <c r="B2743" s="15" t="s">
        <v>298</v>
      </c>
      <c r="C2743" s="15" t="s">
        <v>56</v>
      </c>
      <c r="D2743" s="6">
        <v>45820</v>
      </c>
      <c r="E2743" t="str">
        <f>VLOOKUP(B2743,'PROCV GERENTES BD'!A:B,2,0)</f>
        <v>ANTECIPA</v>
      </c>
      <c r="F2743" s="4" t="str">
        <f t="shared" si="230"/>
        <v>2025-06-1</v>
      </c>
      <c r="G2743" t="str">
        <f t="shared" si="231"/>
        <v>ANTECIPA</v>
      </c>
      <c r="H2743" t="str">
        <f t="shared" si="232"/>
        <v>CENTRAL DO M R O COMERCIAL IMPORTACOES E SERVICOS</v>
      </c>
      <c r="I2743">
        <f t="shared" si="222"/>
        <v>0</v>
      </c>
      <c r="J2743">
        <f t="shared" si="223"/>
        <v>1</v>
      </c>
    </row>
    <row r="2744" spans="1:10" x14ac:dyDescent="0.25">
      <c r="A2744" s="15" t="s">
        <v>317</v>
      </c>
      <c r="B2744" s="15" t="s">
        <v>211</v>
      </c>
      <c r="C2744" s="15" t="s">
        <v>72</v>
      </c>
      <c r="D2744" s="6">
        <v>45820</v>
      </c>
      <c r="E2744" t="str">
        <f>VLOOKUP(B2744,'PROCV GERENTES BD'!A:B,2,0)</f>
        <v xml:space="preserve">MARCUS VINICIUS </v>
      </c>
      <c r="F2744" s="4" t="str">
        <f t="shared" si="230"/>
        <v>2025-06-1</v>
      </c>
      <c r="G2744" t="str">
        <f t="shared" si="231"/>
        <v xml:space="preserve">MARCUS VINICIUS </v>
      </c>
      <c r="H2744" t="str">
        <f t="shared" si="232"/>
        <v>INDUSTRIA E COMERCIO DE CHURRASQUEIRAS BOM JESUS L</v>
      </c>
      <c r="I2744">
        <f t="shared" si="222"/>
        <v>1</v>
      </c>
      <c r="J2744">
        <f t="shared" si="223"/>
        <v>0</v>
      </c>
    </row>
    <row r="2745" spans="1:10" x14ac:dyDescent="0.25">
      <c r="A2745" s="15" t="s">
        <v>73</v>
      </c>
      <c r="B2745" s="15" t="s">
        <v>74</v>
      </c>
      <c r="C2745" s="15" t="s">
        <v>72</v>
      </c>
      <c r="D2745" s="6">
        <v>45820</v>
      </c>
      <c r="E2745" t="str">
        <f>VLOOKUP(B2745,'PROCV GERENTES BD'!A:B,2,0)</f>
        <v xml:space="preserve">ROGERIO </v>
      </c>
      <c r="F2745" s="4" t="str">
        <f t="shared" si="230"/>
        <v>2025-06-1</v>
      </c>
      <c r="G2745" t="str">
        <f t="shared" si="231"/>
        <v xml:space="preserve">ROGERIO </v>
      </c>
      <c r="H2745" t="str">
        <f t="shared" si="232"/>
        <v>DIOTTONI INDUSTRIA E COMERCIO DE ALIMENTOS LTDA ME</v>
      </c>
      <c r="I2745">
        <f t="shared" si="222"/>
        <v>1</v>
      </c>
      <c r="J2745">
        <f t="shared" si="223"/>
        <v>0</v>
      </c>
    </row>
    <row r="2746" spans="1:10" x14ac:dyDescent="0.25">
      <c r="A2746" s="15" t="s">
        <v>80</v>
      </c>
      <c r="B2746" s="15" t="s">
        <v>81</v>
      </c>
      <c r="C2746" s="15" t="s">
        <v>72</v>
      </c>
      <c r="D2746" s="6">
        <v>45820</v>
      </c>
      <c r="E2746" t="str">
        <f>VLOOKUP(B2746,'PROCV GERENTES BD'!A:B,2,0)</f>
        <v>CAIO</v>
      </c>
      <c r="F2746" s="4" t="str">
        <f t="shared" si="230"/>
        <v>2025-06-1</v>
      </c>
      <c r="G2746" t="str">
        <f t="shared" si="231"/>
        <v>CAIO</v>
      </c>
      <c r="H2746" t="str">
        <f t="shared" si="232"/>
        <v>TP DISTRIBUIDORA DE PECAS LTDA EPP</v>
      </c>
      <c r="I2746">
        <f t="shared" si="222"/>
        <v>1</v>
      </c>
      <c r="J2746">
        <f t="shared" si="223"/>
        <v>0</v>
      </c>
    </row>
    <row r="2747" spans="1:10" x14ac:dyDescent="0.25">
      <c r="A2747" s="15" t="s">
        <v>318</v>
      </c>
      <c r="B2747" s="15" t="s">
        <v>87</v>
      </c>
      <c r="C2747" s="15" t="s">
        <v>56</v>
      </c>
      <c r="D2747" s="6">
        <v>45821</v>
      </c>
      <c r="E2747" t="str">
        <f>VLOOKUP(B2747,'PROCV GERENTES BD'!A:B,2,0)</f>
        <v>CELIO PIMENTA</v>
      </c>
      <c r="F2747" s="4" t="str">
        <f t="shared" ref="F2747:F2764" si="233">YEAR(D2747)&amp;"-"&amp;TEXT(MONTH(D2747),"00")&amp;"-"&amp;IF(DAY(D2747)&lt;=15,"1",IF(DAY(D2747)&gt;15,"2",""))</f>
        <v>2025-06-1</v>
      </c>
      <c r="G2747" t="str">
        <f t="shared" ref="G2747:G2764" si="234">E2747</f>
        <v>CELIO PIMENTA</v>
      </c>
      <c r="H2747" t="str">
        <f t="shared" ref="H2747:H2764" si="235">B2747</f>
        <v>MBIOLOG DIAGNOSTICOS LTDA</v>
      </c>
      <c r="I2747">
        <f t="shared" si="222"/>
        <v>0</v>
      </c>
      <c r="J2747">
        <f t="shared" si="223"/>
        <v>1</v>
      </c>
    </row>
    <row r="2748" spans="1:10" x14ac:dyDescent="0.25">
      <c r="A2748" s="15" t="s">
        <v>319</v>
      </c>
      <c r="B2748" s="15" t="s">
        <v>320</v>
      </c>
      <c r="C2748" s="15" t="s">
        <v>56</v>
      </c>
      <c r="D2748" s="6">
        <v>45821</v>
      </c>
      <c r="E2748" t="str">
        <f>VLOOKUP(B2748,'PROCV GERENTES BD'!A:B,2,0)</f>
        <v>ALISSON DE SOUZA LIMA</v>
      </c>
      <c r="F2748" s="4" t="str">
        <f t="shared" si="233"/>
        <v>2025-06-1</v>
      </c>
      <c r="G2748" t="str">
        <f t="shared" si="234"/>
        <v>ALISSON DE SOUZA LIMA</v>
      </c>
      <c r="H2748" t="str">
        <f t="shared" si="235"/>
        <v>ITAQUAFER FERRAMENTAS LTDA ME</v>
      </c>
      <c r="I2748">
        <f t="shared" si="222"/>
        <v>0</v>
      </c>
      <c r="J2748">
        <f t="shared" si="223"/>
        <v>1</v>
      </c>
    </row>
    <row r="2749" spans="1:10" x14ac:dyDescent="0.25">
      <c r="A2749" s="15" t="s">
        <v>321</v>
      </c>
      <c r="B2749" s="15" t="s">
        <v>253</v>
      </c>
      <c r="C2749" s="15" t="s">
        <v>72</v>
      </c>
      <c r="D2749" s="6">
        <v>45821</v>
      </c>
      <c r="E2749" t="str">
        <f>VLOOKUP(B2749,'PROCV GERENTES BD'!A:B,2,0)</f>
        <v>THAYNA/COMERCIAL</v>
      </c>
      <c r="F2749" s="4" t="str">
        <f t="shared" si="233"/>
        <v>2025-06-1</v>
      </c>
      <c r="G2749" t="str">
        <f t="shared" si="234"/>
        <v>THAYNA/COMERCIAL</v>
      </c>
      <c r="H2749" t="str">
        <f t="shared" si="235"/>
        <v>MUTCD CENTRO DE DISTRIBUICAO DE IND FABRICANTE DE</v>
      </c>
      <c r="I2749">
        <f t="shared" si="222"/>
        <v>1</v>
      </c>
      <c r="J2749">
        <f t="shared" si="223"/>
        <v>0</v>
      </c>
    </row>
    <row r="2750" spans="1:10" x14ac:dyDescent="0.25">
      <c r="A2750" s="15" t="s">
        <v>322</v>
      </c>
      <c r="B2750" s="15" t="s">
        <v>277</v>
      </c>
      <c r="C2750" s="15" t="s">
        <v>72</v>
      </c>
      <c r="D2750" s="6">
        <v>45821</v>
      </c>
      <c r="E2750" t="str">
        <f>VLOOKUP(B2750,'PROCV GERENTES BD'!A:B,2,0)</f>
        <v>SEM GERENTE</v>
      </c>
      <c r="F2750" s="4" t="str">
        <f t="shared" si="233"/>
        <v>2025-06-1</v>
      </c>
      <c r="G2750" t="str">
        <f t="shared" si="234"/>
        <v>SEM GERENTE</v>
      </c>
      <c r="H2750" t="str">
        <f t="shared" si="235"/>
        <v>FAC INDUSTRIA E SERVICOS LTDA ME</v>
      </c>
      <c r="I2750">
        <f t="shared" si="222"/>
        <v>1</v>
      </c>
      <c r="J2750">
        <f t="shared" si="223"/>
        <v>0</v>
      </c>
    </row>
    <row r="2751" spans="1:10" x14ac:dyDescent="0.25">
      <c r="A2751" s="15" t="s">
        <v>323</v>
      </c>
      <c r="B2751" s="15" t="s">
        <v>309</v>
      </c>
      <c r="C2751" s="15" t="s">
        <v>72</v>
      </c>
      <c r="D2751" s="6">
        <v>45821</v>
      </c>
      <c r="E2751" t="str">
        <f>VLOOKUP(B2751,'PROCV GERENTES BD'!A:B,2,0)</f>
        <v>CELIO PIMENTA</v>
      </c>
      <c r="F2751" s="4" t="str">
        <f t="shared" si="233"/>
        <v>2025-06-1</v>
      </c>
      <c r="G2751" t="str">
        <f t="shared" si="234"/>
        <v>CELIO PIMENTA</v>
      </c>
      <c r="H2751" t="str">
        <f t="shared" si="235"/>
        <v>LOTUS DESENVOLVIMENTO IMOBILIARIO LTDA</v>
      </c>
      <c r="I2751">
        <f t="shared" si="222"/>
        <v>1</v>
      </c>
      <c r="J2751">
        <f t="shared" si="223"/>
        <v>0</v>
      </c>
    </row>
    <row r="2752" spans="1:10" x14ac:dyDescent="0.25">
      <c r="A2752" s="15" t="s">
        <v>68</v>
      </c>
      <c r="B2752" s="15" t="s">
        <v>69</v>
      </c>
      <c r="C2752" s="15" t="s">
        <v>56</v>
      </c>
      <c r="D2752" s="6">
        <v>45821</v>
      </c>
      <c r="E2752" t="str">
        <f>VLOOKUP(B2752,'PROCV GERENTES BD'!A:B,2,0)</f>
        <v>FITZ</v>
      </c>
      <c r="F2752" s="4" t="str">
        <f t="shared" si="233"/>
        <v>2025-06-1</v>
      </c>
      <c r="G2752" t="str">
        <f t="shared" si="234"/>
        <v>FITZ</v>
      </c>
      <c r="H2752" t="str">
        <f t="shared" si="235"/>
        <v>MAPP COM IMPORTACAO EXPORTACAO IND PRODUTOS ALIMEN</v>
      </c>
      <c r="I2752">
        <f t="shared" si="222"/>
        <v>0</v>
      </c>
      <c r="J2752">
        <f t="shared" si="223"/>
        <v>1</v>
      </c>
    </row>
    <row r="2753" spans="1:10" x14ac:dyDescent="0.25">
      <c r="A2753" s="15" t="s">
        <v>324</v>
      </c>
      <c r="B2753" s="15" t="s">
        <v>287</v>
      </c>
      <c r="C2753" s="15" t="s">
        <v>72</v>
      </c>
      <c r="D2753" s="6">
        <v>45821</v>
      </c>
      <c r="E2753" t="str">
        <f>VLOOKUP(B2753,'PROCV GERENTES BD'!A:B,2,0)</f>
        <v>PROSPECTAR</v>
      </c>
      <c r="F2753" s="4" t="str">
        <f t="shared" si="233"/>
        <v>2025-06-1</v>
      </c>
      <c r="G2753" t="str">
        <f t="shared" si="234"/>
        <v>PROSPECTAR</v>
      </c>
      <c r="H2753" t="str">
        <f t="shared" si="235"/>
        <v>STA TECHCANA LTDA</v>
      </c>
      <c r="I2753">
        <f t="shared" si="222"/>
        <v>1</v>
      </c>
      <c r="J2753">
        <f t="shared" si="223"/>
        <v>0</v>
      </c>
    </row>
    <row r="2754" spans="1:10" x14ac:dyDescent="0.25">
      <c r="A2754" s="15" t="s">
        <v>325</v>
      </c>
      <c r="B2754" s="15" t="s">
        <v>210</v>
      </c>
      <c r="C2754" s="15" t="s">
        <v>72</v>
      </c>
      <c r="D2754" s="6">
        <v>45821</v>
      </c>
      <c r="E2754" t="str">
        <f>VLOOKUP(B2754,'PROCV GERENTES BD'!A:B,2,0)</f>
        <v>JOSE ROBERTO</v>
      </c>
      <c r="F2754" s="4" t="str">
        <f t="shared" si="233"/>
        <v>2025-06-1</v>
      </c>
      <c r="G2754" t="str">
        <f t="shared" si="234"/>
        <v>JOSE ROBERTO</v>
      </c>
      <c r="H2754" t="str">
        <f t="shared" si="235"/>
        <v>FUNDACAO DE ENSINO E PESQUISA DO SUL DE MINAS FEPE</v>
      </c>
      <c r="I2754">
        <f t="shared" ref="I2754:I2764" si="236">IF(C2754="EXCLUSAO  ANOT.INADIMPLENCIA",1,0)</f>
        <v>1</v>
      </c>
      <c r="J2754">
        <f t="shared" ref="J2754:J2764" si="237">IF(C2754="INCLUSAO  ANOT.INADIMPLENCIA",1,0)</f>
        <v>0</v>
      </c>
    </row>
    <row r="2755" spans="1:10" x14ac:dyDescent="0.25">
      <c r="A2755" s="15" t="s">
        <v>326</v>
      </c>
      <c r="B2755" s="15" t="s">
        <v>86</v>
      </c>
      <c r="C2755" s="15" t="s">
        <v>72</v>
      </c>
      <c r="D2755" s="6">
        <v>45821</v>
      </c>
      <c r="E2755" t="str">
        <f>VLOOKUP(B2755,'PROCV GERENTES BD'!A:B,2,0)</f>
        <v>CELIO PIMENTA</v>
      </c>
      <c r="F2755" s="4" t="str">
        <f t="shared" si="233"/>
        <v>2025-06-1</v>
      </c>
      <c r="G2755" t="str">
        <f t="shared" si="234"/>
        <v>CELIO PIMENTA</v>
      </c>
      <c r="H2755" t="str">
        <f t="shared" si="235"/>
        <v>IMPORTEXTIL COMERCIO DE TECIDOS LTDA</v>
      </c>
      <c r="I2755">
        <f t="shared" si="236"/>
        <v>1</v>
      </c>
      <c r="J2755">
        <f t="shared" si="237"/>
        <v>0</v>
      </c>
    </row>
    <row r="2756" spans="1:10" x14ac:dyDescent="0.25">
      <c r="A2756" s="15" t="s">
        <v>62</v>
      </c>
      <c r="B2756" s="15" t="s">
        <v>63</v>
      </c>
      <c r="C2756" s="15" t="s">
        <v>56</v>
      </c>
      <c r="D2756" s="6">
        <v>45821</v>
      </c>
      <c r="E2756" t="str">
        <f>VLOOKUP(B2756,'PROCV GERENTES BD'!A:B,2,0)</f>
        <v xml:space="preserve">ROGERIO </v>
      </c>
      <c r="F2756" s="4" t="str">
        <f t="shared" si="233"/>
        <v>2025-06-1</v>
      </c>
      <c r="G2756" t="str">
        <f t="shared" si="234"/>
        <v xml:space="preserve">ROGERIO </v>
      </c>
      <c r="H2756" t="str">
        <f t="shared" si="235"/>
        <v>RODOVIEIRA TRANSPORTE LTDA</v>
      </c>
      <c r="I2756">
        <f t="shared" si="236"/>
        <v>0</v>
      </c>
      <c r="J2756">
        <f t="shared" si="237"/>
        <v>1</v>
      </c>
    </row>
    <row r="2757" spans="1:10" x14ac:dyDescent="0.25">
      <c r="A2757" s="15" t="s">
        <v>327</v>
      </c>
      <c r="B2757" s="15" t="s">
        <v>212</v>
      </c>
      <c r="C2757" s="15" t="s">
        <v>56</v>
      </c>
      <c r="D2757" s="6">
        <v>45821</v>
      </c>
      <c r="E2757" t="str">
        <f>VLOOKUP(B2757,'PROCV GERENTES BD'!A:B,2,0)</f>
        <v xml:space="preserve">MARCUS VINICIUS </v>
      </c>
      <c r="F2757" s="4" t="str">
        <f t="shared" si="233"/>
        <v>2025-06-1</v>
      </c>
      <c r="G2757" t="str">
        <f t="shared" si="234"/>
        <v xml:space="preserve">MARCUS VINICIUS </v>
      </c>
      <c r="H2757" t="str">
        <f t="shared" si="235"/>
        <v>COMERCIAL GODINHO FERREIRA LTDA</v>
      </c>
      <c r="I2757">
        <f t="shared" si="236"/>
        <v>0</v>
      </c>
      <c r="J2757">
        <f t="shared" si="237"/>
        <v>1</v>
      </c>
    </row>
    <row r="2758" spans="1:10" x14ac:dyDescent="0.25">
      <c r="A2758" s="15" t="s">
        <v>328</v>
      </c>
      <c r="B2758" s="15" t="s">
        <v>271</v>
      </c>
      <c r="C2758" s="15" t="s">
        <v>56</v>
      </c>
      <c r="D2758" s="6">
        <v>45821</v>
      </c>
      <c r="E2758" t="str">
        <f>VLOOKUP(B2758,'PROCV GERENTES BD'!A:B,2,0)</f>
        <v>RAFAEL PARISE</v>
      </c>
      <c r="F2758" s="4" t="str">
        <f t="shared" si="233"/>
        <v>2025-06-1</v>
      </c>
      <c r="G2758" t="str">
        <f t="shared" si="234"/>
        <v>RAFAEL PARISE</v>
      </c>
      <c r="H2758" t="str">
        <f t="shared" si="235"/>
        <v>METALCROMO METALIZACAO E CROMO DURO INDUSTRIAL LTD</v>
      </c>
      <c r="I2758">
        <f t="shared" si="236"/>
        <v>0</v>
      </c>
      <c r="J2758">
        <f t="shared" si="237"/>
        <v>1</v>
      </c>
    </row>
    <row r="2759" spans="1:10" x14ac:dyDescent="0.25">
      <c r="A2759" s="15" t="s">
        <v>329</v>
      </c>
      <c r="B2759" s="15" t="s">
        <v>301</v>
      </c>
      <c r="C2759" s="15" t="s">
        <v>56</v>
      </c>
      <c r="D2759" s="6">
        <v>45821</v>
      </c>
      <c r="E2759" t="str">
        <f>VLOOKUP(B2759,'PROCV GERENTES BD'!A:B,2,0)</f>
        <v>CAIO</v>
      </c>
      <c r="F2759" s="4" t="str">
        <f t="shared" si="233"/>
        <v>2025-06-1</v>
      </c>
      <c r="G2759" t="str">
        <f t="shared" si="234"/>
        <v>CAIO</v>
      </c>
      <c r="H2759" t="str">
        <f t="shared" si="235"/>
        <v>LAF COMERCIAL LTDA ME</v>
      </c>
      <c r="I2759">
        <f t="shared" si="236"/>
        <v>0</v>
      </c>
      <c r="J2759">
        <f t="shared" si="237"/>
        <v>1</v>
      </c>
    </row>
    <row r="2760" spans="1:10" x14ac:dyDescent="0.25">
      <c r="A2760" s="15" t="s">
        <v>314</v>
      </c>
      <c r="B2760" s="15" t="s">
        <v>108</v>
      </c>
      <c r="C2760" s="15" t="s">
        <v>56</v>
      </c>
      <c r="D2760" s="6">
        <v>45821</v>
      </c>
      <c r="E2760" t="str">
        <f>VLOOKUP(B2760,'PROCV GERENTES BD'!A:B,2,0)</f>
        <v>POENATELA</v>
      </c>
      <c r="F2760" s="4" t="str">
        <f t="shared" si="233"/>
        <v>2025-06-1</v>
      </c>
      <c r="G2760" t="str">
        <f t="shared" si="234"/>
        <v>POENATELA</v>
      </c>
      <c r="H2760" t="str">
        <f t="shared" si="235"/>
        <v>ECOPINUS INDUSTRIA E COMERCIO DE EMBALAGENS DE MAD</v>
      </c>
      <c r="I2760">
        <f t="shared" si="236"/>
        <v>0</v>
      </c>
      <c r="J2760">
        <f t="shared" si="237"/>
        <v>1</v>
      </c>
    </row>
    <row r="2761" spans="1:10" x14ac:dyDescent="0.25">
      <c r="A2761" s="15" t="s">
        <v>330</v>
      </c>
      <c r="B2761" s="15" t="s">
        <v>116</v>
      </c>
      <c r="C2761" s="15" t="s">
        <v>72</v>
      </c>
      <c r="D2761" s="6">
        <v>45821</v>
      </c>
      <c r="E2761" t="str">
        <f>VLOOKUP(B2761,'PROCV GERENTES BD'!A:B,2,0)</f>
        <v>FITZ</v>
      </c>
      <c r="F2761" s="4" t="str">
        <f t="shared" si="233"/>
        <v>2025-06-1</v>
      </c>
      <c r="G2761" t="str">
        <f t="shared" si="234"/>
        <v>FITZ</v>
      </c>
      <c r="H2761" t="str">
        <f t="shared" si="235"/>
        <v>SIAP COMERCIO DE PRODUTOS AGROPECUARIOS LTDA</v>
      </c>
      <c r="I2761">
        <f t="shared" si="236"/>
        <v>1</v>
      </c>
      <c r="J2761">
        <f t="shared" si="237"/>
        <v>0</v>
      </c>
    </row>
    <row r="2762" spans="1:10" x14ac:dyDescent="0.25">
      <c r="A2762" s="15" t="s">
        <v>331</v>
      </c>
      <c r="B2762" s="15" t="s">
        <v>126</v>
      </c>
      <c r="C2762" s="15" t="s">
        <v>56</v>
      </c>
      <c r="D2762" s="6">
        <v>45821</v>
      </c>
      <c r="E2762" t="str">
        <f>VLOOKUP(B2762,'PROCV GERENTES BD'!A:B,2,0)</f>
        <v>FITZ</v>
      </c>
      <c r="F2762" s="4" t="str">
        <f t="shared" si="233"/>
        <v>2025-06-1</v>
      </c>
      <c r="G2762" t="str">
        <f t="shared" si="234"/>
        <v>FITZ</v>
      </c>
      <c r="H2762" t="str">
        <f t="shared" si="235"/>
        <v>TRANSHENRY TRANSPORTES LTDA</v>
      </c>
      <c r="I2762">
        <f t="shared" si="236"/>
        <v>0</v>
      </c>
      <c r="J2762">
        <f t="shared" si="237"/>
        <v>1</v>
      </c>
    </row>
    <row r="2763" spans="1:10" x14ac:dyDescent="0.25">
      <c r="A2763" s="15" t="s">
        <v>332</v>
      </c>
      <c r="B2763" s="15" t="s">
        <v>145</v>
      </c>
      <c r="C2763" s="15" t="s">
        <v>72</v>
      </c>
      <c r="D2763" s="6">
        <v>45821</v>
      </c>
      <c r="E2763" t="str">
        <f>VLOOKUP(B2763,'PROCV GERENTES BD'!A:B,2,0)</f>
        <v>SEM GERENTE</v>
      </c>
      <c r="F2763" s="4" t="str">
        <f t="shared" si="233"/>
        <v>2025-06-1</v>
      </c>
      <c r="G2763" t="str">
        <f t="shared" si="234"/>
        <v>SEM GERENTE</v>
      </c>
      <c r="H2763" t="str">
        <f t="shared" si="235"/>
        <v>ALLIAGE S A INDUSTRIAS MEDICO ODONTOLOGICA</v>
      </c>
      <c r="I2763">
        <f t="shared" si="236"/>
        <v>1</v>
      </c>
      <c r="J2763">
        <f t="shared" si="237"/>
        <v>0</v>
      </c>
    </row>
    <row r="2764" spans="1:10" x14ac:dyDescent="0.25">
      <c r="A2764" s="15" t="s">
        <v>333</v>
      </c>
      <c r="B2764" s="15" t="s">
        <v>129</v>
      </c>
      <c r="C2764" s="15" t="s">
        <v>72</v>
      </c>
      <c r="D2764" s="6">
        <v>45821</v>
      </c>
      <c r="E2764" t="str">
        <f>VLOOKUP(B2764,'PROCV GERENTES BD'!A:B,2,0)</f>
        <v xml:space="preserve">ROGERIO </v>
      </c>
      <c r="F2764" s="4" t="str">
        <f t="shared" si="233"/>
        <v>2025-06-1</v>
      </c>
      <c r="G2764" t="str">
        <f t="shared" si="234"/>
        <v xml:space="preserve">ROGERIO </v>
      </c>
      <c r="H2764" t="str">
        <f t="shared" si="235"/>
        <v>BIBE PRODUTOS INFANTIS LTDA</v>
      </c>
      <c r="I2764">
        <f t="shared" si="236"/>
        <v>1</v>
      </c>
      <c r="J2764">
        <f t="shared" si="237"/>
        <v>0</v>
      </c>
    </row>
    <row r="2765" spans="1:10" x14ac:dyDescent="0.25">
      <c r="A2765" s="15" t="s">
        <v>318</v>
      </c>
      <c r="B2765" s="15" t="s">
        <v>87</v>
      </c>
      <c r="C2765" s="15" t="s">
        <v>56</v>
      </c>
      <c r="D2765" s="6">
        <v>45822</v>
      </c>
      <c r="E2765" t="str">
        <f>VLOOKUP(B2765,'PROCV GERENTES BD'!A:B,2,0)</f>
        <v>CELIO PIMENTA</v>
      </c>
      <c r="F2765" s="4" t="str">
        <f t="shared" ref="F2765:F2772" si="238">YEAR(D2765)&amp;"-"&amp;TEXT(MONTH(D2765),"00")&amp;"-"&amp;IF(DAY(D2765)&lt;=15,"1",IF(DAY(D2765)&gt;15,"2",""))</f>
        <v>2025-06-1</v>
      </c>
      <c r="G2765" t="str">
        <f t="shared" ref="G2765:G2772" si="239">E2765</f>
        <v>CELIO PIMENTA</v>
      </c>
      <c r="H2765" t="str">
        <f t="shared" ref="H2765:H2772" si="240">B2765</f>
        <v>MBIOLOG DIAGNOSTICOS LTDA</v>
      </c>
      <c r="I2765">
        <f t="shared" ref="I2765:I2772" si="241">IF(C2765="EXCLUSAO  ANOT.INADIMPLENCIA",1,0)</f>
        <v>0</v>
      </c>
      <c r="J2765">
        <f t="shared" ref="J2765:J2772" si="242">IF(C2765="INCLUSAO  ANOT.INADIMPLENCIA",1,0)</f>
        <v>1</v>
      </c>
    </row>
    <row r="2766" spans="1:10" x14ac:dyDescent="0.25">
      <c r="A2766" s="15" t="s">
        <v>532</v>
      </c>
      <c r="B2766" s="15" t="s">
        <v>296</v>
      </c>
      <c r="C2766" s="15" t="s">
        <v>56</v>
      </c>
      <c r="D2766" s="6">
        <v>45822</v>
      </c>
      <c r="E2766" t="str">
        <f>VLOOKUP(B2766,'PROCV GERENTES BD'!A:B,2,0)</f>
        <v>DALVA</v>
      </c>
      <c r="F2766" s="4" t="str">
        <f t="shared" si="238"/>
        <v>2025-06-1</v>
      </c>
      <c r="G2766" t="str">
        <f t="shared" si="239"/>
        <v>DALVA</v>
      </c>
      <c r="H2766" t="str">
        <f t="shared" si="240"/>
        <v>FRAITECH INTELIGENCIA EM AUTOMACAO LTDA</v>
      </c>
      <c r="I2766">
        <f t="shared" si="241"/>
        <v>0</v>
      </c>
      <c r="J2766">
        <f t="shared" si="242"/>
        <v>1</v>
      </c>
    </row>
    <row r="2767" spans="1:10" x14ac:dyDescent="0.25">
      <c r="A2767" s="15" t="s">
        <v>57</v>
      </c>
      <c r="B2767" s="15" t="s">
        <v>58</v>
      </c>
      <c r="C2767" s="15" t="s">
        <v>56</v>
      </c>
      <c r="D2767" s="6">
        <v>45822</v>
      </c>
      <c r="E2767" t="str">
        <f>VLOOKUP(B2767,'PROCV GERENTES BD'!A:B,2,0)</f>
        <v>RAFAEL PARISE</v>
      </c>
      <c r="F2767" s="4" t="str">
        <f t="shared" si="238"/>
        <v>2025-06-1</v>
      </c>
      <c r="G2767" t="str">
        <f t="shared" si="239"/>
        <v>RAFAEL PARISE</v>
      </c>
      <c r="H2767" t="str">
        <f t="shared" si="240"/>
        <v>TDR TRANSPORTES LOGISTICA LTDA</v>
      </c>
      <c r="I2767">
        <f t="shared" si="241"/>
        <v>0</v>
      </c>
      <c r="J2767">
        <f t="shared" si="242"/>
        <v>1</v>
      </c>
    </row>
    <row r="2768" spans="1:10" x14ac:dyDescent="0.25">
      <c r="A2768" s="15" t="s">
        <v>60</v>
      </c>
      <c r="B2768" s="15" t="s">
        <v>61</v>
      </c>
      <c r="C2768" s="15" t="s">
        <v>56</v>
      </c>
      <c r="D2768" s="6">
        <v>45822</v>
      </c>
      <c r="E2768" t="str">
        <f>VLOOKUP(B2768,'PROCV GERENTES BD'!A:B,2,0)</f>
        <v>CELIO PIMENTA</v>
      </c>
      <c r="F2768" s="4" t="str">
        <f t="shared" si="238"/>
        <v>2025-06-1</v>
      </c>
      <c r="G2768" t="str">
        <f t="shared" si="239"/>
        <v>CELIO PIMENTA</v>
      </c>
      <c r="H2768" t="str">
        <f t="shared" si="240"/>
        <v>WJ CALDEIRARIA INDUSTRIA E COMERCIO LTDA ME</v>
      </c>
      <c r="I2768">
        <f t="shared" si="241"/>
        <v>0</v>
      </c>
      <c r="J2768">
        <f t="shared" si="242"/>
        <v>1</v>
      </c>
    </row>
    <row r="2769" spans="1:10" x14ac:dyDescent="0.25">
      <c r="A2769" s="15" t="s">
        <v>325</v>
      </c>
      <c r="B2769" s="15" t="s">
        <v>210</v>
      </c>
      <c r="C2769" s="15" t="s">
        <v>56</v>
      </c>
      <c r="D2769" s="6">
        <v>45822</v>
      </c>
      <c r="E2769" t="str">
        <f>VLOOKUP(B2769,'PROCV GERENTES BD'!A:B,2,0)</f>
        <v>JOSE ROBERTO</v>
      </c>
      <c r="F2769" s="4" t="str">
        <f t="shared" si="238"/>
        <v>2025-06-1</v>
      </c>
      <c r="G2769" t="str">
        <f t="shared" si="239"/>
        <v>JOSE ROBERTO</v>
      </c>
      <c r="H2769" t="str">
        <f t="shared" si="240"/>
        <v>FUNDACAO DE ENSINO E PESQUISA DO SUL DE MINAS FEPE</v>
      </c>
      <c r="I2769">
        <f t="shared" si="241"/>
        <v>0</v>
      </c>
      <c r="J2769">
        <f t="shared" si="242"/>
        <v>1</v>
      </c>
    </row>
    <row r="2770" spans="1:10" x14ac:dyDescent="0.25">
      <c r="A2770" s="15" t="s">
        <v>367</v>
      </c>
      <c r="B2770" s="15" t="s">
        <v>112</v>
      </c>
      <c r="C2770" s="15" t="s">
        <v>56</v>
      </c>
      <c r="D2770" s="6">
        <v>45822</v>
      </c>
      <c r="E2770" t="str">
        <f>VLOOKUP(B2770,'PROCV GERENTES BD'!A:B,2,0)</f>
        <v>FITZ</v>
      </c>
      <c r="F2770" s="4" t="str">
        <f t="shared" si="238"/>
        <v>2025-06-1</v>
      </c>
      <c r="G2770" t="str">
        <f t="shared" si="239"/>
        <v>FITZ</v>
      </c>
      <c r="H2770" t="str">
        <f t="shared" si="240"/>
        <v>ALEXANDRE ROSA VICENTE E SERVICOS LTDA ME</v>
      </c>
      <c r="I2770">
        <f t="shared" si="241"/>
        <v>0</v>
      </c>
      <c r="J2770">
        <f t="shared" si="242"/>
        <v>1</v>
      </c>
    </row>
    <row r="2771" spans="1:10" x14ac:dyDescent="0.25">
      <c r="A2771" s="15" t="s">
        <v>68</v>
      </c>
      <c r="B2771" s="15" t="s">
        <v>69</v>
      </c>
      <c r="C2771" s="15" t="s">
        <v>56</v>
      </c>
      <c r="D2771" s="6">
        <v>45822</v>
      </c>
      <c r="E2771" t="str">
        <f>VLOOKUP(B2771,'PROCV GERENTES BD'!A:B,2,0)</f>
        <v>FITZ</v>
      </c>
      <c r="F2771" s="4" t="str">
        <f t="shared" si="238"/>
        <v>2025-06-1</v>
      </c>
      <c r="G2771" t="str">
        <f t="shared" si="239"/>
        <v>FITZ</v>
      </c>
      <c r="H2771" t="str">
        <f t="shared" si="240"/>
        <v>MAPP COM IMPORTACAO EXPORTACAO IND PRODUTOS ALIMEN</v>
      </c>
      <c r="I2771">
        <f t="shared" si="241"/>
        <v>0</v>
      </c>
      <c r="J2771">
        <f t="shared" si="242"/>
        <v>1</v>
      </c>
    </row>
    <row r="2772" spans="1:10" x14ac:dyDescent="0.25">
      <c r="A2772" s="15" t="s">
        <v>611</v>
      </c>
      <c r="B2772" s="15" t="s">
        <v>550</v>
      </c>
      <c r="C2772" s="15" t="s">
        <v>72</v>
      </c>
      <c r="D2772" s="6">
        <v>45822</v>
      </c>
      <c r="E2772" t="str">
        <f>VLOOKUP(B2772,'PROCV GERENTES BD'!A:B,2,0)</f>
        <v xml:space="preserve">MARCUS VINICIUS </v>
      </c>
      <c r="F2772" s="4" t="str">
        <f t="shared" si="238"/>
        <v>2025-06-1</v>
      </c>
      <c r="G2772" t="str">
        <f t="shared" si="239"/>
        <v xml:space="preserve">MARCUS VINICIUS </v>
      </c>
      <c r="H2772" t="str">
        <f t="shared" si="240"/>
        <v>JSA INDUSTRIA DE COSMETICOS LTDA EPP</v>
      </c>
      <c r="I2772">
        <f t="shared" si="241"/>
        <v>1</v>
      </c>
      <c r="J2772">
        <f t="shared" si="242"/>
        <v>0</v>
      </c>
    </row>
    <row r="2773" spans="1:10" x14ac:dyDescent="0.25">
      <c r="A2773" s="15" t="s">
        <v>537</v>
      </c>
      <c r="B2773" s="15" t="s">
        <v>304</v>
      </c>
      <c r="C2773" s="15" t="s">
        <v>56</v>
      </c>
      <c r="D2773" s="6">
        <v>45825</v>
      </c>
      <c r="E2773" t="str">
        <f>VLOOKUP(B2773,'PROCV GERENTES BD'!A:B,2,0)</f>
        <v>ANDRE CUNHA</v>
      </c>
      <c r="F2773" s="4" t="str">
        <f t="shared" ref="F2773:F2797" si="243">YEAR(D2773)&amp;"-"&amp;TEXT(MONTH(D2773),"00")&amp;"-"&amp;IF(DAY(D2773)&lt;=15,"1",IF(DAY(D2773)&gt;15,"2",""))</f>
        <v>2025-06-2</v>
      </c>
      <c r="G2773" t="str">
        <f t="shared" ref="G2773:G2797" si="244">E2773</f>
        <v>ANDRE CUNHA</v>
      </c>
      <c r="H2773" t="str">
        <f t="shared" ref="H2773:H2797" si="245">B2773</f>
        <v>REVPACK TECNOLOGIA E COMERCIO DE COMPONENTES PLAST</v>
      </c>
      <c r="I2773">
        <f t="shared" ref="I2773:I2797" si="246">IF(C2773="EXCLUSAO  ANOT.INADIMPLENCIA",1,0)</f>
        <v>0</v>
      </c>
      <c r="J2773">
        <f t="shared" ref="J2773:J2797" si="247">IF(C2773="INCLUSAO  ANOT.INADIMPLENCIA",1,0)</f>
        <v>1</v>
      </c>
    </row>
    <row r="2774" spans="1:10" x14ac:dyDescent="0.25">
      <c r="A2774" s="15" t="s">
        <v>321</v>
      </c>
      <c r="B2774" s="15" t="s">
        <v>253</v>
      </c>
      <c r="C2774" s="15" t="s">
        <v>59</v>
      </c>
      <c r="D2774" s="6">
        <v>45825</v>
      </c>
      <c r="E2774" t="str">
        <f>VLOOKUP(B2774,'PROCV GERENTES BD'!A:B,2,0)</f>
        <v>THAYNA/COMERCIAL</v>
      </c>
      <c r="F2774" s="4" t="str">
        <f t="shared" si="243"/>
        <v>2025-06-2</v>
      </c>
      <c r="G2774" t="str">
        <f t="shared" si="244"/>
        <v>THAYNA/COMERCIAL</v>
      </c>
      <c r="H2774" t="str">
        <f t="shared" si="245"/>
        <v>MUTCD CENTRO DE DISTRIBUICAO DE IND FABRICANTE DE</v>
      </c>
      <c r="I2774">
        <f t="shared" si="246"/>
        <v>0</v>
      </c>
      <c r="J2774">
        <f t="shared" si="247"/>
        <v>0</v>
      </c>
    </row>
    <row r="2775" spans="1:10" x14ac:dyDescent="0.25">
      <c r="A2775" s="15" t="s">
        <v>528</v>
      </c>
      <c r="B2775" s="15" t="s">
        <v>292</v>
      </c>
      <c r="C2775" s="15" t="s">
        <v>56</v>
      </c>
      <c r="D2775" s="6">
        <v>45825</v>
      </c>
      <c r="E2775" t="str">
        <f>VLOOKUP(B2775,'PROCV GERENTES BD'!A:B,2,0)</f>
        <v>PROSPECTAR</v>
      </c>
      <c r="F2775" s="4" t="str">
        <f t="shared" si="243"/>
        <v>2025-06-2</v>
      </c>
      <c r="G2775" t="str">
        <f t="shared" si="244"/>
        <v>PROSPECTAR</v>
      </c>
      <c r="H2775" t="str">
        <f t="shared" si="245"/>
        <v>NUTRIBEM SAL E RACOES LTDA</v>
      </c>
      <c r="I2775">
        <f t="shared" si="246"/>
        <v>0</v>
      </c>
      <c r="J2775">
        <f t="shared" si="247"/>
        <v>1</v>
      </c>
    </row>
    <row r="2776" spans="1:10" x14ac:dyDescent="0.25">
      <c r="A2776" s="15" t="s">
        <v>469</v>
      </c>
      <c r="B2776" s="15" t="s">
        <v>225</v>
      </c>
      <c r="C2776" s="15" t="s">
        <v>59</v>
      </c>
      <c r="D2776" s="6">
        <v>45825</v>
      </c>
      <c r="E2776" t="str">
        <f>VLOOKUP(B2776,'PROCV GERENTES BD'!A:B,2,0)</f>
        <v>SEM GERENTE</v>
      </c>
      <c r="F2776" s="4" t="str">
        <f t="shared" si="243"/>
        <v>2025-06-2</v>
      </c>
      <c r="G2776" t="str">
        <f t="shared" si="244"/>
        <v>SEM GERENTE</v>
      </c>
      <c r="H2776" t="str">
        <f t="shared" si="245"/>
        <v>KUARA COMERCIAL E EXPORTADORA DE FRUTAS LTDA</v>
      </c>
      <c r="I2776">
        <f t="shared" si="246"/>
        <v>0</v>
      </c>
      <c r="J2776">
        <f t="shared" si="247"/>
        <v>0</v>
      </c>
    </row>
    <row r="2777" spans="1:10" x14ac:dyDescent="0.25">
      <c r="A2777" s="15" t="s">
        <v>611</v>
      </c>
      <c r="B2777" s="15" t="s">
        <v>550</v>
      </c>
      <c r="C2777" s="15" t="s">
        <v>72</v>
      </c>
      <c r="D2777" s="6">
        <v>45825</v>
      </c>
      <c r="E2777" t="str">
        <f>VLOOKUP(B2777,'PROCV GERENTES BD'!A:B,2,0)</f>
        <v xml:space="preserve">MARCUS VINICIUS </v>
      </c>
      <c r="F2777" s="4" t="str">
        <f t="shared" si="243"/>
        <v>2025-06-2</v>
      </c>
      <c r="G2777" t="str">
        <f t="shared" si="244"/>
        <v xml:space="preserve">MARCUS VINICIUS </v>
      </c>
      <c r="H2777" t="str">
        <f t="shared" si="245"/>
        <v>JSA INDUSTRIA DE COSMETICOS LTDA EPP</v>
      </c>
      <c r="I2777">
        <f t="shared" si="246"/>
        <v>1</v>
      </c>
      <c r="J2777">
        <f t="shared" si="247"/>
        <v>0</v>
      </c>
    </row>
    <row r="2778" spans="1:10" x14ac:dyDescent="0.25">
      <c r="A2778" s="15" t="s">
        <v>458</v>
      </c>
      <c r="B2778" s="15" t="s">
        <v>214</v>
      </c>
      <c r="C2778" s="15" t="s">
        <v>56</v>
      </c>
      <c r="D2778" s="6">
        <v>45825</v>
      </c>
      <c r="E2778" t="str">
        <f>VLOOKUP(B2778,'PROCV GERENTES BD'!A:B,2,0)</f>
        <v>CELIO PIMENTA</v>
      </c>
      <c r="F2778" s="4" t="str">
        <f t="shared" si="243"/>
        <v>2025-06-2</v>
      </c>
      <c r="G2778" t="str">
        <f t="shared" si="244"/>
        <v>CELIO PIMENTA</v>
      </c>
      <c r="H2778" t="str">
        <f t="shared" si="245"/>
        <v>LIDER COMERCIO DE UNIFORMES E EPI S LTDA ME</v>
      </c>
      <c r="I2778">
        <f t="shared" si="246"/>
        <v>0</v>
      </c>
      <c r="J2778">
        <f t="shared" si="247"/>
        <v>1</v>
      </c>
    </row>
    <row r="2779" spans="1:10" x14ac:dyDescent="0.25">
      <c r="A2779" s="15" t="s">
        <v>377</v>
      </c>
      <c r="B2779" s="15" t="s">
        <v>120</v>
      </c>
      <c r="C2779" s="15" t="s">
        <v>56</v>
      </c>
      <c r="D2779" s="6">
        <v>45825</v>
      </c>
      <c r="E2779" t="str">
        <f>VLOOKUP(B2779,'PROCV GERENTES BD'!A:B,2,0)</f>
        <v xml:space="preserve">MARCUS VINICIUS </v>
      </c>
      <c r="F2779" s="4" t="str">
        <f t="shared" si="243"/>
        <v>2025-06-2</v>
      </c>
      <c r="G2779" t="str">
        <f t="shared" si="244"/>
        <v xml:space="preserve">MARCUS VINICIUS </v>
      </c>
      <c r="H2779" t="str">
        <f t="shared" si="245"/>
        <v>ISOBASE POLIESTIRENO LTDA EPP</v>
      </c>
      <c r="I2779">
        <f t="shared" si="246"/>
        <v>0</v>
      </c>
      <c r="J2779">
        <f t="shared" si="247"/>
        <v>1</v>
      </c>
    </row>
    <row r="2780" spans="1:10" x14ac:dyDescent="0.25">
      <c r="A2780" s="15" t="s">
        <v>435</v>
      </c>
      <c r="B2780" s="15" t="s">
        <v>185</v>
      </c>
      <c r="C2780" s="15" t="s">
        <v>59</v>
      </c>
      <c r="D2780" s="6">
        <v>45825</v>
      </c>
      <c r="E2780" t="str">
        <f>VLOOKUP(B2780,'PROCV GERENTES BD'!A:B,2,0)</f>
        <v>ADMINISTRAÇÃO</v>
      </c>
      <c r="F2780" s="4" t="str">
        <f t="shared" si="243"/>
        <v>2025-06-2</v>
      </c>
      <c r="G2780" t="str">
        <f t="shared" si="244"/>
        <v>ADMINISTRAÇÃO</v>
      </c>
      <c r="H2780" t="str">
        <f t="shared" si="245"/>
        <v>LIZZENA COSMETICOS LTDA EPP</v>
      </c>
      <c r="I2780">
        <f t="shared" si="246"/>
        <v>0</v>
      </c>
      <c r="J2780">
        <f t="shared" si="247"/>
        <v>0</v>
      </c>
    </row>
    <row r="2781" spans="1:10" x14ac:dyDescent="0.25">
      <c r="A2781" s="15" t="s">
        <v>73</v>
      </c>
      <c r="B2781" s="15" t="s">
        <v>74</v>
      </c>
      <c r="C2781" s="15" t="s">
        <v>56</v>
      </c>
      <c r="D2781" s="6">
        <v>45825</v>
      </c>
      <c r="E2781" t="str">
        <f>VLOOKUP(B2781,'PROCV GERENTES BD'!A:B,2,0)</f>
        <v xml:space="preserve">ROGERIO </v>
      </c>
      <c r="F2781" s="4" t="str">
        <f t="shared" si="243"/>
        <v>2025-06-2</v>
      </c>
      <c r="G2781" t="str">
        <f t="shared" si="244"/>
        <v xml:space="preserve">ROGERIO </v>
      </c>
      <c r="H2781" t="str">
        <f t="shared" si="245"/>
        <v>DIOTTONI INDUSTRIA E COMERCIO DE ALIMENTOS LTDA ME</v>
      </c>
      <c r="I2781">
        <f t="shared" si="246"/>
        <v>0</v>
      </c>
      <c r="J2781">
        <f t="shared" si="247"/>
        <v>1</v>
      </c>
    </row>
    <row r="2782" spans="1:10" x14ac:dyDescent="0.25">
      <c r="A2782" s="15" t="s">
        <v>70</v>
      </c>
      <c r="B2782" s="15" t="s">
        <v>71</v>
      </c>
      <c r="C2782" s="15" t="s">
        <v>56</v>
      </c>
      <c r="D2782" s="6">
        <v>45825</v>
      </c>
      <c r="E2782" t="str">
        <f>VLOOKUP(B2782,'PROCV GERENTES BD'!A:B,2,0)</f>
        <v>SEM GERENTE</v>
      </c>
      <c r="F2782" s="4" t="str">
        <f t="shared" si="243"/>
        <v>2025-06-2</v>
      </c>
      <c r="G2782" t="str">
        <f t="shared" si="244"/>
        <v>SEM GERENTE</v>
      </c>
      <c r="H2782" t="str">
        <f t="shared" si="245"/>
        <v>SOCIAL S/A</v>
      </c>
      <c r="I2782">
        <f t="shared" si="246"/>
        <v>0</v>
      </c>
      <c r="J2782">
        <f t="shared" si="247"/>
        <v>1</v>
      </c>
    </row>
    <row r="2783" spans="1:10" x14ac:dyDescent="0.25">
      <c r="A2783" s="15" t="s">
        <v>68</v>
      </c>
      <c r="B2783" s="15" t="s">
        <v>69</v>
      </c>
      <c r="C2783" s="15" t="s">
        <v>56</v>
      </c>
      <c r="D2783" s="6">
        <v>45825</v>
      </c>
      <c r="E2783" t="str">
        <f>VLOOKUP(B2783,'PROCV GERENTES BD'!A:B,2,0)</f>
        <v>FITZ</v>
      </c>
      <c r="F2783" s="4" t="str">
        <f t="shared" si="243"/>
        <v>2025-06-2</v>
      </c>
      <c r="G2783" t="str">
        <f t="shared" si="244"/>
        <v>FITZ</v>
      </c>
      <c r="H2783" t="str">
        <f t="shared" si="245"/>
        <v>MAPP COM IMPORTACAO EXPORTACAO IND PRODUTOS ALIMEN</v>
      </c>
      <c r="I2783">
        <f t="shared" si="246"/>
        <v>0</v>
      </c>
      <c r="J2783">
        <f t="shared" si="247"/>
        <v>1</v>
      </c>
    </row>
    <row r="2784" spans="1:10" x14ac:dyDescent="0.25">
      <c r="A2784" s="15" t="s">
        <v>387</v>
      </c>
      <c r="B2784" s="15" t="s">
        <v>133</v>
      </c>
      <c r="C2784" s="15" t="s">
        <v>56</v>
      </c>
      <c r="D2784" s="6">
        <v>45825</v>
      </c>
      <c r="E2784" t="str">
        <f>VLOOKUP(B2784,'PROCV GERENTES BD'!A:B,2,0)</f>
        <v>ADMINISTRAÇÃO</v>
      </c>
      <c r="F2784" s="4" t="str">
        <f t="shared" si="243"/>
        <v>2025-06-2</v>
      </c>
      <c r="G2784" t="str">
        <f t="shared" si="244"/>
        <v>ADMINISTRAÇÃO</v>
      </c>
      <c r="H2784" t="str">
        <f t="shared" si="245"/>
        <v>ENXOVAIS MINAS LTDA ME</v>
      </c>
      <c r="I2784">
        <f t="shared" si="246"/>
        <v>0</v>
      </c>
      <c r="J2784">
        <f t="shared" si="247"/>
        <v>1</v>
      </c>
    </row>
    <row r="2785" spans="1:10" x14ac:dyDescent="0.25">
      <c r="A2785" s="15" t="s">
        <v>360</v>
      </c>
      <c r="B2785" s="15" t="s">
        <v>102</v>
      </c>
      <c r="C2785" s="15" t="s">
        <v>56</v>
      </c>
      <c r="D2785" s="6">
        <v>45825</v>
      </c>
      <c r="E2785" t="str">
        <f>VLOOKUP(B2785,'PROCV GERENTES BD'!A:B,2,0)</f>
        <v>POENATELA</v>
      </c>
      <c r="F2785" s="4" t="str">
        <f t="shared" si="243"/>
        <v>2025-06-2</v>
      </c>
      <c r="G2785" t="str">
        <f t="shared" si="244"/>
        <v>POENATELA</v>
      </c>
      <c r="H2785" t="str">
        <f t="shared" si="245"/>
        <v>SUPER HARD TECNOLOGIA EM TRATAMENTO DE SUPERFICIES</v>
      </c>
      <c r="I2785">
        <f t="shared" si="246"/>
        <v>0</v>
      </c>
      <c r="J2785">
        <f t="shared" si="247"/>
        <v>1</v>
      </c>
    </row>
    <row r="2786" spans="1:10" x14ac:dyDescent="0.25">
      <c r="A2786" s="15" t="s">
        <v>327</v>
      </c>
      <c r="B2786" s="15" t="s">
        <v>212</v>
      </c>
      <c r="C2786" s="15" t="s">
        <v>56</v>
      </c>
      <c r="D2786" s="6">
        <v>45825</v>
      </c>
      <c r="E2786" t="str">
        <f>VLOOKUP(B2786,'PROCV GERENTES BD'!A:B,2,0)</f>
        <v xml:space="preserve">MARCUS VINICIUS </v>
      </c>
      <c r="F2786" s="4" t="str">
        <f t="shared" si="243"/>
        <v>2025-06-2</v>
      </c>
      <c r="G2786" t="str">
        <f t="shared" si="244"/>
        <v xml:space="preserve">MARCUS VINICIUS </v>
      </c>
      <c r="H2786" t="str">
        <f t="shared" si="245"/>
        <v>COMERCIAL GODINHO FERREIRA LTDA</v>
      </c>
      <c r="I2786">
        <f t="shared" si="246"/>
        <v>0</v>
      </c>
      <c r="J2786">
        <f t="shared" si="247"/>
        <v>1</v>
      </c>
    </row>
    <row r="2787" spans="1:10" x14ac:dyDescent="0.25">
      <c r="A2787" s="15" t="s">
        <v>339</v>
      </c>
      <c r="B2787" s="15" t="s">
        <v>151</v>
      </c>
      <c r="C2787" s="15" t="s">
        <v>72</v>
      </c>
      <c r="D2787" s="6">
        <v>45825</v>
      </c>
      <c r="E2787" t="str">
        <f>VLOOKUP(B2787,'PROCV GERENTES BD'!A:B,2,0)</f>
        <v>ADMINISTRAÇÃO</v>
      </c>
      <c r="F2787" s="4" t="str">
        <f t="shared" si="243"/>
        <v>2025-06-2</v>
      </c>
      <c r="G2787" t="str">
        <f t="shared" si="244"/>
        <v>ADMINISTRAÇÃO</v>
      </c>
      <c r="H2787" t="str">
        <f t="shared" si="245"/>
        <v>BOM PASTOR PAPEIS LTDA EM RECUPERACAO JUDICIAL</v>
      </c>
      <c r="I2787">
        <f t="shared" si="246"/>
        <v>1</v>
      </c>
      <c r="J2787">
        <f t="shared" si="247"/>
        <v>0</v>
      </c>
    </row>
    <row r="2788" spans="1:10" x14ac:dyDescent="0.25">
      <c r="A2788" s="15" t="s">
        <v>395</v>
      </c>
      <c r="B2788" s="15" t="s">
        <v>141</v>
      </c>
      <c r="C2788" s="15" t="s">
        <v>56</v>
      </c>
      <c r="D2788" s="6">
        <v>45825</v>
      </c>
      <c r="E2788" t="str">
        <f>VLOOKUP(B2788,'PROCV GERENTES BD'!A:B,2,0)</f>
        <v>RAFAEL PARISE</v>
      </c>
      <c r="F2788" s="4" t="str">
        <f t="shared" si="243"/>
        <v>2025-06-2</v>
      </c>
      <c r="G2788" t="str">
        <f t="shared" si="244"/>
        <v>RAFAEL PARISE</v>
      </c>
      <c r="H2788" t="str">
        <f t="shared" si="245"/>
        <v>MAIS DISTRIBUIDORA LTDA</v>
      </c>
      <c r="I2788">
        <f t="shared" si="246"/>
        <v>0</v>
      </c>
      <c r="J2788">
        <f t="shared" si="247"/>
        <v>1</v>
      </c>
    </row>
    <row r="2789" spans="1:10" x14ac:dyDescent="0.25">
      <c r="A2789" s="15" t="s">
        <v>57</v>
      </c>
      <c r="B2789" s="15" t="s">
        <v>58</v>
      </c>
      <c r="C2789" s="15" t="s">
        <v>56</v>
      </c>
      <c r="D2789" s="6">
        <v>45825</v>
      </c>
      <c r="E2789" t="str">
        <f>VLOOKUP(B2789,'PROCV GERENTES BD'!A:B,2,0)</f>
        <v>RAFAEL PARISE</v>
      </c>
      <c r="F2789" s="4" t="str">
        <f t="shared" si="243"/>
        <v>2025-06-2</v>
      </c>
      <c r="G2789" t="str">
        <f t="shared" si="244"/>
        <v>RAFAEL PARISE</v>
      </c>
      <c r="H2789" t="str">
        <f t="shared" si="245"/>
        <v>TDR TRANSPORTES LOGISTICA LTDA</v>
      </c>
      <c r="I2789">
        <f t="shared" si="246"/>
        <v>0</v>
      </c>
      <c r="J2789">
        <f t="shared" si="247"/>
        <v>1</v>
      </c>
    </row>
    <row r="2790" spans="1:10" x14ac:dyDescent="0.25">
      <c r="A2790" s="15" t="s">
        <v>331</v>
      </c>
      <c r="B2790" s="15" t="s">
        <v>126</v>
      </c>
      <c r="C2790" s="15" t="s">
        <v>56</v>
      </c>
      <c r="D2790" s="6">
        <v>45825</v>
      </c>
      <c r="E2790" t="str">
        <f>VLOOKUP(B2790,'PROCV GERENTES BD'!A:B,2,0)</f>
        <v>FITZ</v>
      </c>
      <c r="F2790" s="4" t="str">
        <f t="shared" si="243"/>
        <v>2025-06-2</v>
      </c>
      <c r="G2790" t="str">
        <f t="shared" si="244"/>
        <v>FITZ</v>
      </c>
      <c r="H2790" t="str">
        <f t="shared" si="245"/>
        <v>TRANSHENRY TRANSPORTES LTDA</v>
      </c>
      <c r="I2790">
        <f t="shared" si="246"/>
        <v>0</v>
      </c>
      <c r="J2790">
        <f t="shared" si="247"/>
        <v>1</v>
      </c>
    </row>
    <row r="2791" spans="1:10" x14ac:dyDescent="0.25">
      <c r="A2791" s="15" t="s">
        <v>532</v>
      </c>
      <c r="B2791" s="15" t="s">
        <v>296</v>
      </c>
      <c r="C2791" s="15" t="s">
        <v>56</v>
      </c>
      <c r="D2791" s="6">
        <v>45825</v>
      </c>
      <c r="E2791" t="str">
        <f>VLOOKUP(B2791,'PROCV GERENTES BD'!A:B,2,0)</f>
        <v>DALVA</v>
      </c>
      <c r="F2791" s="4" t="str">
        <f t="shared" si="243"/>
        <v>2025-06-2</v>
      </c>
      <c r="G2791" t="str">
        <f t="shared" si="244"/>
        <v>DALVA</v>
      </c>
      <c r="H2791" t="str">
        <f t="shared" si="245"/>
        <v>FRAITECH INTELIGENCIA EM AUTOMACAO LTDA</v>
      </c>
      <c r="I2791">
        <f t="shared" si="246"/>
        <v>0</v>
      </c>
      <c r="J2791">
        <f t="shared" si="247"/>
        <v>1</v>
      </c>
    </row>
    <row r="2792" spans="1:10" x14ac:dyDescent="0.25">
      <c r="A2792" s="15" t="s">
        <v>312</v>
      </c>
      <c r="B2792" s="15" t="s">
        <v>148</v>
      </c>
      <c r="C2792" s="15" t="s">
        <v>72</v>
      </c>
      <c r="D2792" s="6">
        <v>45825</v>
      </c>
      <c r="E2792" t="str">
        <f>VLOOKUP(B2792,'PROCV GERENTES BD'!A:B,2,0)</f>
        <v>NOELI SALETE</v>
      </c>
      <c r="F2792" s="4" t="str">
        <f t="shared" si="243"/>
        <v>2025-06-2</v>
      </c>
      <c r="G2792" t="str">
        <f t="shared" si="244"/>
        <v>NOELI SALETE</v>
      </c>
      <c r="H2792" t="str">
        <f t="shared" si="245"/>
        <v>JMS EMBALAGENS INDUSTRIAIS LTDA</v>
      </c>
      <c r="I2792">
        <f t="shared" si="246"/>
        <v>1</v>
      </c>
      <c r="J2792">
        <f t="shared" si="247"/>
        <v>0</v>
      </c>
    </row>
    <row r="2793" spans="1:10" x14ac:dyDescent="0.25">
      <c r="A2793" s="15" t="s">
        <v>531</v>
      </c>
      <c r="B2793" s="15" t="s">
        <v>295</v>
      </c>
      <c r="C2793" s="15" t="s">
        <v>56</v>
      </c>
      <c r="D2793" s="6">
        <v>45825</v>
      </c>
      <c r="E2793" t="str">
        <f>VLOOKUP(B2793,'PROCV GERENTES BD'!A:B,2,0)</f>
        <v>ADMINISTRAÇÃO</v>
      </c>
      <c r="F2793" s="4" t="str">
        <f t="shared" si="243"/>
        <v>2025-06-2</v>
      </c>
      <c r="G2793" t="str">
        <f t="shared" si="244"/>
        <v>ADMINISTRAÇÃO</v>
      </c>
      <c r="H2793" t="str">
        <f t="shared" si="245"/>
        <v>REFRACONT BRASIL LTDA</v>
      </c>
      <c r="I2793">
        <f t="shared" si="246"/>
        <v>0</v>
      </c>
      <c r="J2793">
        <f t="shared" si="247"/>
        <v>1</v>
      </c>
    </row>
    <row r="2794" spans="1:10" x14ac:dyDescent="0.25">
      <c r="A2794" s="15" t="s">
        <v>376</v>
      </c>
      <c r="B2794" s="15" t="s">
        <v>118</v>
      </c>
      <c r="C2794" s="15" t="s">
        <v>56</v>
      </c>
      <c r="D2794" s="6">
        <v>45825</v>
      </c>
      <c r="E2794" t="str">
        <f>VLOOKUP(B2794,'PROCV GERENTES BD'!A:B,2,0)</f>
        <v>ADMINISTRAÇÃO</v>
      </c>
      <c r="F2794" s="4" t="str">
        <f t="shared" si="243"/>
        <v>2025-06-2</v>
      </c>
      <c r="G2794" t="str">
        <f t="shared" si="244"/>
        <v>ADMINISTRAÇÃO</v>
      </c>
      <c r="H2794" t="str">
        <f t="shared" si="245"/>
        <v>ARTECAL ELETROCENTROS S/A</v>
      </c>
      <c r="I2794">
        <f t="shared" si="246"/>
        <v>0</v>
      </c>
      <c r="J2794">
        <f t="shared" si="247"/>
        <v>1</v>
      </c>
    </row>
    <row r="2795" spans="1:10" x14ac:dyDescent="0.25">
      <c r="A2795" s="15" t="s">
        <v>54</v>
      </c>
      <c r="B2795" s="15" t="s">
        <v>55</v>
      </c>
      <c r="C2795" s="15" t="s">
        <v>59</v>
      </c>
      <c r="D2795" s="6">
        <v>45825</v>
      </c>
      <c r="E2795" t="str">
        <f>VLOOKUP(B2795,'PROCV GERENTES BD'!A:B,2,0)</f>
        <v xml:space="preserve">MARCUS VINICIUS </v>
      </c>
      <c r="F2795" s="4" t="str">
        <f t="shared" si="243"/>
        <v>2025-06-2</v>
      </c>
      <c r="G2795" t="str">
        <f t="shared" si="244"/>
        <v xml:space="preserve">MARCUS VINICIUS </v>
      </c>
      <c r="H2795" t="str">
        <f t="shared" si="245"/>
        <v>PROMEL IND COM IMP E EXP DE PRODS NATURAIS LTDA</v>
      </c>
      <c r="I2795">
        <f t="shared" si="246"/>
        <v>0</v>
      </c>
      <c r="J2795">
        <f t="shared" si="247"/>
        <v>0</v>
      </c>
    </row>
    <row r="2796" spans="1:10" x14ac:dyDescent="0.25">
      <c r="A2796" s="15" t="s">
        <v>62</v>
      </c>
      <c r="B2796" s="15" t="s">
        <v>63</v>
      </c>
      <c r="C2796" s="15" t="s">
        <v>56</v>
      </c>
      <c r="D2796" s="6">
        <v>45825</v>
      </c>
      <c r="E2796" t="str">
        <f>VLOOKUP(B2796,'PROCV GERENTES BD'!A:B,2,0)</f>
        <v xml:space="preserve">ROGERIO </v>
      </c>
      <c r="F2796" s="4" t="str">
        <f t="shared" si="243"/>
        <v>2025-06-2</v>
      </c>
      <c r="G2796" t="str">
        <f t="shared" si="244"/>
        <v xml:space="preserve">ROGERIO </v>
      </c>
      <c r="H2796" t="str">
        <f t="shared" si="245"/>
        <v>RODOVIEIRA TRANSPORTE LTDA</v>
      </c>
      <c r="I2796">
        <f t="shared" si="246"/>
        <v>0</v>
      </c>
      <c r="J2796">
        <f t="shared" si="247"/>
        <v>1</v>
      </c>
    </row>
    <row r="2797" spans="1:10" x14ac:dyDescent="0.25">
      <c r="A2797" s="15" t="s">
        <v>333</v>
      </c>
      <c r="B2797" s="15" t="s">
        <v>129</v>
      </c>
      <c r="C2797" s="15" t="s">
        <v>72</v>
      </c>
      <c r="D2797" s="6">
        <v>45825</v>
      </c>
      <c r="E2797" t="str">
        <f>VLOOKUP(B2797,'PROCV GERENTES BD'!A:B,2,0)</f>
        <v xml:space="preserve">ROGERIO </v>
      </c>
      <c r="F2797" s="4" t="str">
        <f t="shared" si="243"/>
        <v>2025-06-2</v>
      </c>
      <c r="G2797" t="str">
        <f t="shared" si="244"/>
        <v xml:space="preserve">ROGERIO </v>
      </c>
      <c r="H2797" t="str">
        <f t="shared" si="245"/>
        <v>BIBE PRODUTOS INFANTIS LTDA</v>
      </c>
      <c r="I2797">
        <f t="shared" si="246"/>
        <v>1</v>
      </c>
      <c r="J2797">
        <f t="shared" si="247"/>
        <v>0</v>
      </c>
    </row>
    <row r="2798" spans="1:10" x14ac:dyDescent="0.25">
      <c r="A2798" s="15" t="s">
        <v>531</v>
      </c>
      <c r="B2798" s="15" t="s">
        <v>295</v>
      </c>
      <c r="C2798" s="15" t="s">
        <v>56</v>
      </c>
      <c r="D2798" s="6">
        <v>45826</v>
      </c>
      <c r="E2798" t="str">
        <f>VLOOKUP(B2798,'PROCV GERENTES BD'!A:B,2,0)</f>
        <v>ADMINISTRAÇÃO</v>
      </c>
      <c r="F2798" s="4" t="str">
        <f t="shared" ref="F2798:F2810" si="248">YEAR(D2798)&amp;"-"&amp;TEXT(MONTH(D2798),"00")&amp;"-"&amp;IF(DAY(D2798)&lt;=15,"1",IF(DAY(D2798)&gt;15,"2",""))</f>
        <v>2025-06-2</v>
      </c>
      <c r="G2798" t="str">
        <f t="shared" ref="G2798:G2810" si="249">E2798</f>
        <v>ADMINISTRAÇÃO</v>
      </c>
      <c r="H2798" t="str">
        <f t="shared" ref="H2798:H2810" si="250">B2798</f>
        <v>REFRACONT BRASIL LTDA</v>
      </c>
      <c r="I2798">
        <f t="shared" ref="I2798:I2810" si="251">IF(C2798="EXCLUSAO  ANOT.INADIMPLENCIA",1,0)</f>
        <v>0</v>
      </c>
      <c r="J2798">
        <f t="shared" ref="J2798:J2810" si="252">IF(C2798="INCLUSAO  ANOT.INADIMPLENCIA",1,0)</f>
        <v>1</v>
      </c>
    </row>
    <row r="2799" spans="1:10" x14ac:dyDescent="0.25">
      <c r="A2799" s="15" t="s">
        <v>331</v>
      </c>
      <c r="B2799" s="15" t="s">
        <v>126</v>
      </c>
      <c r="C2799" s="15" t="s">
        <v>72</v>
      </c>
      <c r="D2799" s="6">
        <v>45826</v>
      </c>
      <c r="E2799" t="str">
        <f>VLOOKUP(B2799,'PROCV GERENTES BD'!A:B,2,0)</f>
        <v>FITZ</v>
      </c>
      <c r="F2799" s="4" t="str">
        <f t="shared" si="248"/>
        <v>2025-06-2</v>
      </c>
      <c r="G2799" t="str">
        <f t="shared" si="249"/>
        <v>FITZ</v>
      </c>
      <c r="H2799" t="str">
        <f t="shared" si="250"/>
        <v>TRANSHENRY TRANSPORTES LTDA</v>
      </c>
      <c r="I2799">
        <f t="shared" si="251"/>
        <v>1</v>
      </c>
      <c r="J2799">
        <f t="shared" si="252"/>
        <v>0</v>
      </c>
    </row>
    <row r="2800" spans="1:10" x14ac:dyDescent="0.25">
      <c r="A2800" s="15" t="s">
        <v>57</v>
      </c>
      <c r="B2800" s="15" t="s">
        <v>58</v>
      </c>
      <c r="C2800" s="15" t="s">
        <v>56</v>
      </c>
      <c r="D2800" s="6">
        <v>45826</v>
      </c>
      <c r="E2800" t="str">
        <f>VLOOKUP(B2800,'PROCV GERENTES BD'!A:B,2,0)</f>
        <v>RAFAEL PARISE</v>
      </c>
      <c r="F2800" s="4" t="str">
        <f t="shared" si="248"/>
        <v>2025-06-2</v>
      </c>
      <c r="G2800" t="str">
        <f t="shared" si="249"/>
        <v>RAFAEL PARISE</v>
      </c>
      <c r="H2800" t="str">
        <f t="shared" si="250"/>
        <v>TDR TRANSPORTES LOGISTICA LTDA</v>
      </c>
      <c r="I2800">
        <f t="shared" si="251"/>
        <v>0</v>
      </c>
      <c r="J2800">
        <f t="shared" si="252"/>
        <v>1</v>
      </c>
    </row>
    <row r="2801" spans="1:10" x14ac:dyDescent="0.25">
      <c r="A2801" s="15" t="s">
        <v>395</v>
      </c>
      <c r="B2801" s="15" t="s">
        <v>141</v>
      </c>
      <c r="C2801" s="15" t="s">
        <v>56</v>
      </c>
      <c r="D2801" s="6">
        <v>45826</v>
      </c>
      <c r="E2801" t="str">
        <f>VLOOKUP(B2801,'PROCV GERENTES BD'!A:B,2,0)</f>
        <v>RAFAEL PARISE</v>
      </c>
      <c r="F2801" s="4" t="str">
        <f t="shared" si="248"/>
        <v>2025-06-2</v>
      </c>
      <c r="G2801" t="str">
        <f t="shared" si="249"/>
        <v>RAFAEL PARISE</v>
      </c>
      <c r="H2801" t="str">
        <f t="shared" si="250"/>
        <v>MAIS DISTRIBUIDORA LTDA</v>
      </c>
      <c r="I2801">
        <f t="shared" si="251"/>
        <v>0</v>
      </c>
      <c r="J2801">
        <f t="shared" si="252"/>
        <v>1</v>
      </c>
    </row>
    <row r="2802" spans="1:10" x14ac:dyDescent="0.25">
      <c r="A2802" s="15" t="s">
        <v>366</v>
      </c>
      <c r="B2802" s="15" t="s">
        <v>111</v>
      </c>
      <c r="C2802" s="15" t="s">
        <v>56</v>
      </c>
      <c r="D2802" s="6">
        <v>45826</v>
      </c>
      <c r="E2802" t="str">
        <f>VLOOKUP(B2802,'PROCV GERENTES BD'!A:B,2,0)</f>
        <v>DIOGO AZEVEDO</v>
      </c>
      <c r="F2802" s="4" t="str">
        <f t="shared" si="248"/>
        <v>2025-06-2</v>
      </c>
      <c r="G2802" t="str">
        <f t="shared" si="249"/>
        <v>DIOGO AZEVEDO</v>
      </c>
      <c r="H2802" t="str">
        <f t="shared" si="250"/>
        <v>INDUSTRIA E CERVEJARIA ARTESANAL DE MINAS GERAIS L</v>
      </c>
      <c r="I2802">
        <f t="shared" si="251"/>
        <v>0</v>
      </c>
      <c r="J2802">
        <f t="shared" si="252"/>
        <v>1</v>
      </c>
    </row>
    <row r="2803" spans="1:10" x14ac:dyDescent="0.25">
      <c r="A2803" s="15" t="s">
        <v>326</v>
      </c>
      <c r="B2803" s="15" t="s">
        <v>86</v>
      </c>
      <c r="C2803" s="15" t="s">
        <v>72</v>
      </c>
      <c r="D2803" s="6">
        <v>45826</v>
      </c>
      <c r="E2803" t="str">
        <f>VLOOKUP(B2803,'PROCV GERENTES BD'!A:B,2,0)</f>
        <v>CELIO PIMENTA</v>
      </c>
      <c r="F2803" s="4" t="str">
        <f t="shared" si="248"/>
        <v>2025-06-2</v>
      </c>
      <c r="G2803" t="str">
        <f t="shared" si="249"/>
        <v>CELIO PIMENTA</v>
      </c>
      <c r="H2803" t="str">
        <f t="shared" si="250"/>
        <v>IMPORTEXTIL COMERCIO DE TECIDOS LTDA</v>
      </c>
      <c r="I2803">
        <f t="shared" si="251"/>
        <v>1</v>
      </c>
      <c r="J2803">
        <f t="shared" si="252"/>
        <v>0</v>
      </c>
    </row>
    <row r="2804" spans="1:10" x14ac:dyDescent="0.25">
      <c r="A2804" s="15" t="s">
        <v>380</v>
      </c>
      <c r="B2804" s="15" t="s">
        <v>123</v>
      </c>
      <c r="C2804" s="15" t="s">
        <v>72</v>
      </c>
      <c r="D2804" s="6">
        <v>45826</v>
      </c>
      <c r="E2804" t="str">
        <f>VLOOKUP(B2804,'PROCV GERENTES BD'!A:B,2,0)</f>
        <v>ANTONIO CARLOS</v>
      </c>
      <c r="F2804" s="4" t="str">
        <f t="shared" si="248"/>
        <v>2025-06-2</v>
      </c>
      <c r="G2804" t="str">
        <f t="shared" si="249"/>
        <v>ANTONIO CARLOS</v>
      </c>
      <c r="H2804" t="str">
        <f t="shared" si="250"/>
        <v>PREMOLDADOS MATOSINHOS LTDA EPP</v>
      </c>
      <c r="I2804">
        <f t="shared" si="251"/>
        <v>1</v>
      </c>
      <c r="J2804">
        <f t="shared" si="252"/>
        <v>0</v>
      </c>
    </row>
    <row r="2805" spans="1:10" x14ac:dyDescent="0.25">
      <c r="A2805" s="15" t="s">
        <v>360</v>
      </c>
      <c r="B2805" s="15" t="s">
        <v>102</v>
      </c>
      <c r="C2805" s="15" t="s">
        <v>56</v>
      </c>
      <c r="D2805" s="6">
        <v>45826</v>
      </c>
      <c r="E2805" t="str">
        <f>VLOOKUP(B2805,'PROCV GERENTES BD'!A:B,2,0)</f>
        <v>POENATELA</v>
      </c>
      <c r="F2805" s="4" t="str">
        <f t="shared" si="248"/>
        <v>2025-06-2</v>
      </c>
      <c r="G2805" t="str">
        <f t="shared" si="249"/>
        <v>POENATELA</v>
      </c>
      <c r="H2805" t="str">
        <f t="shared" si="250"/>
        <v>SUPER HARD TECNOLOGIA EM TRATAMENTO DE SUPERFICIES</v>
      </c>
      <c r="I2805">
        <f t="shared" si="251"/>
        <v>0</v>
      </c>
      <c r="J2805">
        <f t="shared" si="252"/>
        <v>1</v>
      </c>
    </row>
    <row r="2806" spans="1:10" x14ac:dyDescent="0.25">
      <c r="A2806" s="15" t="s">
        <v>73</v>
      </c>
      <c r="B2806" s="15" t="s">
        <v>74</v>
      </c>
      <c r="C2806" s="15" t="s">
        <v>59</v>
      </c>
      <c r="D2806" s="6">
        <v>45826</v>
      </c>
      <c r="E2806" t="str">
        <f>VLOOKUP(B2806,'PROCV GERENTES BD'!A:B,2,0)</f>
        <v xml:space="preserve">ROGERIO </v>
      </c>
      <c r="F2806" s="4" t="str">
        <f t="shared" si="248"/>
        <v>2025-06-2</v>
      </c>
      <c r="G2806" t="str">
        <f t="shared" si="249"/>
        <v xml:space="preserve">ROGERIO </v>
      </c>
      <c r="H2806" t="str">
        <f t="shared" si="250"/>
        <v>DIOTTONI INDUSTRIA E COMERCIO DE ALIMENTOS LTDA ME</v>
      </c>
      <c r="I2806">
        <f t="shared" si="251"/>
        <v>0</v>
      </c>
      <c r="J2806">
        <f t="shared" si="252"/>
        <v>0</v>
      </c>
    </row>
    <row r="2807" spans="1:10" x14ac:dyDescent="0.25">
      <c r="A2807" s="15" t="s">
        <v>377</v>
      </c>
      <c r="B2807" s="15" t="s">
        <v>120</v>
      </c>
      <c r="C2807" s="15" t="s">
        <v>59</v>
      </c>
      <c r="D2807" s="6">
        <v>45826</v>
      </c>
      <c r="E2807" t="str">
        <f>VLOOKUP(B2807,'PROCV GERENTES BD'!A:B,2,0)</f>
        <v xml:space="preserve">MARCUS VINICIUS </v>
      </c>
      <c r="F2807" s="4" t="str">
        <f t="shared" si="248"/>
        <v>2025-06-2</v>
      </c>
      <c r="G2807" t="str">
        <f t="shared" si="249"/>
        <v xml:space="preserve">MARCUS VINICIUS </v>
      </c>
      <c r="H2807" t="str">
        <f t="shared" si="250"/>
        <v>ISOBASE POLIESTIRENO LTDA EPP</v>
      </c>
      <c r="I2807">
        <f t="shared" si="251"/>
        <v>0</v>
      </c>
      <c r="J2807">
        <f t="shared" si="252"/>
        <v>0</v>
      </c>
    </row>
    <row r="2808" spans="1:10" x14ac:dyDescent="0.25">
      <c r="A2808" s="15" t="s">
        <v>613</v>
      </c>
      <c r="B2808" s="15" t="s">
        <v>606</v>
      </c>
      <c r="C2808" s="15" t="s">
        <v>56</v>
      </c>
      <c r="D2808" s="6">
        <v>45826</v>
      </c>
      <c r="E2808" t="str">
        <f>VLOOKUP(B2808,'PROCV GERENTES BD'!A:B,2,0)</f>
        <v xml:space="preserve">ROGERIO </v>
      </c>
      <c r="F2808" s="4" t="str">
        <f t="shared" si="248"/>
        <v>2025-06-2</v>
      </c>
      <c r="G2808" t="str">
        <f t="shared" si="249"/>
        <v xml:space="preserve">ROGERIO </v>
      </c>
      <c r="H2808" t="str">
        <f t="shared" si="250"/>
        <v>METALAB COMERCIO E INDUSTRIA FARMACEUTICA LTDA ME</v>
      </c>
      <c r="I2808">
        <f t="shared" si="251"/>
        <v>0</v>
      </c>
      <c r="J2808">
        <f t="shared" si="252"/>
        <v>1</v>
      </c>
    </row>
    <row r="2809" spans="1:10" x14ac:dyDescent="0.25">
      <c r="A2809" s="15" t="s">
        <v>495</v>
      </c>
      <c r="B2809" s="15" t="s">
        <v>251</v>
      </c>
      <c r="C2809" s="15" t="s">
        <v>56</v>
      </c>
      <c r="D2809" s="6">
        <v>45826</v>
      </c>
      <c r="E2809" t="str">
        <f>VLOOKUP(B2809,'PROCV GERENTES BD'!A:B,2,0)</f>
        <v xml:space="preserve">ROGERIO </v>
      </c>
      <c r="F2809" s="4" t="str">
        <f t="shared" si="248"/>
        <v>2025-06-2</v>
      </c>
      <c r="G2809" t="str">
        <f t="shared" si="249"/>
        <v xml:space="preserve">ROGERIO </v>
      </c>
      <c r="H2809" t="str">
        <f t="shared" si="250"/>
        <v>MUNDO AGRO COMERCIO E DISTRIBUICAO DE CALCADOS LTD</v>
      </c>
      <c r="I2809">
        <f t="shared" si="251"/>
        <v>0</v>
      </c>
      <c r="J2809">
        <f t="shared" si="252"/>
        <v>1</v>
      </c>
    </row>
    <row r="2810" spans="1:10" x14ac:dyDescent="0.25">
      <c r="A2810" s="15" t="s">
        <v>333</v>
      </c>
      <c r="B2810" s="15" t="s">
        <v>129</v>
      </c>
      <c r="C2810" s="15" t="s">
        <v>56</v>
      </c>
      <c r="D2810" s="6">
        <v>45826</v>
      </c>
      <c r="E2810" t="str">
        <f>VLOOKUP(B2810,'PROCV GERENTES BD'!A:B,2,0)</f>
        <v xml:space="preserve">ROGERIO </v>
      </c>
      <c r="F2810" s="4" t="str">
        <f t="shared" si="248"/>
        <v>2025-06-2</v>
      </c>
      <c r="G2810" t="str">
        <f t="shared" si="249"/>
        <v xml:space="preserve">ROGERIO </v>
      </c>
      <c r="H2810" t="str">
        <f t="shared" si="250"/>
        <v>BIBE PRODUTOS INFANTIS LTDA</v>
      </c>
      <c r="I2810">
        <f t="shared" si="251"/>
        <v>0</v>
      </c>
      <c r="J2810">
        <f t="shared" si="252"/>
        <v>1</v>
      </c>
    </row>
    <row r="2811" spans="1:10" x14ac:dyDescent="0.25">
      <c r="A2811" t="s">
        <v>537</v>
      </c>
      <c r="B2811" t="s">
        <v>304</v>
      </c>
      <c r="C2811" t="s">
        <v>614</v>
      </c>
      <c r="D2811" s="6">
        <v>45827</v>
      </c>
      <c r="E2811" t="str">
        <f>VLOOKUP(B2811,'PROCV GERENTES BD'!A:B,2,0)</f>
        <v>ANDRE CUNHA</v>
      </c>
      <c r="F2811" s="4" t="str">
        <f t="shared" ref="F2811:F2827" si="253">YEAR(D2811)&amp;"-"&amp;TEXT(MONTH(D2811),"00")&amp;"-"&amp;IF(DAY(D2811)&lt;=15,"1",IF(DAY(D2811)&gt;15,"2",""))</f>
        <v>2025-06-2</v>
      </c>
      <c r="G2811" t="str">
        <f t="shared" ref="G2811:G2827" si="254">E2811</f>
        <v>ANDRE CUNHA</v>
      </c>
      <c r="H2811" t="str">
        <f t="shared" ref="H2811:H2827" si="255">B2811</f>
        <v>REVPACK TECNOLOGIA E COMERCIO DE COMPONENTES PLAST</v>
      </c>
      <c r="I2811">
        <f t="shared" ref="I2811:I2827" si="256">IF(C2811="EXCLUSAO  ANOT.INADIMPLENCIA",1,0)</f>
        <v>0</v>
      </c>
      <c r="J2811">
        <f t="shared" ref="J2811:J2827" si="257">IF(C2811="INCLUSAO  ANOT.INADIMPLENCIA",1,0)</f>
        <v>0</v>
      </c>
    </row>
    <row r="2812" spans="1:10" x14ac:dyDescent="0.25">
      <c r="A2812" t="s">
        <v>532</v>
      </c>
      <c r="B2812" t="s">
        <v>296</v>
      </c>
      <c r="C2812" t="s">
        <v>614</v>
      </c>
      <c r="D2812" s="6">
        <v>45827</v>
      </c>
      <c r="E2812" t="str">
        <f>VLOOKUP(B2812,'PROCV GERENTES BD'!A:B,2,0)</f>
        <v>DALVA</v>
      </c>
      <c r="F2812" s="4" t="str">
        <f t="shared" si="253"/>
        <v>2025-06-2</v>
      </c>
      <c r="G2812" t="str">
        <f t="shared" si="254"/>
        <v>DALVA</v>
      </c>
      <c r="H2812" t="str">
        <f t="shared" si="255"/>
        <v>FRAITECH INTELIGENCIA EM AUTOMACAO LTDA</v>
      </c>
      <c r="I2812">
        <f t="shared" si="256"/>
        <v>0</v>
      </c>
      <c r="J2812">
        <f t="shared" si="257"/>
        <v>0</v>
      </c>
    </row>
    <row r="2813" spans="1:10" x14ac:dyDescent="0.25">
      <c r="A2813" t="s">
        <v>331</v>
      </c>
      <c r="B2813" t="s">
        <v>126</v>
      </c>
      <c r="C2813" t="s">
        <v>615</v>
      </c>
      <c r="D2813" s="6">
        <v>45827</v>
      </c>
      <c r="E2813" t="str">
        <f>VLOOKUP(B2813,'PROCV GERENTES BD'!A:B,2,0)</f>
        <v>FITZ</v>
      </c>
      <c r="F2813" s="4" t="str">
        <f t="shared" si="253"/>
        <v>2025-06-2</v>
      </c>
      <c r="G2813" t="str">
        <f t="shared" si="254"/>
        <v>FITZ</v>
      </c>
      <c r="H2813" t="str">
        <f t="shared" si="255"/>
        <v>TRANSHENRY TRANSPORTES LTDA</v>
      </c>
      <c r="I2813">
        <f t="shared" si="256"/>
        <v>0</v>
      </c>
      <c r="J2813">
        <f t="shared" si="257"/>
        <v>0</v>
      </c>
    </row>
    <row r="2814" spans="1:10" x14ac:dyDescent="0.25">
      <c r="A2814" t="s">
        <v>328</v>
      </c>
      <c r="B2814" t="s">
        <v>271</v>
      </c>
      <c r="C2814" t="s">
        <v>614</v>
      </c>
      <c r="D2814" s="6">
        <v>45827</v>
      </c>
      <c r="E2814" t="str">
        <f>VLOOKUP(B2814,'PROCV GERENTES BD'!A:B,2,0)</f>
        <v>RAFAEL PARISE</v>
      </c>
      <c r="F2814" s="4" t="str">
        <f t="shared" si="253"/>
        <v>2025-06-2</v>
      </c>
      <c r="G2814" t="str">
        <f t="shared" si="254"/>
        <v>RAFAEL PARISE</v>
      </c>
      <c r="H2814" t="str">
        <f t="shared" si="255"/>
        <v>METALCROMO METALIZACAO E CROMO DURO INDUSTRIAL LTD</v>
      </c>
      <c r="I2814">
        <f t="shared" si="256"/>
        <v>0</v>
      </c>
      <c r="J2814">
        <f t="shared" si="257"/>
        <v>0</v>
      </c>
    </row>
    <row r="2815" spans="1:10" x14ac:dyDescent="0.25">
      <c r="A2815" t="s">
        <v>366</v>
      </c>
      <c r="B2815" t="s">
        <v>111</v>
      </c>
      <c r="C2815" t="s">
        <v>615</v>
      </c>
      <c r="D2815" s="6">
        <v>45827</v>
      </c>
      <c r="E2815" t="str">
        <f>VLOOKUP(B2815,'PROCV GERENTES BD'!A:B,2,0)</f>
        <v>DIOGO AZEVEDO</v>
      </c>
      <c r="F2815" s="4" t="str">
        <f t="shared" si="253"/>
        <v>2025-06-2</v>
      </c>
      <c r="G2815" t="str">
        <f t="shared" si="254"/>
        <v>DIOGO AZEVEDO</v>
      </c>
      <c r="H2815" t="str">
        <f t="shared" si="255"/>
        <v>INDUSTRIA E CERVEJARIA ARTESANAL DE MINAS GERAIS L</v>
      </c>
      <c r="I2815">
        <f t="shared" si="256"/>
        <v>0</v>
      </c>
      <c r="J2815">
        <f t="shared" si="257"/>
        <v>0</v>
      </c>
    </row>
    <row r="2816" spans="1:10" x14ac:dyDescent="0.25">
      <c r="A2816" t="s">
        <v>339</v>
      </c>
      <c r="B2816" t="s">
        <v>151</v>
      </c>
      <c r="C2816" t="s">
        <v>614</v>
      </c>
      <c r="D2816" s="6">
        <v>45827</v>
      </c>
      <c r="E2816" t="str">
        <f>VLOOKUP(B2816,'PROCV GERENTES BD'!A:B,2,0)</f>
        <v>ADMINISTRAÇÃO</v>
      </c>
      <c r="F2816" s="4" t="str">
        <f t="shared" si="253"/>
        <v>2025-06-2</v>
      </c>
      <c r="G2816" t="str">
        <f t="shared" si="254"/>
        <v>ADMINISTRAÇÃO</v>
      </c>
      <c r="H2816" t="str">
        <f t="shared" si="255"/>
        <v>BOM PASTOR PAPEIS LTDA EM RECUPERACAO JUDICIAL</v>
      </c>
      <c r="I2816">
        <f t="shared" si="256"/>
        <v>0</v>
      </c>
      <c r="J2816">
        <f t="shared" si="257"/>
        <v>0</v>
      </c>
    </row>
    <row r="2817" spans="1:10" x14ac:dyDescent="0.25">
      <c r="A2817" t="s">
        <v>62</v>
      </c>
      <c r="B2817" t="s">
        <v>63</v>
      </c>
      <c r="C2817" t="s">
        <v>615</v>
      </c>
      <c r="D2817" s="6">
        <v>45827</v>
      </c>
      <c r="E2817" t="str">
        <f>VLOOKUP(B2817,'PROCV GERENTES BD'!A:B,2,0)</f>
        <v xml:space="preserve">ROGERIO </v>
      </c>
      <c r="F2817" s="4" t="str">
        <f t="shared" si="253"/>
        <v>2025-06-2</v>
      </c>
      <c r="G2817" t="str">
        <f t="shared" si="254"/>
        <v xml:space="preserve">ROGERIO </v>
      </c>
      <c r="H2817" t="str">
        <f t="shared" si="255"/>
        <v>RODOVIEIRA TRANSPORTE LTDA</v>
      </c>
      <c r="I2817">
        <f t="shared" si="256"/>
        <v>0</v>
      </c>
      <c r="J2817">
        <f t="shared" si="257"/>
        <v>0</v>
      </c>
    </row>
    <row r="2818" spans="1:10" x14ac:dyDescent="0.25">
      <c r="A2818" t="s">
        <v>326</v>
      </c>
      <c r="B2818" t="s">
        <v>86</v>
      </c>
      <c r="C2818" t="s">
        <v>614</v>
      </c>
      <c r="D2818" s="6">
        <v>45827</v>
      </c>
      <c r="E2818" t="str">
        <f>VLOOKUP(B2818,'PROCV GERENTES BD'!A:B,2,0)</f>
        <v>CELIO PIMENTA</v>
      </c>
      <c r="F2818" s="4" t="str">
        <f t="shared" si="253"/>
        <v>2025-06-2</v>
      </c>
      <c r="G2818" t="str">
        <f t="shared" si="254"/>
        <v>CELIO PIMENTA</v>
      </c>
      <c r="H2818" t="str">
        <f t="shared" si="255"/>
        <v>IMPORTEXTIL COMERCIO DE TECIDOS LTDA</v>
      </c>
      <c r="I2818">
        <f t="shared" si="256"/>
        <v>0</v>
      </c>
      <c r="J2818">
        <f t="shared" si="257"/>
        <v>0</v>
      </c>
    </row>
    <row r="2819" spans="1:10" x14ac:dyDescent="0.25">
      <c r="A2819" t="s">
        <v>380</v>
      </c>
      <c r="B2819" t="s">
        <v>123</v>
      </c>
      <c r="C2819" t="s">
        <v>615</v>
      </c>
      <c r="D2819" s="6">
        <v>45827</v>
      </c>
      <c r="E2819" t="str">
        <f>VLOOKUP(B2819,'PROCV GERENTES BD'!A:B,2,0)</f>
        <v>ANTONIO CARLOS</v>
      </c>
      <c r="F2819" s="4" t="str">
        <f t="shared" si="253"/>
        <v>2025-06-2</v>
      </c>
      <c r="G2819" t="str">
        <f t="shared" si="254"/>
        <v>ANTONIO CARLOS</v>
      </c>
      <c r="H2819" t="str">
        <f t="shared" si="255"/>
        <v>PREMOLDADOS MATOSINHOS LTDA EPP</v>
      </c>
      <c r="I2819">
        <f t="shared" si="256"/>
        <v>0</v>
      </c>
      <c r="J2819">
        <f t="shared" si="257"/>
        <v>0</v>
      </c>
    </row>
    <row r="2820" spans="1:10" x14ac:dyDescent="0.25">
      <c r="A2820" t="s">
        <v>360</v>
      </c>
      <c r="B2820" t="s">
        <v>102</v>
      </c>
      <c r="C2820" t="s">
        <v>615</v>
      </c>
      <c r="D2820" s="6">
        <v>45827</v>
      </c>
      <c r="E2820" t="str">
        <f>VLOOKUP(B2820,'PROCV GERENTES BD'!A:B,2,0)</f>
        <v>POENATELA</v>
      </c>
      <c r="F2820" s="4" t="str">
        <f t="shared" si="253"/>
        <v>2025-06-2</v>
      </c>
      <c r="G2820" t="str">
        <f t="shared" si="254"/>
        <v>POENATELA</v>
      </c>
      <c r="H2820" t="str">
        <f t="shared" si="255"/>
        <v>SUPER HARD TECNOLOGIA EM TRATAMENTO DE SUPERFICIES</v>
      </c>
      <c r="I2820">
        <f t="shared" si="256"/>
        <v>0</v>
      </c>
      <c r="J2820">
        <f t="shared" si="257"/>
        <v>0</v>
      </c>
    </row>
    <row r="2821" spans="1:10" x14ac:dyDescent="0.25">
      <c r="A2821" t="s">
        <v>70</v>
      </c>
      <c r="B2821" t="s">
        <v>71</v>
      </c>
      <c r="C2821" t="s">
        <v>614</v>
      </c>
      <c r="D2821" s="6">
        <v>45827</v>
      </c>
      <c r="E2821" t="str">
        <f>VLOOKUP(B2821,'PROCV GERENTES BD'!A:B,2,0)</f>
        <v>SEM GERENTE</v>
      </c>
      <c r="F2821" s="4" t="str">
        <f t="shared" si="253"/>
        <v>2025-06-2</v>
      </c>
      <c r="G2821" t="str">
        <f t="shared" si="254"/>
        <v>SEM GERENTE</v>
      </c>
      <c r="H2821" t="str">
        <f t="shared" si="255"/>
        <v>SOCIAL S/A</v>
      </c>
      <c r="I2821">
        <f t="shared" si="256"/>
        <v>0</v>
      </c>
      <c r="J2821">
        <f t="shared" si="257"/>
        <v>0</v>
      </c>
    </row>
    <row r="2822" spans="1:10" x14ac:dyDescent="0.25">
      <c r="A2822" t="s">
        <v>73</v>
      </c>
      <c r="B2822" t="s">
        <v>74</v>
      </c>
      <c r="C2822" t="s">
        <v>59</v>
      </c>
      <c r="D2822" s="6">
        <v>45827</v>
      </c>
      <c r="E2822" t="str">
        <f>VLOOKUP(B2822,'PROCV GERENTES BD'!A:B,2,0)</f>
        <v xml:space="preserve">ROGERIO </v>
      </c>
      <c r="F2822" s="4" t="str">
        <f t="shared" si="253"/>
        <v>2025-06-2</v>
      </c>
      <c r="G2822" t="str">
        <f t="shared" si="254"/>
        <v xml:space="preserve">ROGERIO </v>
      </c>
      <c r="H2822" t="str">
        <f t="shared" si="255"/>
        <v>DIOTTONI INDUSTRIA E COMERCIO DE ALIMENTOS LTDA ME</v>
      </c>
      <c r="I2822">
        <f t="shared" si="256"/>
        <v>0</v>
      </c>
      <c r="J2822">
        <f t="shared" si="257"/>
        <v>0</v>
      </c>
    </row>
    <row r="2823" spans="1:10" x14ac:dyDescent="0.25">
      <c r="A2823" t="s">
        <v>523</v>
      </c>
      <c r="B2823" t="s">
        <v>284</v>
      </c>
      <c r="C2823" t="s">
        <v>615</v>
      </c>
      <c r="D2823" s="6">
        <v>45827</v>
      </c>
      <c r="E2823" t="str">
        <f>VLOOKUP(B2823,'PROCV GERENTES BD'!A:B,2,0)</f>
        <v>ALISSON DE SOUZA LIMA</v>
      </c>
      <c r="F2823" s="4" t="str">
        <f t="shared" si="253"/>
        <v>2025-06-2</v>
      </c>
      <c r="G2823" t="str">
        <f t="shared" si="254"/>
        <v>ALISSON DE SOUZA LIMA</v>
      </c>
      <c r="H2823" t="str">
        <f t="shared" si="255"/>
        <v>COMERCIAL GTS INFORMATICA LTDA EPP</v>
      </c>
      <c r="I2823">
        <f t="shared" si="256"/>
        <v>0</v>
      </c>
      <c r="J2823">
        <f t="shared" si="257"/>
        <v>0</v>
      </c>
    </row>
    <row r="2824" spans="1:10" x14ac:dyDescent="0.25">
      <c r="A2824" t="s">
        <v>323</v>
      </c>
      <c r="B2824" t="s">
        <v>309</v>
      </c>
      <c r="C2824" t="s">
        <v>614</v>
      </c>
      <c r="D2824" s="6">
        <v>45827</v>
      </c>
      <c r="E2824" t="str">
        <f>VLOOKUP(B2824,'PROCV GERENTES BD'!A:B,2,0)</f>
        <v>CELIO PIMENTA</v>
      </c>
      <c r="F2824" s="4" t="str">
        <f t="shared" si="253"/>
        <v>2025-06-2</v>
      </c>
      <c r="G2824" t="str">
        <f t="shared" si="254"/>
        <v>CELIO PIMENTA</v>
      </c>
      <c r="H2824" t="str">
        <f t="shared" si="255"/>
        <v>LOTUS DESENVOLVIMENTO IMOBILIARIO LTDA</v>
      </c>
      <c r="I2824">
        <f t="shared" si="256"/>
        <v>0</v>
      </c>
      <c r="J2824">
        <f t="shared" si="257"/>
        <v>0</v>
      </c>
    </row>
    <row r="2825" spans="1:10" x14ac:dyDescent="0.25">
      <c r="A2825" t="s">
        <v>75</v>
      </c>
      <c r="B2825" t="s">
        <v>76</v>
      </c>
      <c r="C2825" t="s">
        <v>615</v>
      </c>
      <c r="D2825" s="6">
        <v>45827</v>
      </c>
      <c r="E2825" t="str">
        <f>VLOOKUP(B2825,'PROCV GERENTES BD'!A:B,2,0)</f>
        <v>ALISSON DE SOUZA LIMA</v>
      </c>
      <c r="F2825" s="4" t="str">
        <f t="shared" si="253"/>
        <v>2025-06-2</v>
      </c>
      <c r="G2825" t="str">
        <f t="shared" si="254"/>
        <v>ALISSON DE SOUZA LIMA</v>
      </c>
      <c r="H2825" t="str">
        <f t="shared" si="255"/>
        <v>AUTOMOTIV DO BRASIL INDUSTRIAL LTDA</v>
      </c>
      <c r="I2825">
        <f t="shared" si="256"/>
        <v>0</v>
      </c>
      <c r="J2825">
        <f t="shared" si="257"/>
        <v>0</v>
      </c>
    </row>
    <row r="2826" spans="1:10" x14ac:dyDescent="0.25">
      <c r="A2826" t="s">
        <v>616</v>
      </c>
      <c r="B2826" t="s">
        <v>561</v>
      </c>
      <c r="C2826" t="s">
        <v>615</v>
      </c>
      <c r="D2826" s="6">
        <v>45827</v>
      </c>
      <c r="E2826" t="str">
        <f>VLOOKUP(B2826,'PROCV GERENTES BD'!A:B,2,0)</f>
        <v>DALVA</v>
      </c>
      <c r="F2826" s="4" t="str">
        <f t="shared" si="253"/>
        <v>2025-06-2</v>
      </c>
      <c r="G2826" t="str">
        <f t="shared" si="254"/>
        <v>DALVA</v>
      </c>
      <c r="H2826" t="str">
        <f t="shared" si="255"/>
        <v>NOVA CALDERARIA MONTAGEM LTDA EPP</v>
      </c>
      <c r="I2826">
        <f t="shared" si="256"/>
        <v>0</v>
      </c>
      <c r="J2826">
        <f t="shared" si="257"/>
        <v>0</v>
      </c>
    </row>
    <row r="2827" spans="1:10" x14ac:dyDescent="0.25">
      <c r="A2827" t="s">
        <v>333</v>
      </c>
      <c r="B2827" t="s">
        <v>129</v>
      </c>
      <c r="C2827" t="s">
        <v>615</v>
      </c>
      <c r="D2827" s="6">
        <v>45827</v>
      </c>
      <c r="E2827" t="str">
        <f>VLOOKUP(B2827,'PROCV GERENTES BD'!A:B,2,0)</f>
        <v xml:space="preserve">ROGERIO </v>
      </c>
      <c r="F2827" s="4" t="str">
        <f t="shared" si="253"/>
        <v>2025-06-2</v>
      </c>
      <c r="G2827" t="str">
        <f t="shared" si="254"/>
        <v xml:space="preserve">ROGERIO </v>
      </c>
      <c r="H2827" t="str">
        <f t="shared" si="255"/>
        <v>BIBE PRODUTOS INFANTIS LTDA</v>
      </c>
      <c r="I2827">
        <f t="shared" si="256"/>
        <v>0</v>
      </c>
      <c r="J2827">
        <f t="shared" si="257"/>
        <v>0</v>
      </c>
    </row>
    <row r="2828" spans="1:10" x14ac:dyDescent="0.25">
      <c r="A2828" t="s">
        <v>393</v>
      </c>
      <c r="B2828" t="s">
        <v>139</v>
      </c>
      <c r="C2828" t="s">
        <v>617</v>
      </c>
      <c r="D2828" s="6">
        <v>45827</v>
      </c>
      <c r="E2828" t="str">
        <f>VLOOKUP(B2828,'PROCV GERENTES BD'!A:B,2,0)</f>
        <v xml:space="preserve">MARCUS VINICIUS </v>
      </c>
      <c r="F2828" s="4" t="str">
        <f>YEAR(D2828)&amp;"-"&amp;TEXT(MONTH(D2828),"00")&amp;"-"&amp;IF(DAY(D2828)&lt;=15,"1",IF(DAY(D2828)&gt;15,"2",""))</f>
        <v>2025-06-2</v>
      </c>
      <c r="G2828" t="str">
        <f>E2828</f>
        <v xml:space="preserve">MARCUS VINICIUS </v>
      </c>
      <c r="H2828" t="str">
        <f>B2828</f>
        <v>RODOANEL REFORMADORA DE IMPLEMENTOS RODOVIARIOS LT</v>
      </c>
      <c r="I2828">
        <f>IF(C2828="EXCLUSAO  ANOT.INADIMPLENCIA",1,0)</f>
        <v>0</v>
      </c>
      <c r="J2828">
        <f>IF(C2828="INCLUSAO  ANOT.INADIMPLENCIA",1,0)</f>
        <v>0</v>
      </c>
    </row>
    <row r="2829" spans="1:10" x14ac:dyDescent="0.25">
      <c r="A2829" t="s">
        <v>393</v>
      </c>
      <c r="B2829" t="s">
        <v>139</v>
      </c>
      <c r="C2829" t="s">
        <v>77</v>
      </c>
      <c r="D2829" s="6">
        <v>45827</v>
      </c>
      <c r="E2829" t="str">
        <f>VLOOKUP(B2829,'PROCV GERENTES BD'!A:B,2,0)</f>
        <v xml:space="preserve">MARCUS VINICIUS </v>
      </c>
      <c r="F2829" s="4" t="str">
        <f t="shared" ref="F2829:F2838" si="258">YEAR(D2829)&amp;"-"&amp;TEXT(MONTH(D2829),"00")&amp;"-"&amp;IF(DAY(D2829)&lt;=15,"1",IF(DAY(D2829)&gt;15,"2",""))</f>
        <v>2025-06-2</v>
      </c>
      <c r="G2829" t="str">
        <f t="shared" ref="G2829:G2838" si="259">E2829</f>
        <v xml:space="preserve">MARCUS VINICIUS </v>
      </c>
      <c r="H2829" t="str">
        <f t="shared" ref="H2829:H2838" si="260">B2829</f>
        <v>RODOANEL REFORMADORA DE IMPLEMENTOS RODOVIARIOS LT</v>
      </c>
      <c r="I2829">
        <f t="shared" ref="I2829:I2838" si="261">IF(C2829="EXCLUSAO  ANOT.INADIMPLENCIA",1,0)</f>
        <v>0</v>
      </c>
      <c r="J2829">
        <f t="shared" ref="J2829:J2838" si="262">IF(C2829="INCLUSAO  ANOT.INADIMPLENCIA",1,0)</f>
        <v>0</v>
      </c>
    </row>
    <row r="2830" spans="1:10" x14ac:dyDescent="0.25">
      <c r="A2830" t="s">
        <v>618</v>
      </c>
      <c r="B2830" t="s">
        <v>597</v>
      </c>
      <c r="C2830" t="s">
        <v>77</v>
      </c>
      <c r="D2830" s="6">
        <v>45827</v>
      </c>
      <c r="E2830" t="str">
        <f>VLOOKUP(B2830,'PROCV GERENTES BD'!A:B,2,0)</f>
        <v>CAIO</v>
      </c>
      <c r="F2830" s="4" t="str">
        <f t="shared" si="258"/>
        <v>2025-06-2</v>
      </c>
      <c r="G2830" t="str">
        <f t="shared" si="259"/>
        <v>CAIO</v>
      </c>
      <c r="H2830" t="str">
        <f t="shared" si="260"/>
        <v>CALDAS SEG INDUSTRIA E COMERCIO DE EPI S LTDA</v>
      </c>
      <c r="I2830">
        <f t="shared" si="261"/>
        <v>0</v>
      </c>
      <c r="J2830">
        <f t="shared" si="262"/>
        <v>0</v>
      </c>
    </row>
    <row r="2831" spans="1:10" x14ac:dyDescent="0.25">
      <c r="A2831" t="s">
        <v>499</v>
      </c>
      <c r="B2831" t="s">
        <v>257</v>
      </c>
      <c r="C2831" t="s">
        <v>77</v>
      </c>
      <c r="D2831" s="6">
        <v>45827</v>
      </c>
      <c r="E2831" t="str">
        <f>VLOOKUP(B2831,'PROCV GERENTES BD'!A:B,2,0)</f>
        <v xml:space="preserve">ROGERIO </v>
      </c>
      <c r="F2831" s="4" t="str">
        <f t="shared" si="258"/>
        <v>2025-06-2</v>
      </c>
      <c r="G2831" t="str">
        <f t="shared" si="259"/>
        <v xml:space="preserve">ROGERIO </v>
      </c>
      <c r="H2831" t="str">
        <f t="shared" si="260"/>
        <v>CARGA EQUIPAMENTOS RODOVIARIOS LTDA ME</v>
      </c>
      <c r="I2831">
        <f t="shared" si="261"/>
        <v>0</v>
      </c>
      <c r="J2831">
        <f t="shared" si="262"/>
        <v>0</v>
      </c>
    </row>
    <row r="2832" spans="1:10" x14ac:dyDescent="0.25">
      <c r="A2832" t="s">
        <v>432</v>
      </c>
      <c r="B2832" t="s">
        <v>209</v>
      </c>
      <c r="C2832" t="s">
        <v>77</v>
      </c>
      <c r="D2832" s="6">
        <v>45827</v>
      </c>
      <c r="E2832" t="str">
        <f>VLOOKUP(B2832,'PROCV GERENTES BD'!A:B,2,0)</f>
        <v>RAFAEL PARISE</v>
      </c>
      <c r="F2832" s="4" t="str">
        <f t="shared" si="258"/>
        <v>2025-06-2</v>
      </c>
      <c r="G2832" t="str">
        <f t="shared" si="259"/>
        <v>RAFAEL PARISE</v>
      </c>
      <c r="H2832" t="str">
        <f t="shared" si="260"/>
        <v>FRUTAS JARDINS LTDA</v>
      </c>
      <c r="I2832">
        <f t="shared" si="261"/>
        <v>0</v>
      </c>
      <c r="J2832">
        <f t="shared" si="262"/>
        <v>0</v>
      </c>
    </row>
    <row r="2833" spans="1:10" x14ac:dyDescent="0.25">
      <c r="A2833" t="s">
        <v>619</v>
      </c>
      <c r="B2833" t="s">
        <v>620</v>
      </c>
      <c r="C2833" t="s">
        <v>335</v>
      </c>
      <c r="D2833" s="6">
        <v>45827</v>
      </c>
      <c r="E2833" t="str">
        <f>VLOOKUP(B2833,'PROCV GERENTES BD'!A:B,2,0)</f>
        <v>ALISSON DE SOUZA LIMA</v>
      </c>
      <c r="F2833" s="4" t="str">
        <f t="shared" si="258"/>
        <v>2025-06-2</v>
      </c>
      <c r="G2833" t="str">
        <f t="shared" si="259"/>
        <v>ALISSON DE SOUZA LIMA</v>
      </c>
      <c r="H2833" t="str">
        <f t="shared" si="260"/>
        <v>3J FUNDICAO INDUSTRIAL LTDA</v>
      </c>
      <c r="I2833">
        <f t="shared" si="261"/>
        <v>0</v>
      </c>
      <c r="J2833">
        <f t="shared" si="262"/>
        <v>0</v>
      </c>
    </row>
    <row r="2834" spans="1:10" x14ac:dyDescent="0.25">
      <c r="A2834" t="s">
        <v>619</v>
      </c>
      <c r="B2834" t="s">
        <v>620</v>
      </c>
      <c r="C2834" t="s">
        <v>337</v>
      </c>
      <c r="D2834" s="6">
        <v>45827</v>
      </c>
      <c r="E2834" t="str">
        <f>VLOOKUP(B2834,'PROCV GERENTES BD'!A:B,2,0)</f>
        <v>ALISSON DE SOUZA LIMA</v>
      </c>
      <c r="F2834" s="4" t="str">
        <f t="shared" si="258"/>
        <v>2025-06-2</v>
      </c>
      <c r="G2834" t="str">
        <f t="shared" si="259"/>
        <v>ALISSON DE SOUZA LIMA</v>
      </c>
      <c r="H2834" t="str">
        <f t="shared" si="260"/>
        <v>3J FUNDICAO INDUSTRIAL LTDA</v>
      </c>
      <c r="I2834">
        <f t="shared" si="261"/>
        <v>0</v>
      </c>
      <c r="J2834">
        <f t="shared" si="262"/>
        <v>0</v>
      </c>
    </row>
    <row r="2835" spans="1:10" x14ac:dyDescent="0.25">
      <c r="A2835" t="s">
        <v>621</v>
      </c>
      <c r="B2835" t="s">
        <v>622</v>
      </c>
      <c r="C2835" t="s">
        <v>336</v>
      </c>
      <c r="D2835" s="6">
        <v>45827</v>
      </c>
      <c r="E2835" t="str">
        <f>VLOOKUP(B2835,'PROCV GERENTES BD'!A:B,2,0)</f>
        <v xml:space="preserve">MARCUS VINICIUS </v>
      </c>
      <c r="F2835" s="4" t="str">
        <f t="shared" si="258"/>
        <v>2025-06-2</v>
      </c>
      <c r="G2835" t="str">
        <f t="shared" si="259"/>
        <v xml:space="preserve">MARCUS VINICIUS </v>
      </c>
      <c r="H2835" t="str">
        <f t="shared" si="260"/>
        <v>RB DISTRIBUIDORA DE PRODUTOS DE HIGIENE LTDA</v>
      </c>
      <c r="I2835">
        <f t="shared" si="261"/>
        <v>0</v>
      </c>
      <c r="J2835">
        <f t="shared" si="262"/>
        <v>0</v>
      </c>
    </row>
    <row r="2836" spans="1:10" x14ac:dyDescent="0.25">
      <c r="A2836" t="s">
        <v>75</v>
      </c>
      <c r="B2836" t="s">
        <v>76</v>
      </c>
      <c r="C2836" t="s">
        <v>77</v>
      </c>
      <c r="D2836" s="6">
        <v>45827</v>
      </c>
      <c r="E2836" t="str">
        <f>VLOOKUP(B2836,'PROCV GERENTES BD'!A:B,2,0)</f>
        <v>ALISSON DE SOUZA LIMA</v>
      </c>
      <c r="F2836" s="4" t="str">
        <f t="shared" si="258"/>
        <v>2025-06-2</v>
      </c>
      <c r="G2836" t="str">
        <f t="shared" si="259"/>
        <v>ALISSON DE SOUZA LIMA</v>
      </c>
      <c r="H2836" t="str">
        <f t="shared" si="260"/>
        <v>AUTOMOTIV DO BRASIL INDUSTRIAL LTDA</v>
      </c>
      <c r="I2836">
        <f t="shared" si="261"/>
        <v>0</v>
      </c>
      <c r="J2836">
        <f t="shared" si="262"/>
        <v>0</v>
      </c>
    </row>
    <row r="2837" spans="1:10" x14ac:dyDescent="0.25">
      <c r="A2837" t="s">
        <v>623</v>
      </c>
      <c r="B2837" t="s">
        <v>624</v>
      </c>
      <c r="C2837" t="s">
        <v>336</v>
      </c>
      <c r="D2837" s="6">
        <v>45827</v>
      </c>
      <c r="E2837" t="str">
        <f>VLOOKUP(B2837,'PROCV GERENTES BD'!A:B,2,0)</f>
        <v>PROSPECTAR</v>
      </c>
      <c r="F2837" s="4" t="str">
        <f t="shared" si="258"/>
        <v>2025-06-2</v>
      </c>
      <c r="G2837" t="str">
        <f t="shared" si="259"/>
        <v>PROSPECTAR</v>
      </c>
      <c r="H2837" t="str">
        <f t="shared" si="260"/>
        <v>SAGESSE INDUSTRIAL TEXTIL LTDA EPP</v>
      </c>
      <c r="I2837">
        <f t="shared" si="261"/>
        <v>0</v>
      </c>
      <c r="J2837">
        <f t="shared" si="262"/>
        <v>0</v>
      </c>
    </row>
    <row r="2838" spans="1:10" x14ac:dyDescent="0.25">
      <c r="A2838" t="s">
        <v>623</v>
      </c>
      <c r="B2838" t="s">
        <v>624</v>
      </c>
      <c r="C2838" t="s">
        <v>77</v>
      </c>
      <c r="D2838" s="6">
        <v>45827</v>
      </c>
      <c r="E2838" t="str">
        <f>VLOOKUP(B2838,'PROCV GERENTES BD'!A:B,2,0)</f>
        <v>PROSPECTAR</v>
      </c>
      <c r="F2838" s="4" t="str">
        <f t="shared" si="258"/>
        <v>2025-06-2</v>
      </c>
      <c r="G2838" t="str">
        <f t="shared" si="259"/>
        <v>PROSPECTAR</v>
      </c>
      <c r="H2838" t="str">
        <f t="shared" si="260"/>
        <v>SAGESSE INDUSTRIAL TEXTIL LTDA EPP</v>
      </c>
      <c r="I2838">
        <f t="shared" si="261"/>
        <v>0</v>
      </c>
      <c r="J2838">
        <f t="shared" si="262"/>
        <v>0</v>
      </c>
    </row>
    <row r="2839" spans="1:10" x14ac:dyDescent="0.25">
      <c r="A2839" s="15" t="s">
        <v>54</v>
      </c>
      <c r="B2839" s="15" t="s">
        <v>55</v>
      </c>
      <c r="C2839" s="15" t="s">
        <v>56</v>
      </c>
      <c r="D2839" s="6">
        <v>45829</v>
      </c>
      <c r="E2839" t="str">
        <f>VLOOKUP(B2839,'PROCV GERENTES BD'!A:B,2,0)</f>
        <v xml:space="preserve">MARCUS VINICIUS </v>
      </c>
      <c r="F2839" s="4" t="str">
        <f t="shared" ref="F2839:F2860" si="263">YEAR(D2839)&amp;"-"&amp;TEXT(MONTH(D2839),"00")&amp;"-"&amp;IF(DAY(D2839)&lt;=15,"1",IF(DAY(D2839)&gt;15,"2",""))</f>
        <v>2025-06-2</v>
      </c>
      <c r="G2839" t="str">
        <f t="shared" ref="G2839:G2860" si="264">E2839</f>
        <v xml:space="preserve">MARCUS VINICIUS </v>
      </c>
      <c r="H2839" t="str">
        <f t="shared" ref="H2839:H2860" si="265">B2839</f>
        <v>PROMEL IND COM IMP E EXP DE PRODS NATURAIS LTDA</v>
      </c>
      <c r="I2839">
        <f t="shared" ref="I2839:I2860" si="266">IF(C2839="EXCLUSAO  ANOT.INADIMPLENCIA",1,0)</f>
        <v>0</v>
      </c>
      <c r="J2839">
        <f t="shared" ref="J2839:J2860" si="267">IF(C2839="INCLUSAO  ANOT.INADIMPLENCIA",1,0)</f>
        <v>1</v>
      </c>
    </row>
    <row r="2840" spans="1:10" x14ac:dyDescent="0.25">
      <c r="A2840" s="15" t="s">
        <v>453</v>
      </c>
      <c r="B2840" s="15" t="s">
        <v>204</v>
      </c>
      <c r="C2840" s="15" t="s">
        <v>56</v>
      </c>
      <c r="D2840" s="16">
        <v>45829</v>
      </c>
      <c r="E2840" t="str">
        <f>VLOOKUP(B2840,'PROCV GERENTES BD'!A:B,2,0)</f>
        <v>ADMINISTRAÇÃO</v>
      </c>
      <c r="F2840" s="4" t="str">
        <f t="shared" si="263"/>
        <v>2025-06-2</v>
      </c>
      <c r="G2840" t="str">
        <f t="shared" si="264"/>
        <v>ADMINISTRAÇÃO</v>
      </c>
      <c r="H2840" t="str">
        <f t="shared" si="265"/>
        <v>FARBIA CHEMICALS COMERCIO IMPORTACAO E EXPORTACAO</v>
      </c>
      <c r="I2840">
        <f t="shared" si="266"/>
        <v>0</v>
      </c>
      <c r="J2840">
        <f t="shared" si="267"/>
        <v>1</v>
      </c>
    </row>
    <row r="2841" spans="1:10" x14ac:dyDescent="0.25">
      <c r="A2841" s="15" t="s">
        <v>625</v>
      </c>
      <c r="B2841" s="15" t="s">
        <v>626</v>
      </c>
      <c r="C2841" s="15" t="s">
        <v>56</v>
      </c>
      <c r="D2841" s="6">
        <v>45829</v>
      </c>
      <c r="E2841" t="str">
        <f>VLOOKUP(B2841,'PROCV GERENTES BD'!A:B,2,0)</f>
        <v>TIAGO NEVES</v>
      </c>
      <c r="F2841" s="4" t="str">
        <f t="shared" si="263"/>
        <v>2025-06-2</v>
      </c>
      <c r="G2841" t="str">
        <f t="shared" si="264"/>
        <v>TIAGO NEVES</v>
      </c>
      <c r="H2841" t="str">
        <f t="shared" si="265"/>
        <v>TRATOR GLASS LTDA ME</v>
      </c>
      <c r="I2841">
        <f t="shared" si="266"/>
        <v>0</v>
      </c>
      <c r="J2841">
        <f t="shared" si="267"/>
        <v>1</v>
      </c>
    </row>
    <row r="2842" spans="1:10" x14ac:dyDescent="0.25">
      <c r="A2842" s="15" t="s">
        <v>528</v>
      </c>
      <c r="B2842" s="15" t="s">
        <v>292</v>
      </c>
      <c r="C2842" s="15" t="s">
        <v>72</v>
      </c>
      <c r="D2842" s="6">
        <v>45829</v>
      </c>
      <c r="E2842" t="str">
        <f>VLOOKUP(B2842,'PROCV GERENTES BD'!A:B,2,0)</f>
        <v>PROSPECTAR</v>
      </c>
      <c r="F2842" s="4" t="str">
        <f t="shared" si="263"/>
        <v>2025-06-2</v>
      </c>
      <c r="G2842" t="str">
        <f t="shared" si="264"/>
        <v>PROSPECTAR</v>
      </c>
      <c r="H2842" t="str">
        <f t="shared" si="265"/>
        <v>NUTRIBEM SAL E RACOES LTDA</v>
      </c>
      <c r="I2842">
        <f t="shared" si="266"/>
        <v>1</v>
      </c>
      <c r="J2842">
        <f t="shared" si="267"/>
        <v>0</v>
      </c>
    </row>
    <row r="2843" spans="1:10" x14ac:dyDescent="0.25">
      <c r="A2843" s="15" t="s">
        <v>469</v>
      </c>
      <c r="B2843" s="15" t="s">
        <v>225</v>
      </c>
      <c r="C2843" s="15" t="s">
        <v>72</v>
      </c>
      <c r="D2843" s="6">
        <v>45829</v>
      </c>
      <c r="E2843" t="str">
        <f>VLOOKUP(B2843,'PROCV GERENTES BD'!A:B,2,0)</f>
        <v>SEM GERENTE</v>
      </c>
      <c r="F2843" s="4" t="str">
        <f t="shared" si="263"/>
        <v>2025-06-2</v>
      </c>
      <c r="G2843" t="str">
        <f t="shared" si="264"/>
        <v>SEM GERENTE</v>
      </c>
      <c r="H2843" t="str">
        <f t="shared" si="265"/>
        <v>KUARA COMERCIAL E EXPORTADORA DE FRUTAS LTDA</v>
      </c>
      <c r="I2843">
        <f t="shared" si="266"/>
        <v>1</v>
      </c>
      <c r="J2843">
        <f t="shared" si="267"/>
        <v>0</v>
      </c>
    </row>
    <row r="2844" spans="1:10" x14ac:dyDescent="0.25">
      <c r="A2844" s="15" t="s">
        <v>611</v>
      </c>
      <c r="B2844" s="15" t="s">
        <v>550</v>
      </c>
      <c r="C2844" s="15" t="s">
        <v>56</v>
      </c>
      <c r="D2844" s="6">
        <v>45829</v>
      </c>
      <c r="E2844" t="str">
        <f>VLOOKUP(B2844,'PROCV GERENTES BD'!A:B,2,0)</f>
        <v xml:space="preserve">MARCUS VINICIUS </v>
      </c>
      <c r="F2844" s="4" t="str">
        <f t="shared" si="263"/>
        <v>2025-06-2</v>
      </c>
      <c r="G2844" t="str">
        <f t="shared" si="264"/>
        <v xml:space="preserve">MARCUS VINICIUS </v>
      </c>
      <c r="H2844" t="str">
        <f t="shared" si="265"/>
        <v>JSA INDUSTRIA DE COSMETICOS LTDA EPP</v>
      </c>
      <c r="I2844">
        <f t="shared" si="266"/>
        <v>0</v>
      </c>
      <c r="J2844">
        <f t="shared" si="267"/>
        <v>1</v>
      </c>
    </row>
    <row r="2845" spans="1:10" x14ac:dyDescent="0.25">
      <c r="A2845" s="15" t="s">
        <v>458</v>
      </c>
      <c r="B2845" s="15" t="s">
        <v>214</v>
      </c>
      <c r="C2845" s="15" t="s">
        <v>56</v>
      </c>
      <c r="D2845" s="6">
        <v>45829</v>
      </c>
      <c r="E2845" t="str">
        <f>VLOOKUP(B2845,'PROCV GERENTES BD'!A:B,2,0)</f>
        <v>CELIO PIMENTA</v>
      </c>
      <c r="F2845" s="4" t="str">
        <f t="shared" si="263"/>
        <v>2025-06-2</v>
      </c>
      <c r="G2845" t="str">
        <f t="shared" si="264"/>
        <v>CELIO PIMENTA</v>
      </c>
      <c r="H2845" t="str">
        <f t="shared" si="265"/>
        <v>LIDER COMERCIO DE UNIFORMES E EPI S LTDA ME</v>
      </c>
      <c r="I2845">
        <f t="shared" si="266"/>
        <v>0</v>
      </c>
      <c r="J2845">
        <f t="shared" si="267"/>
        <v>1</v>
      </c>
    </row>
    <row r="2846" spans="1:10" x14ac:dyDescent="0.25">
      <c r="A2846" s="15" t="s">
        <v>323</v>
      </c>
      <c r="B2846" s="15" t="s">
        <v>309</v>
      </c>
      <c r="C2846" s="15" t="s">
        <v>56</v>
      </c>
      <c r="D2846" s="6">
        <v>45829</v>
      </c>
      <c r="E2846" t="str">
        <f>VLOOKUP(B2846,'PROCV GERENTES BD'!A:B,2,0)</f>
        <v>CELIO PIMENTA</v>
      </c>
      <c r="F2846" s="4" t="str">
        <f t="shared" si="263"/>
        <v>2025-06-2</v>
      </c>
      <c r="G2846" t="str">
        <f t="shared" si="264"/>
        <v>CELIO PIMENTA</v>
      </c>
      <c r="H2846" t="str">
        <f t="shared" si="265"/>
        <v>LOTUS DESENVOLVIMENTO IMOBILIARIO LTDA</v>
      </c>
      <c r="I2846">
        <f t="shared" si="266"/>
        <v>0</v>
      </c>
      <c r="J2846">
        <f t="shared" si="267"/>
        <v>1</v>
      </c>
    </row>
    <row r="2847" spans="1:10" x14ac:dyDescent="0.25">
      <c r="A2847" s="15" t="s">
        <v>73</v>
      </c>
      <c r="B2847" s="15" t="s">
        <v>74</v>
      </c>
      <c r="C2847" s="15" t="s">
        <v>56</v>
      </c>
      <c r="D2847" s="6">
        <v>45829</v>
      </c>
      <c r="E2847" t="str">
        <f>VLOOKUP(B2847,'PROCV GERENTES BD'!A:B,2,0)</f>
        <v xml:space="preserve">ROGERIO </v>
      </c>
      <c r="F2847" s="4" t="str">
        <f t="shared" si="263"/>
        <v>2025-06-2</v>
      </c>
      <c r="G2847" t="str">
        <f t="shared" si="264"/>
        <v xml:space="preserve">ROGERIO </v>
      </c>
      <c r="H2847" t="str">
        <f t="shared" si="265"/>
        <v>DIOTTONI INDUSTRIA E COMERCIO DE ALIMENTOS LTDA ME</v>
      </c>
      <c r="I2847">
        <f t="shared" si="266"/>
        <v>0</v>
      </c>
      <c r="J2847">
        <f t="shared" si="267"/>
        <v>1</v>
      </c>
    </row>
    <row r="2848" spans="1:10" x14ac:dyDescent="0.25">
      <c r="A2848" s="15" t="s">
        <v>70</v>
      </c>
      <c r="B2848" s="15" t="s">
        <v>71</v>
      </c>
      <c r="C2848" s="15" t="s">
        <v>56</v>
      </c>
      <c r="D2848" s="6">
        <v>45829</v>
      </c>
      <c r="E2848" t="str">
        <f>VLOOKUP(B2848,'PROCV GERENTES BD'!A:B,2,0)</f>
        <v>SEM GERENTE</v>
      </c>
      <c r="F2848" s="4" t="str">
        <f t="shared" si="263"/>
        <v>2025-06-2</v>
      </c>
      <c r="G2848" t="str">
        <f t="shared" si="264"/>
        <v>SEM GERENTE</v>
      </c>
      <c r="H2848" t="str">
        <f t="shared" si="265"/>
        <v>SOCIAL S/A</v>
      </c>
      <c r="I2848">
        <f t="shared" si="266"/>
        <v>0</v>
      </c>
      <c r="J2848">
        <f t="shared" si="267"/>
        <v>1</v>
      </c>
    </row>
    <row r="2849" spans="1:10" x14ac:dyDescent="0.25">
      <c r="A2849" s="15" t="s">
        <v>527</v>
      </c>
      <c r="B2849" s="15" t="s">
        <v>290</v>
      </c>
      <c r="C2849" s="15" t="s">
        <v>56</v>
      </c>
      <c r="D2849" s="6">
        <v>45829</v>
      </c>
      <c r="E2849" t="str">
        <f>VLOOKUP(B2849,'PROCV GERENTES BD'!A:B,2,0)</f>
        <v>DALVA</v>
      </c>
      <c r="F2849" s="4" t="str">
        <f t="shared" si="263"/>
        <v>2025-06-2</v>
      </c>
      <c r="G2849" t="str">
        <f t="shared" si="264"/>
        <v>DALVA</v>
      </c>
      <c r="H2849" t="str">
        <f t="shared" si="265"/>
        <v>LTA USINAGEM LTDA EPP</v>
      </c>
      <c r="I2849">
        <f t="shared" si="266"/>
        <v>0</v>
      </c>
      <c r="J2849">
        <f t="shared" si="267"/>
        <v>1</v>
      </c>
    </row>
    <row r="2850" spans="1:10" x14ac:dyDescent="0.25">
      <c r="A2850" s="15" t="s">
        <v>317</v>
      </c>
      <c r="B2850" s="15" t="s">
        <v>211</v>
      </c>
      <c r="C2850" s="15" t="s">
        <v>56</v>
      </c>
      <c r="D2850" s="6">
        <v>45829</v>
      </c>
      <c r="E2850" t="str">
        <f>VLOOKUP(B2850,'PROCV GERENTES BD'!A:B,2,0)</f>
        <v xml:space="preserve">MARCUS VINICIUS </v>
      </c>
      <c r="F2850" s="4" t="str">
        <f t="shared" si="263"/>
        <v>2025-06-2</v>
      </c>
      <c r="G2850" t="str">
        <f t="shared" si="264"/>
        <v xml:space="preserve">MARCUS VINICIUS </v>
      </c>
      <c r="H2850" t="str">
        <f t="shared" si="265"/>
        <v>INDUSTRIA E COMERCIO DE CHURRASQUEIRAS BOM JESUS L</v>
      </c>
      <c r="I2850">
        <f t="shared" si="266"/>
        <v>0</v>
      </c>
      <c r="J2850">
        <f t="shared" si="267"/>
        <v>1</v>
      </c>
    </row>
    <row r="2851" spans="1:10" x14ac:dyDescent="0.25">
      <c r="A2851" s="15" t="s">
        <v>325</v>
      </c>
      <c r="B2851" s="15" t="s">
        <v>210</v>
      </c>
      <c r="C2851" s="15" t="s">
        <v>72</v>
      </c>
      <c r="D2851" s="6">
        <v>45829</v>
      </c>
      <c r="E2851" t="str">
        <f>VLOOKUP(B2851,'PROCV GERENTES BD'!A:B,2,0)</f>
        <v>JOSE ROBERTO</v>
      </c>
      <c r="F2851" s="4" t="str">
        <f t="shared" si="263"/>
        <v>2025-06-2</v>
      </c>
      <c r="G2851" t="str">
        <f t="shared" si="264"/>
        <v>JOSE ROBERTO</v>
      </c>
      <c r="H2851" t="str">
        <f t="shared" si="265"/>
        <v>FUNDACAO DE ENSINO E PESQUISA DO SUL DE MINAS FEPE</v>
      </c>
      <c r="I2851">
        <f t="shared" si="266"/>
        <v>1</v>
      </c>
      <c r="J2851">
        <f t="shared" si="267"/>
        <v>0</v>
      </c>
    </row>
    <row r="2852" spans="1:10" x14ac:dyDescent="0.25">
      <c r="A2852" s="15" t="s">
        <v>326</v>
      </c>
      <c r="B2852" s="15" t="s">
        <v>86</v>
      </c>
      <c r="C2852" s="15" t="s">
        <v>56</v>
      </c>
      <c r="D2852" s="6">
        <v>45829</v>
      </c>
      <c r="E2852" t="str">
        <f>VLOOKUP(B2852,'PROCV GERENTES BD'!A:B,2,0)</f>
        <v>CELIO PIMENTA</v>
      </c>
      <c r="F2852" s="4" t="str">
        <f t="shared" si="263"/>
        <v>2025-06-2</v>
      </c>
      <c r="G2852" t="str">
        <f t="shared" si="264"/>
        <v>CELIO PIMENTA</v>
      </c>
      <c r="H2852" t="str">
        <f t="shared" si="265"/>
        <v>IMPORTEXTIL COMERCIO DE TECIDOS LTDA</v>
      </c>
      <c r="I2852">
        <f t="shared" si="266"/>
        <v>0</v>
      </c>
      <c r="J2852">
        <f t="shared" si="267"/>
        <v>1</v>
      </c>
    </row>
    <row r="2853" spans="1:10" x14ac:dyDescent="0.25">
      <c r="A2853" s="15" t="s">
        <v>62</v>
      </c>
      <c r="B2853" s="15" t="s">
        <v>63</v>
      </c>
      <c r="C2853" s="15" t="s">
        <v>56</v>
      </c>
      <c r="D2853" s="6">
        <v>45829</v>
      </c>
      <c r="E2853" t="str">
        <f>VLOOKUP(B2853,'PROCV GERENTES BD'!A:B,2,0)</f>
        <v xml:space="preserve">ROGERIO </v>
      </c>
      <c r="F2853" s="4" t="str">
        <f t="shared" si="263"/>
        <v>2025-06-2</v>
      </c>
      <c r="G2853" t="str">
        <f t="shared" si="264"/>
        <v xml:space="preserve">ROGERIO </v>
      </c>
      <c r="H2853" t="str">
        <f t="shared" si="265"/>
        <v>RODOVIEIRA TRANSPORTE LTDA</v>
      </c>
      <c r="I2853">
        <f t="shared" si="266"/>
        <v>0</v>
      </c>
      <c r="J2853">
        <f t="shared" si="267"/>
        <v>1</v>
      </c>
    </row>
    <row r="2854" spans="1:10" x14ac:dyDescent="0.25">
      <c r="A2854" s="15" t="s">
        <v>352</v>
      </c>
      <c r="B2854" s="15" t="s">
        <v>95</v>
      </c>
      <c r="C2854" s="15" t="s">
        <v>56</v>
      </c>
      <c r="D2854" s="6">
        <v>45829</v>
      </c>
      <c r="E2854" t="str">
        <f>VLOOKUP(B2854,'PROCV GERENTES BD'!A:B,2,0)</f>
        <v>POENATELA</v>
      </c>
      <c r="F2854" s="4" t="str">
        <f t="shared" si="263"/>
        <v>2025-06-2</v>
      </c>
      <c r="G2854" t="str">
        <f t="shared" si="264"/>
        <v>POENATELA</v>
      </c>
      <c r="H2854" t="str">
        <f t="shared" si="265"/>
        <v>CERVEJARIA SOUZA LTDA</v>
      </c>
      <c r="I2854">
        <f t="shared" si="266"/>
        <v>0</v>
      </c>
      <c r="J2854">
        <f t="shared" si="267"/>
        <v>1</v>
      </c>
    </row>
    <row r="2855" spans="1:10" x14ac:dyDescent="0.25">
      <c r="A2855" s="15" t="s">
        <v>57</v>
      </c>
      <c r="B2855" s="15" t="s">
        <v>58</v>
      </c>
      <c r="C2855" s="15" t="s">
        <v>56</v>
      </c>
      <c r="D2855" s="6">
        <v>45829</v>
      </c>
      <c r="E2855" t="str">
        <f>VLOOKUP(B2855,'PROCV GERENTES BD'!A:B,2,0)</f>
        <v>RAFAEL PARISE</v>
      </c>
      <c r="F2855" s="4" t="str">
        <f t="shared" si="263"/>
        <v>2025-06-2</v>
      </c>
      <c r="G2855" t="str">
        <f t="shared" si="264"/>
        <v>RAFAEL PARISE</v>
      </c>
      <c r="H2855" t="str">
        <f t="shared" si="265"/>
        <v>TDR TRANSPORTES LOGISTICA LTDA</v>
      </c>
      <c r="I2855">
        <f t="shared" si="266"/>
        <v>0</v>
      </c>
      <c r="J2855">
        <f t="shared" si="267"/>
        <v>1</v>
      </c>
    </row>
    <row r="2856" spans="1:10" x14ac:dyDescent="0.25">
      <c r="A2856" s="15" t="s">
        <v>331</v>
      </c>
      <c r="B2856" s="15" t="s">
        <v>126</v>
      </c>
      <c r="C2856" s="15" t="s">
        <v>59</v>
      </c>
      <c r="D2856" s="6">
        <v>45829</v>
      </c>
      <c r="E2856" t="str">
        <f>VLOOKUP(B2856,'PROCV GERENTES BD'!A:B,2,0)</f>
        <v>FITZ</v>
      </c>
      <c r="F2856" s="4" t="str">
        <f t="shared" si="263"/>
        <v>2025-06-2</v>
      </c>
      <c r="G2856" t="str">
        <f t="shared" si="264"/>
        <v>FITZ</v>
      </c>
      <c r="H2856" t="str">
        <f t="shared" si="265"/>
        <v>TRANSHENRY TRANSPORTES LTDA</v>
      </c>
      <c r="I2856">
        <f t="shared" si="266"/>
        <v>0</v>
      </c>
      <c r="J2856">
        <f t="shared" si="267"/>
        <v>0</v>
      </c>
    </row>
    <row r="2857" spans="1:10" x14ac:dyDescent="0.25">
      <c r="A2857" s="15" t="s">
        <v>532</v>
      </c>
      <c r="B2857" s="15" t="s">
        <v>296</v>
      </c>
      <c r="C2857" s="15" t="s">
        <v>56</v>
      </c>
      <c r="D2857" s="6">
        <v>45829</v>
      </c>
      <c r="E2857" t="str">
        <f>VLOOKUP(B2857,'PROCV GERENTES BD'!A:B,2,0)</f>
        <v>DALVA</v>
      </c>
      <c r="F2857" s="4" t="str">
        <f t="shared" si="263"/>
        <v>2025-06-2</v>
      </c>
      <c r="G2857" t="str">
        <f t="shared" si="264"/>
        <v>DALVA</v>
      </c>
      <c r="H2857" t="str">
        <f t="shared" si="265"/>
        <v>FRAITECH INTELIGENCIA EM AUTOMACAO LTDA</v>
      </c>
      <c r="I2857">
        <f t="shared" si="266"/>
        <v>0</v>
      </c>
      <c r="J2857">
        <f t="shared" si="267"/>
        <v>1</v>
      </c>
    </row>
    <row r="2858" spans="1:10" x14ac:dyDescent="0.25">
      <c r="A2858" s="15" t="s">
        <v>531</v>
      </c>
      <c r="B2858" s="15" t="s">
        <v>295</v>
      </c>
      <c r="C2858" s="15" t="s">
        <v>72</v>
      </c>
      <c r="D2858" s="6">
        <v>45829</v>
      </c>
      <c r="E2858" t="str">
        <f>VLOOKUP(B2858,'PROCV GERENTES BD'!A:B,2,0)</f>
        <v>ADMINISTRAÇÃO</v>
      </c>
      <c r="F2858" s="4" t="str">
        <f t="shared" si="263"/>
        <v>2025-06-2</v>
      </c>
      <c r="G2858" t="str">
        <f t="shared" si="264"/>
        <v>ADMINISTRAÇÃO</v>
      </c>
      <c r="H2858" t="str">
        <f t="shared" si="265"/>
        <v>REFRACONT BRASIL LTDA</v>
      </c>
      <c r="I2858">
        <f t="shared" si="266"/>
        <v>1</v>
      </c>
      <c r="J2858">
        <f t="shared" si="267"/>
        <v>0</v>
      </c>
    </row>
    <row r="2859" spans="1:10" x14ac:dyDescent="0.25">
      <c r="A2859" s="15" t="s">
        <v>542</v>
      </c>
      <c r="B2859" s="15" t="s">
        <v>310</v>
      </c>
      <c r="C2859" s="15" t="s">
        <v>56</v>
      </c>
      <c r="D2859" s="6">
        <v>45829</v>
      </c>
      <c r="E2859" t="str">
        <f>VLOOKUP(B2859,'PROCV GERENTES BD'!A:B,2,0)</f>
        <v xml:space="preserve">MARCUS VINICIUS </v>
      </c>
      <c r="F2859" s="4" t="str">
        <f t="shared" si="263"/>
        <v>2025-06-2</v>
      </c>
      <c r="G2859" t="str">
        <f t="shared" si="264"/>
        <v xml:space="preserve">MARCUS VINICIUS </v>
      </c>
      <c r="H2859" t="str">
        <f t="shared" si="265"/>
        <v>GRAFICA JSA LTDA EPP</v>
      </c>
      <c r="I2859">
        <f t="shared" si="266"/>
        <v>0</v>
      </c>
      <c r="J2859">
        <f t="shared" si="267"/>
        <v>1</v>
      </c>
    </row>
    <row r="2860" spans="1:10" x14ac:dyDescent="0.25">
      <c r="A2860" s="15" t="s">
        <v>519</v>
      </c>
      <c r="B2860" s="15" t="s">
        <v>281</v>
      </c>
      <c r="C2860" s="15" t="s">
        <v>56</v>
      </c>
      <c r="D2860" s="6">
        <v>45829</v>
      </c>
      <c r="E2860" t="str">
        <f>VLOOKUP(B2860,'PROCV GERENTES BD'!A:B,2,0)</f>
        <v>RAFAEL PARISE</v>
      </c>
      <c r="F2860" s="4" t="str">
        <f t="shared" si="263"/>
        <v>2025-06-2</v>
      </c>
      <c r="G2860" t="str">
        <f t="shared" si="264"/>
        <v>RAFAEL PARISE</v>
      </c>
      <c r="H2860" t="str">
        <f t="shared" si="265"/>
        <v>ARTE FINAL INDUSTRIA E COMERCIO DE COURO LTDA</v>
      </c>
      <c r="I2860">
        <f t="shared" si="266"/>
        <v>0</v>
      </c>
      <c r="J2860">
        <f t="shared" si="267"/>
        <v>1</v>
      </c>
    </row>
    <row r="2861" spans="1:10" x14ac:dyDescent="0.25">
      <c r="A2861" s="15" t="s">
        <v>537</v>
      </c>
      <c r="B2861" s="15" t="s">
        <v>304</v>
      </c>
      <c r="C2861" s="15" t="s">
        <v>56</v>
      </c>
      <c r="D2861" s="6">
        <v>45832</v>
      </c>
      <c r="E2861" t="str">
        <f>VLOOKUP(B2861,'PROCV GERENTES BD'!A:B,2,0)</f>
        <v>ANDRE CUNHA</v>
      </c>
      <c r="F2861" s="4" t="str">
        <f t="shared" ref="F2861:F2892" si="268">YEAR(D2861)&amp;"-"&amp;TEXT(MONTH(D2861),"00")&amp;"-"&amp;IF(DAY(D2861)&lt;=15,"1",IF(DAY(D2861)&gt;15,"2",""))</f>
        <v>2025-06-2</v>
      </c>
      <c r="G2861" t="str">
        <f t="shared" ref="G2861:G2892" si="269">E2861</f>
        <v>ANDRE CUNHA</v>
      </c>
      <c r="H2861" t="str">
        <f t="shared" ref="H2861:H2892" si="270">B2861</f>
        <v>REVPACK TECNOLOGIA E COMERCIO DE COMPONENTES PLAST</v>
      </c>
      <c r="I2861">
        <f t="shared" ref="I2861:I2892" si="271">IF(C2861="EXCLUSAO  ANOT.INADIMPLENCIA",1,0)</f>
        <v>0</v>
      </c>
      <c r="J2861">
        <f t="shared" ref="J2861:J2892" si="272">IF(C2861="INCLUSAO  ANOT.INADIMPLENCIA",1,0)</f>
        <v>1</v>
      </c>
    </row>
    <row r="2862" spans="1:10" x14ac:dyDescent="0.25">
      <c r="A2862" s="15" t="s">
        <v>500</v>
      </c>
      <c r="B2862" s="15" t="s">
        <v>258</v>
      </c>
      <c r="C2862" s="15" t="s">
        <v>56</v>
      </c>
      <c r="D2862" s="6">
        <v>45832</v>
      </c>
      <c r="E2862" t="str">
        <f>VLOOKUP(B2862,'PROCV GERENTES BD'!A:B,2,0)</f>
        <v>PROSPECTAR</v>
      </c>
      <c r="F2862" s="4" t="str">
        <f t="shared" si="268"/>
        <v>2025-06-2</v>
      </c>
      <c r="G2862" t="str">
        <f t="shared" si="269"/>
        <v>PROSPECTAR</v>
      </c>
      <c r="H2862" t="str">
        <f t="shared" si="270"/>
        <v>JANE FIGUEIRA CONFECCOES LTDA ME</v>
      </c>
      <c r="I2862">
        <f t="shared" si="271"/>
        <v>0</v>
      </c>
      <c r="J2862">
        <f t="shared" si="272"/>
        <v>1</v>
      </c>
    </row>
    <row r="2863" spans="1:10" x14ac:dyDescent="0.25">
      <c r="A2863" s="15" t="s">
        <v>438</v>
      </c>
      <c r="B2863" s="15" t="s">
        <v>188</v>
      </c>
      <c r="C2863" s="15" t="s">
        <v>56</v>
      </c>
      <c r="D2863" s="6">
        <v>45832</v>
      </c>
      <c r="E2863" t="str">
        <f>VLOOKUP(B2863,'PROCV GERENTES BD'!A:B,2,0)</f>
        <v>FITZ</v>
      </c>
      <c r="F2863" s="4" t="str">
        <f t="shared" si="268"/>
        <v>2025-06-2</v>
      </c>
      <c r="G2863" t="str">
        <f t="shared" si="269"/>
        <v>FITZ</v>
      </c>
      <c r="H2863" t="str">
        <f t="shared" si="270"/>
        <v>SIQUEIRA E GAIPO INDUSTRIA E MATERIAIS ESPORTIVOS</v>
      </c>
      <c r="I2863">
        <f t="shared" si="271"/>
        <v>0</v>
      </c>
      <c r="J2863">
        <f t="shared" si="272"/>
        <v>1</v>
      </c>
    </row>
    <row r="2864" spans="1:10" x14ac:dyDescent="0.25">
      <c r="A2864" s="15" t="s">
        <v>321</v>
      </c>
      <c r="B2864" s="15" t="s">
        <v>253</v>
      </c>
      <c r="C2864" s="15" t="s">
        <v>56</v>
      </c>
      <c r="D2864" s="6">
        <v>45832</v>
      </c>
      <c r="E2864" t="str">
        <f>VLOOKUP(B2864,'PROCV GERENTES BD'!A:B,2,0)</f>
        <v>THAYNA/COMERCIAL</v>
      </c>
      <c r="F2864" s="4" t="str">
        <f t="shared" si="268"/>
        <v>2025-06-2</v>
      </c>
      <c r="G2864" t="str">
        <f t="shared" si="269"/>
        <v>THAYNA/COMERCIAL</v>
      </c>
      <c r="H2864" t="str">
        <f t="shared" si="270"/>
        <v>MUTCD CENTRO DE DISTRIBUICAO DE IND FABRICANTE DE</v>
      </c>
      <c r="I2864">
        <f t="shared" si="271"/>
        <v>0</v>
      </c>
      <c r="J2864">
        <f t="shared" si="272"/>
        <v>1</v>
      </c>
    </row>
    <row r="2865" spans="1:10" x14ac:dyDescent="0.25">
      <c r="A2865" s="15" t="s">
        <v>486</v>
      </c>
      <c r="B2865" s="15" t="s">
        <v>242</v>
      </c>
      <c r="C2865" s="15" t="s">
        <v>56</v>
      </c>
      <c r="D2865" s="6">
        <v>45832</v>
      </c>
      <c r="E2865" t="str">
        <f>VLOOKUP(B2865,'PROCV GERENTES BD'!A:B,2,0)</f>
        <v>FITZ</v>
      </c>
      <c r="F2865" s="4" t="str">
        <f t="shared" si="268"/>
        <v>2025-06-2</v>
      </c>
      <c r="G2865" t="str">
        <f t="shared" si="269"/>
        <v>FITZ</v>
      </c>
      <c r="H2865" t="str">
        <f t="shared" si="270"/>
        <v>NUTRIENS FERTIL LTDA ME</v>
      </c>
      <c r="I2865">
        <f t="shared" si="271"/>
        <v>0</v>
      </c>
      <c r="J2865">
        <f t="shared" si="272"/>
        <v>1</v>
      </c>
    </row>
    <row r="2866" spans="1:10" x14ac:dyDescent="0.25">
      <c r="A2866" s="15" t="s">
        <v>628</v>
      </c>
      <c r="B2866" s="15" t="s">
        <v>574</v>
      </c>
      <c r="C2866" s="15" t="s">
        <v>56</v>
      </c>
      <c r="D2866" s="6">
        <v>45832</v>
      </c>
      <c r="E2866" t="str">
        <f>VLOOKUP(B2866,'PROCV GERENTES BD'!A:B,2,0)</f>
        <v>DALVA</v>
      </c>
      <c r="F2866" s="4" t="str">
        <f t="shared" si="268"/>
        <v>2025-06-2</v>
      </c>
      <c r="G2866" t="str">
        <f t="shared" si="269"/>
        <v>DALVA</v>
      </c>
      <c r="H2866" t="str">
        <f t="shared" si="270"/>
        <v>SENSORVIX INTELIGENCIA EM AUTOMACAO LTDA ME</v>
      </c>
      <c r="I2866">
        <f t="shared" si="271"/>
        <v>0</v>
      </c>
      <c r="J2866">
        <f t="shared" si="272"/>
        <v>1</v>
      </c>
    </row>
    <row r="2867" spans="1:10" x14ac:dyDescent="0.25">
      <c r="A2867" s="15" t="s">
        <v>377</v>
      </c>
      <c r="B2867" s="15" t="s">
        <v>120</v>
      </c>
      <c r="C2867" s="15" t="s">
        <v>56</v>
      </c>
      <c r="D2867" s="6">
        <v>45832</v>
      </c>
      <c r="E2867" t="str">
        <f>VLOOKUP(B2867,'PROCV GERENTES BD'!A:B,2,0)</f>
        <v xml:space="preserve">MARCUS VINICIUS </v>
      </c>
      <c r="F2867" s="4" t="str">
        <f t="shared" si="268"/>
        <v>2025-06-2</v>
      </c>
      <c r="G2867" t="str">
        <f t="shared" si="269"/>
        <v xml:space="preserve">MARCUS VINICIUS </v>
      </c>
      <c r="H2867" t="str">
        <f t="shared" si="270"/>
        <v>ISOBASE POLIESTIRENO LTDA EPP</v>
      </c>
      <c r="I2867">
        <f t="shared" si="271"/>
        <v>0</v>
      </c>
      <c r="J2867">
        <f t="shared" si="272"/>
        <v>1</v>
      </c>
    </row>
    <row r="2868" spans="1:10" x14ac:dyDescent="0.25">
      <c r="A2868" s="15" t="s">
        <v>73</v>
      </c>
      <c r="B2868" s="15" t="s">
        <v>74</v>
      </c>
      <c r="C2868" s="15" t="s">
        <v>56</v>
      </c>
      <c r="D2868" s="6">
        <v>45832</v>
      </c>
      <c r="E2868" t="str">
        <f>VLOOKUP(B2868,'PROCV GERENTES BD'!A:B,2,0)</f>
        <v xml:space="preserve">ROGERIO </v>
      </c>
      <c r="F2868" s="4" t="str">
        <f t="shared" si="268"/>
        <v>2025-06-2</v>
      </c>
      <c r="G2868" t="str">
        <f t="shared" si="269"/>
        <v xml:space="preserve">ROGERIO </v>
      </c>
      <c r="H2868" t="str">
        <f t="shared" si="270"/>
        <v>DIOTTONI INDUSTRIA E COMERCIO DE ALIMENTOS LTDA ME</v>
      </c>
      <c r="I2868">
        <f t="shared" si="271"/>
        <v>0</v>
      </c>
      <c r="J2868">
        <f t="shared" si="272"/>
        <v>1</v>
      </c>
    </row>
    <row r="2869" spans="1:10" x14ac:dyDescent="0.25">
      <c r="A2869" s="15" t="s">
        <v>629</v>
      </c>
      <c r="B2869" s="15" t="s">
        <v>630</v>
      </c>
      <c r="C2869" s="15" t="s">
        <v>56</v>
      </c>
      <c r="D2869" s="6">
        <v>45832</v>
      </c>
      <c r="E2869" t="str">
        <f>VLOOKUP(B2869,'PROCV GERENTES BD'!A:B,2,0)</f>
        <v>RAFAEL PARISE</v>
      </c>
      <c r="F2869" s="4" t="str">
        <f t="shared" si="268"/>
        <v>2025-06-2</v>
      </c>
      <c r="G2869" t="str">
        <f t="shared" si="269"/>
        <v>RAFAEL PARISE</v>
      </c>
      <c r="H2869" t="str">
        <f t="shared" si="270"/>
        <v>SAGATEC LTDA</v>
      </c>
      <c r="I2869">
        <f t="shared" si="271"/>
        <v>0</v>
      </c>
      <c r="J2869">
        <f t="shared" si="272"/>
        <v>1</v>
      </c>
    </row>
    <row r="2870" spans="1:10" x14ac:dyDescent="0.25">
      <c r="A2870" s="15" t="s">
        <v>70</v>
      </c>
      <c r="B2870" s="15" t="s">
        <v>71</v>
      </c>
      <c r="C2870" s="15" t="s">
        <v>56</v>
      </c>
      <c r="D2870" s="6">
        <v>45832</v>
      </c>
      <c r="E2870" t="str">
        <f>VLOOKUP(B2870,'PROCV GERENTES BD'!A:B,2,0)</f>
        <v>SEM GERENTE</v>
      </c>
      <c r="F2870" s="4" t="str">
        <f t="shared" si="268"/>
        <v>2025-06-2</v>
      </c>
      <c r="G2870" t="str">
        <f t="shared" si="269"/>
        <v>SEM GERENTE</v>
      </c>
      <c r="H2870" t="str">
        <f t="shared" si="270"/>
        <v>SOCIAL S/A</v>
      </c>
      <c r="I2870">
        <f t="shared" si="271"/>
        <v>0</v>
      </c>
      <c r="J2870">
        <f t="shared" si="272"/>
        <v>1</v>
      </c>
    </row>
    <row r="2871" spans="1:10" x14ac:dyDescent="0.25">
      <c r="A2871" s="15" t="s">
        <v>68</v>
      </c>
      <c r="B2871" s="15" t="s">
        <v>69</v>
      </c>
      <c r="C2871" s="15" t="s">
        <v>56</v>
      </c>
      <c r="D2871" s="6">
        <v>45832</v>
      </c>
      <c r="E2871" t="str">
        <f>VLOOKUP(B2871,'PROCV GERENTES BD'!A:B,2,0)</f>
        <v>FITZ</v>
      </c>
      <c r="F2871" s="4" t="str">
        <f t="shared" si="268"/>
        <v>2025-06-2</v>
      </c>
      <c r="G2871" t="str">
        <f t="shared" si="269"/>
        <v>FITZ</v>
      </c>
      <c r="H2871" t="str">
        <f t="shared" si="270"/>
        <v>MAPP COM IMPORTACAO EXPORTACAO IND PRODUTOS ALIMEN</v>
      </c>
      <c r="I2871">
        <f t="shared" si="271"/>
        <v>0</v>
      </c>
      <c r="J2871">
        <f t="shared" si="272"/>
        <v>1</v>
      </c>
    </row>
    <row r="2872" spans="1:10" x14ac:dyDescent="0.25">
      <c r="A2872" s="15" t="s">
        <v>619</v>
      </c>
      <c r="B2872" s="15" t="s">
        <v>620</v>
      </c>
      <c r="C2872" s="15" t="s">
        <v>56</v>
      </c>
      <c r="D2872" s="6">
        <v>45832</v>
      </c>
      <c r="E2872" t="str">
        <f>VLOOKUP(B2872,'PROCV GERENTES BD'!A:B,2,0)</f>
        <v>ALISSON DE SOUZA LIMA</v>
      </c>
      <c r="F2872" s="4" t="str">
        <f t="shared" si="268"/>
        <v>2025-06-2</v>
      </c>
      <c r="G2872" t="str">
        <f t="shared" si="269"/>
        <v>ALISSON DE SOUZA LIMA</v>
      </c>
      <c r="H2872" t="str">
        <f t="shared" si="270"/>
        <v>3J FUNDICAO INDUSTRIAL LTDA</v>
      </c>
      <c r="I2872">
        <f t="shared" si="271"/>
        <v>0</v>
      </c>
      <c r="J2872">
        <f t="shared" si="272"/>
        <v>1</v>
      </c>
    </row>
    <row r="2873" spans="1:10" x14ac:dyDescent="0.25">
      <c r="A2873" s="15" t="s">
        <v>483</v>
      </c>
      <c r="B2873" s="15" t="s">
        <v>239</v>
      </c>
      <c r="C2873" s="15" t="s">
        <v>72</v>
      </c>
      <c r="D2873" s="6">
        <v>45832</v>
      </c>
      <c r="E2873" t="str">
        <f>VLOOKUP(B2873,'PROCV GERENTES BD'!A:B,2,0)</f>
        <v>POENATELA</v>
      </c>
      <c r="F2873" s="4" t="str">
        <f t="shared" si="268"/>
        <v>2025-06-2</v>
      </c>
      <c r="G2873" t="str">
        <f t="shared" si="269"/>
        <v>POENATELA</v>
      </c>
      <c r="H2873" t="str">
        <f t="shared" si="270"/>
        <v>JUATUBA MOVEIS E EMBALAGENS LTDA</v>
      </c>
      <c r="I2873">
        <f t="shared" si="271"/>
        <v>1</v>
      </c>
      <c r="J2873">
        <f t="shared" si="272"/>
        <v>0</v>
      </c>
    </row>
    <row r="2874" spans="1:10" x14ac:dyDescent="0.25">
      <c r="A2874" s="15" t="s">
        <v>380</v>
      </c>
      <c r="B2874" s="15" t="s">
        <v>123</v>
      </c>
      <c r="C2874" s="15" t="s">
        <v>56</v>
      </c>
      <c r="D2874" s="6">
        <v>45832</v>
      </c>
      <c r="E2874" t="str">
        <f>VLOOKUP(B2874,'PROCV GERENTES BD'!A:B,2,0)</f>
        <v>ANTONIO CARLOS</v>
      </c>
      <c r="F2874" s="4" t="str">
        <f t="shared" si="268"/>
        <v>2025-06-2</v>
      </c>
      <c r="G2874" t="str">
        <f t="shared" si="269"/>
        <v>ANTONIO CARLOS</v>
      </c>
      <c r="H2874" t="str">
        <f t="shared" si="270"/>
        <v>PREMOLDADOS MATOSINHOS LTDA EPP</v>
      </c>
      <c r="I2874">
        <f t="shared" si="271"/>
        <v>0</v>
      </c>
      <c r="J2874">
        <f t="shared" si="272"/>
        <v>1</v>
      </c>
    </row>
    <row r="2875" spans="1:10" x14ac:dyDescent="0.25">
      <c r="A2875" s="15" t="s">
        <v>325</v>
      </c>
      <c r="B2875" s="15" t="s">
        <v>210</v>
      </c>
      <c r="C2875" s="15" t="s">
        <v>59</v>
      </c>
      <c r="D2875" s="6">
        <v>45832</v>
      </c>
      <c r="E2875" t="str">
        <f>VLOOKUP(B2875,'PROCV GERENTES BD'!A:B,2,0)</f>
        <v>JOSE ROBERTO</v>
      </c>
      <c r="F2875" s="4" t="str">
        <f t="shared" si="268"/>
        <v>2025-06-2</v>
      </c>
      <c r="G2875" t="str">
        <f t="shared" si="269"/>
        <v>JOSE ROBERTO</v>
      </c>
      <c r="H2875" t="str">
        <f t="shared" si="270"/>
        <v>FUNDACAO DE ENSINO E PESQUISA DO SUL DE MINAS FEPE</v>
      </c>
      <c r="I2875">
        <f t="shared" si="271"/>
        <v>0</v>
      </c>
      <c r="J2875">
        <f t="shared" si="272"/>
        <v>0</v>
      </c>
    </row>
    <row r="2876" spans="1:10" x14ac:dyDescent="0.25">
      <c r="A2876" s="15" t="s">
        <v>64</v>
      </c>
      <c r="B2876" s="15" t="s">
        <v>65</v>
      </c>
      <c r="C2876" s="15" t="s">
        <v>56</v>
      </c>
      <c r="D2876" s="6">
        <v>45832</v>
      </c>
      <c r="E2876" t="str">
        <f>VLOOKUP(B2876,'PROCV GERENTES BD'!A:B,2,0)</f>
        <v>ADMINISTRAÇÃO</v>
      </c>
      <c r="F2876" s="4" t="str">
        <f t="shared" si="268"/>
        <v>2025-06-2</v>
      </c>
      <c r="G2876" t="str">
        <f t="shared" si="269"/>
        <v>ADMINISTRAÇÃO</v>
      </c>
      <c r="H2876" t="str">
        <f t="shared" si="270"/>
        <v>BIOTECH LOGISTICA LTDA</v>
      </c>
      <c r="I2876">
        <f t="shared" si="271"/>
        <v>0</v>
      </c>
      <c r="J2876">
        <f t="shared" si="272"/>
        <v>1</v>
      </c>
    </row>
    <row r="2877" spans="1:10" x14ac:dyDescent="0.25">
      <c r="A2877" s="15" t="s">
        <v>326</v>
      </c>
      <c r="B2877" s="15" t="s">
        <v>86</v>
      </c>
      <c r="C2877" s="15" t="s">
        <v>56</v>
      </c>
      <c r="D2877" s="6">
        <v>45832</v>
      </c>
      <c r="E2877" t="str">
        <f>VLOOKUP(B2877,'PROCV GERENTES BD'!A:B,2,0)</f>
        <v>CELIO PIMENTA</v>
      </c>
      <c r="F2877" s="4" t="str">
        <f t="shared" si="268"/>
        <v>2025-06-2</v>
      </c>
      <c r="G2877" t="str">
        <f t="shared" si="269"/>
        <v>CELIO PIMENTA</v>
      </c>
      <c r="H2877" t="str">
        <f t="shared" si="270"/>
        <v>IMPORTEXTIL COMERCIO DE TECIDOS LTDA</v>
      </c>
      <c r="I2877">
        <f t="shared" si="271"/>
        <v>0</v>
      </c>
      <c r="J2877">
        <f t="shared" si="272"/>
        <v>1</v>
      </c>
    </row>
    <row r="2878" spans="1:10" x14ac:dyDescent="0.25">
      <c r="A2878" s="15" t="s">
        <v>488</v>
      </c>
      <c r="B2878" s="15" t="s">
        <v>244</v>
      </c>
      <c r="C2878" s="15" t="s">
        <v>56</v>
      </c>
      <c r="D2878" s="6">
        <v>45832</v>
      </c>
      <c r="E2878" t="str">
        <f>VLOOKUP(B2878,'PROCV GERENTES BD'!A:B,2,0)</f>
        <v>POENATELA</v>
      </c>
      <c r="F2878" s="4" t="str">
        <f t="shared" si="268"/>
        <v>2025-06-2</v>
      </c>
      <c r="G2878" t="str">
        <f t="shared" si="269"/>
        <v>POENATELA</v>
      </c>
      <c r="H2878" t="str">
        <f t="shared" si="270"/>
        <v>PARANAIBA FERTILIZANTES IND E COM LTDA EM RECUPERA</v>
      </c>
      <c r="I2878">
        <f t="shared" si="271"/>
        <v>0</v>
      </c>
      <c r="J2878">
        <f t="shared" si="272"/>
        <v>1</v>
      </c>
    </row>
    <row r="2879" spans="1:10" x14ac:dyDescent="0.25">
      <c r="A2879" s="15" t="s">
        <v>366</v>
      </c>
      <c r="B2879" s="15" t="s">
        <v>111</v>
      </c>
      <c r="C2879" s="15" t="s">
        <v>56</v>
      </c>
      <c r="D2879" s="6">
        <v>45832</v>
      </c>
      <c r="E2879" t="str">
        <f>VLOOKUP(B2879,'PROCV GERENTES BD'!A:B,2,0)</f>
        <v>DIOGO AZEVEDO</v>
      </c>
      <c r="F2879" s="4" t="str">
        <f t="shared" si="268"/>
        <v>2025-06-2</v>
      </c>
      <c r="G2879" t="str">
        <f t="shared" si="269"/>
        <v>DIOGO AZEVEDO</v>
      </c>
      <c r="H2879" t="str">
        <f t="shared" si="270"/>
        <v>INDUSTRIA E CERVEJARIA ARTESANAL DE MINAS GERAIS L</v>
      </c>
      <c r="I2879">
        <f t="shared" si="271"/>
        <v>0</v>
      </c>
      <c r="J2879">
        <f t="shared" si="272"/>
        <v>1</v>
      </c>
    </row>
    <row r="2880" spans="1:10" x14ac:dyDescent="0.25">
      <c r="A2880" s="15" t="s">
        <v>369</v>
      </c>
      <c r="B2880" s="15" t="s">
        <v>113</v>
      </c>
      <c r="C2880" s="15" t="s">
        <v>56</v>
      </c>
      <c r="D2880" s="6">
        <v>45832</v>
      </c>
      <c r="E2880" t="str">
        <f>VLOOKUP(B2880,'PROCV GERENTES BD'!A:B,2,0)</f>
        <v>PRISCILA METZ</v>
      </c>
      <c r="F2880" s="4" t="str">
        <f t="shared" si="268"/>
        <v>2025-06-2</v>
      </c>
      <c r="G2880" t="str">
        <f t="shared" si="269"/>
        <v>PRISCILA METZ</v>
      </c>
      <c r="H2880" t="str">
        <f t="shared" si="270"/>
        <v>HERBAMED LABORATORIO NUTRACEUTICO LTDA</v>
      </c>
      <c r="I2880">
        <f t="shared" si="271"/>
        <v>0</v>
      </c>
      <c r="J2880">
        <f t="shared" si="272"/>
        <v>1</v>
      </c>
    </row>
    <row r="2881" spans="1:10" x14ac:dyDescent="0.25">
      <c r="A2881" s="15" t="s">
        <v>395</v>
      </c>
      <c r="B2881" s="15" t="s">
        <v>141</v>
      </c>
      <c r="C2881" s="15" t="s">
        <v>56</v>
      </c>
      <c r="D2881" s="6">
        <v>45832</v>
      </c>
      <c r="E2881" t="str">
        <f>VLOOKUP(B2881,'PROCV GERENTES BD'!A:B,2,0)</f>
        <v>RAFAEL PARISE</v>
      </c>
      <c r="F2881" s="4" t="str">
        <f t="shared" si="268"/>
        <v>2025-06-2</v>
      </c>
      <c r="G2881" t="str">
        <f t="shared" si="269"/>
        <v>RAFAEL PARISE</v>
      </c>
      <c r="H2881" t="str">
        <f t="shared" si="270"/>
        <v>MAIS DISTRIBUIDORA LTDA</v>
      </c>
      <c r="I2881">
        <f t="shared" si="271"/>
        <v>0</v>
      </c>
      <c r="J2881">
        <f t="shared" si="272"/>
        <v>1</v>
      </c>
    </row>
    <row r="2882" spans="1:10" x14ac:dyDescent="0.25">
      <c r="A2882" s="15" t="s">
        <v>314</v>
      </c>
      <c r="B2882" s="15" t="s">
        <v>108</v>
      </c>
      <c r="C2882" s="15" t="s">
        <v>72</v>
      </c>
      <c r="D2882" s="6">
        <v>45832</v>
      </c>
      <c r="E2882" t="str">
        <f>VLOOKUP(B2882,'PROCV GERENTES BD'!A:B,2,0)</f>
        <v>POENATELA</v>
      </c>
      <c r="F2882" s="4" t="str">
        <f t="shared" si="268"/>
        <v>2025-06-2</v>
      </c>
      <c r="G2882" t="str">
        <f t="shared" si="269"/>
        <v>POENATELA</v>
      </c>
      <c r="H2882" t="str">
        <f t="shared" si="270"/>
        <v>ECOPINUS INDUSTRIA E COMERCIO DE EMBALAGENS DE MAD</v>
      </c>
      <c r="I2882">
        <f t="shared" si="271"/>
        <v>1</v>
      </c>
      <c r="J2882">
        <f t="shared" si="272"/>
        <v>0</v>
      </c>
    </row>
    <row r="2883" spans="1:10" x14ac:dyDescent="0.25">
      <c r="A2883" s="15" t="s">
        <v>540</v>
      </c>
      <c r="B2883" s="15" t="s">
        <v>307</v>
      </c>
      <c r="C2883" s="15" t="s">
        <v>56</v>
      </c>
      <c r="D2883" s="6">
        <v>45832</v>
      </c>
      <c r="E2883" t="str">
        <f>VLOOKUP(B2883,'PROCV GERENTES BD'!A:B,2,0)</f>
        <v>RAFAEL PARISE</v>
      </c>
      <c r="F2883" s="4" t="str">
        <f t="shared" si="268"/>
        <v>2025-06-2</v>
      </c>
      <c r="G2883" t="str">
        <f t="shared" si="269"/>
        <v>RAFAEL PARISE</v>
      </c>
      <c r="H2883" t="str">
        <f t="shared" si="270"/>
        <v>MINASPOL INDUSTRIA E COMERCIO DE COMPOSTOS POLIMER</v>
      </c>
      <c r="I2883">
        <f t="shared" si="271"/>
        <v>0</v>
      </c>
      <c r="J2883">
        <f t="shared" si="272"/>
        <v>1</v>
      </c>
    </row>
    <row r="2884" spans="1:10" x14ac:dyDescent="0.25">
      <c r="A2884" s="15" t="s">
        <v>57</v>
      </c>
      <c r="B2884" s="15" t="s">
        <v>58</v>
      </c>
      <c r="C2884" s="15" t="s">
        <v>56</v>
      </c>
      <c r="D2884" s="6">
        <v>45832</v>
      </c>
      <c r="E2884" t="str">
        <f>VLOOKUP(B2884,'PROCV GERENTES BD'!A:B,2,0)</f>
        <v>RAFAEL PARISE</v>
      </c>
      <c r="F2884" s="4" t="str">
        <f t="shared" si="268"/>
        <v>2025-06-2</v>
      </c>
      <c r="G2884" t="str">
        <f t="shared" si="269"/>
        <v>RAFAEL PARISE</v>
      </c>
      <c r="H2884" t="str">
        <f t="shared" si="270"/>
        <v>TDR TRANSPORTES LOGISTICA LTDA</v>
      </c>
      <c r="I2884">
        <f t="shared" si="271"/>
        <v>0</v>
      </c>
      <c r="J2884">
        <f t="shared" si="272"/>
        <v>1</v>
      </c>
    </row>
    <row r="2885" spans="1:10" x14ac:dyDescent="0.25">
      <c r="A2885" s="15" t="s">
        <v>330</v>
      </c>
      <c r="B2885" s="15" t="s">
        <v>116</v>
      </c>
      <c r="C2885" s="15" t="s">
        <v>56</v>
      </c>
      <c r="D2885" s="6">
        <v>45832</v>
      </c>
      <c r="E2885" t="str">
        <f>VLOOKUP(B2885,'PROCV GERENTES BD'!A:B,2,0)</f>
        <v>FITZ</v>
      </c>
      <c r="F2885" s="4" t="str">
        <f t="shared" si="268"/>
        <v>2025-06-2</v>
      </c>
      <c r="G2885" t="str">
        <f t="shared" si="269"/>
        <v>FITZ</v>
      </c>
      <c r="H2885" t="str">
        <f t="shared" si="270"/>
        <v>SIAP COMERCIO DE PRODUTOS AGROPECUARIOS LTDA</v>
      </c>
      <c r="I2885">
        <f t="shared" si="271"/>
        <v>0</v>
      </c>
      <c r="J2885">
        <f t="shared" si="272"/>
        <v>1</v>
      </c>
    </row>
    <row r="2886" spans="1:10" x14ac:dyDescent="0.25">
      <c r="A2886" s="15" t="s">
        <v>331</v>
      </c>
      <c r="B2886" s="15" t="s">
        <v>126</v>
      </c>
      <c r="C2886" s="15" t="s">
        <v>59</v>
      </c>
      <c r="D2886" s="6">
        <v>45832</v>
      </c>
      <c r="E2886" t="str">
        <f>VLOOKUP(B2886,'PROCV GERENTES BD'!A:B,2,0)</f>
        <v>FITZ</v>
      </c>
      <c r="F2886" s="4" t="str">
        <f t="shared" si="268"/>
        <v>2025-06-2</v>
      </c>
      <c r="G2886" t="str">
        <f t="shared" si="269"/>
        <v>FITZ</v>
      </c>
      <c r="H2886" t="str">
        <f t="shared" si="270"/>
        <v>TRANSHENRY TRANSPORTES LTDA</v>
      </c>
      <c r="I2886">
        <f t="shared" si="271"/>
        <v>0</v>
      </c>
      <c r="J2886">
        <f t="shared" si="272"/>
        <v>0</v>
      </c>
    </row>
    <row r="2887" spans="1:10" x14ac:dyDescent="0.25">
      <c r="A2887" s="15" t="s">
        <v>532</v>
      </c>
      <c r="B2887" s="15" t="s">
        <v>296</v>
      </c>
      <c r="C2887" s="15" t="s">
        <v>56</v>
      </c>
      <c r="D2887" s="6">
        <v>45832</v>
      </c>
      <c r="E2887" t="str">
        <f>VLOOKUP(B2887,'PROCV GERENTES BD'!A:B,2,0)</f>
        <v>DALVA</v>
      </c>
      <c r="F2887" s="4" t="str">
        <f t="shared" si="268"/>
        <v>2025-06-2</v>
      </c>
      <c r="G2887" t="str">
        <f t="shared" si="269"/>
        <v>DALVA</v>
      </c>
      <c r="H2887" t="str">
        <f t="shared" si="270"/>
        <v>FRAITECH INTELIGENCIA EM AUTOMACAO LTDA</v>
      </c>
      <c r="I2887">
        <f t="shared" si="271"/>
        <v>0</v>
      </c>
      <c r="J2887">
        <f t="shared" si="272"/>
        <v>1</v>
      </c>
    </row>
    <row r="2888" spans="1:10" x14ac:dyDescent="0.25">
      <c r="A2888" s="15" t="s">
        <v>531</v>
      </c>
      <c r="B2888" s="15" t="s">
        <v>295</v>
      </c>
      <c r="C2888" s="15" t="s">
        <v>56</v>
      </c>
      <c r="D2888" s="6">
        <v>45832</v>
      </c>
      <c r="E2888" t="str">
        <f>VLOOKUP(B2888,'PROCV GERENTES BD'!A:B,2,0)</f>
        <v>ADMINISTRAÇÃO</v>
      </c>
      <c r="F2888" s="4" t="str">
        <f t="shared" si="268"/>
        <v>2025-06-2</v>
      </c>
      <c r="G2888" t="str">
        <f t="shared" si="269"/>
        <v>ADMINISTRAÇÃO</v>
      </c>
      <c r="H2888" t="str">
        <f t="shared" si="270"/>
        <v>REFRACONT BRASIL LTDA</v>
      </c>
      <c r="I2888">
        <f t="shared" si="271"/>
        <v>0</v>
      </c>
      <c r="J2888">
        <f t="shared" si="272"/>
        <v>1</v>
      </c>
    </row>
    <row r="2889" spans="1:10" x14ac:dyDescent="0.25">
      <c r="A2889" s="15" t="s">
        <v>54</v>
      </c>
      <c r="B2889" s="15" t="s">
        <v>55</v>
      </c>
      <c r="C2889" s="15" t="s">
        <v>56</v>
      </c>
      <c r="D2889" s="6">
        <v>45832</v>
      </c>
      <c r="E2889" t="str">
        <f>VLOOKUP(B2889,'PROCV GERENTES BD'!A:B,2,0)</f>
        <v xml:space="preserve">MARCUS VINICIUS </v>
      </c>
      <c r="F2889" s="4" t="str">
        <f t="shared" si="268"/>
        <v>2025-06-2</v>
      </c>
      <c r="G2889" t="str">
        <f t="shared" si="269"/>
        <v xml:space="preserve">MARCUS VINICIUS </v>
      </c>
      <c r="H2889" t="str">
        <f t="shared" si="270"/>
        <v>PROMEL IND COM IMP E EXP DE PRODS NATURAIS LTDA</v>
      </c>
      <c r="I2889">
        <f t="shared" si="271"/>
        <v>0</v>
      </c>
      <c r="J2889">
        <f t="shared" si="272"/>
        <v>1</v>
      </c>
    </row>
    <row r="2890" spans="1:10" x14ac:dyDescent="0.25">
      <c r="A2890" s="15" t="s">
        <v>318</v>
      </c>
      <c r="B2890" s="15" t="s">
        <v>87</v>
      </c>
      <c r="C2890" s="15" t="s">
        <v>56</v>
      </c>
      <c r="D2890" s="6">
        <v>45832</v>
      </c>
      <c r="E2890" t="str">
        <f>VLOOKUP(B2890,'PROCV GERENTES BD'!A:B,2,0)</f>
        <v>CELIO PIMENTA</v>
      </c>
      <c r="F2890" s="4" t="str">
        <f t="shared" si="268"/>
        <v>2025-06-2</v>
      </c>
      <c r="G2890" t="str">
        <f t="shared" si="269"/>
        <v>CELIO PIMENTA</v>
      </c>
      <c r="H2890" t="str">
        <f t="shared" si="270"/>
        <v>MBIOLOG DIAGNOSTICOS LTDA</v>
      </c>
      <c r="I2890">
        <f t="shared" si="271"/>
        <v>0</v>
      </c>
      <c r="J2890">
        <f t="shared" si="272"/>
        <v>1</v>
      </c>
    </row>
    <row r="2891" spans="1:10" x14ac:dyDescent="0.25">
      <c r="A2891" s="15" t="s">
        <v>529</v>
      </c>
      <c r="B2891" s="15" t="s">
        <v>293</v>
      </c>
      <c r="C2891" s="15" t="s">
        <v>56</v>
      </c>
      <c r="D2891" s="6">
        <v>45832</v>
      </c>
      <c r="E2891" t="str">
        <f>VLOOKUP(B2891,'PROCV GERENTES BD'!A:B,2,0)</f>
        <v>CELIO PIMENTA</v>
      </c>
      <c r="F2891" s="4" t="str">
        <f t="shared" si="268"/>
        <v>2025-06-2</v>
      </c>
      <c r="G2891" t="str">
        <f t="shared" si="269"/>
        <v>CELIO PIMENTA</v>
      </c>
      <c r="H2891" t="str">
        <f t="shared" si="270"/>
        <v>LINGERIE E CIA LTDA ME</v>
      </c>
      <c r="I2891">
        <f t="shared" si="271"/>
        <v>0</v>
      </c>
      <c r="J2891">
        <f t="shared" si="272"/>
        <v>1</v>
      </c>
    </row>
    <row r="2892" spans="1:10" x14ac:dyDescent="0.25">
      <c r="A2892" s="15" t="s">
        <v>518</v>
      </c>
      <c r="B2892" s="15" t="s">
        <v>280</v>
      </c>
      <c r="C2892" s="15" t="s">
        <v>56</v>
      </c>
      <c r="D2892" s="6">
        <v>45832</v>
      </c>
      <c r="E2892" t="str">
        <f>VLOOKUP(B2892,'PROCV GERENTES BD'!A:B,2,0)</f>
        <v>CELIO PIMENTA</v>
      </c>
      <c r="F2892" s="4" t="str">
        <f t="shared" si="268"/>
        <v>2025-06-2</v>
      </c>
      <c r="G2892" t="str">
        <f t="shared" si="269"/>
        <v>CELIO PIMENTA</v>
      </c>
      <c r="H2892" t="str">
        <f t="shared" si="270"/>
        <v>PRADO MOREIRA TEXTIL LTDA ME</v>
      </c>
      <c r="I2892">
        <f t="shared" si="271"/>
        <v>0</v>
      </c>
      <c r="J2892">
        <f t="shared" si="272"/>
        <v>1</v>
      </c>
    </row>
    <row r="2893" spans="1:10" x14ac:dyDescent="0.25">
      <c r="A2893" s="15" t="s">
        <v>537</v>
      </c>
      <c r="B2893" s="15" t="s">
        <v>304</v>
      </c>
      <c r="C2893" s="15" t="s">
        <v>56</v>
      </c>
      <c r="D2893" s="6">
        <v>45833</v>
      </c>
      <c r="E2893" t="str">
        <f>VLOOKUP(B2893,'PROCV GERENTES BD'!A:B,2,0)</f>
        <v>ANDRE CUNHA</v>
      </c>
      <c r="F2893" s="4" t="str">
        <f t="shared" ref="F2893:F2915" si="273">YEAR(D2893)&amp;"-"&amp;TEXT(MONTH(D2893),"00")&amp;"-"&amp;IF(DAY(D2893)&lt;=15,"1",IF(DAY(D2893)&gt;15,"2",""))</f>
        <v>2025-06-2</v>
      </c>
      <c r="G2893" t="str">
        <f t="shared" ref="G2893:G2915" si="274">E2893</f>
        <v>ANDRE CUNHA</v>
      </c>
      <c r="H2893" t="str">
        <f t="shared" ref="H2893:H2915" si="275">B2893</f>
        <v>REVPACK TECNOLOGIA E COMERCIO DE COMPONENTES PLAST</v>
      </c>
      <c r="I2893">
        <f t="shared" ref="I2893:I2915" si="276">IF(C2893="EXCLUSAO  ANOT.INADIMPLENCIA",1,0)</f>
        <v>0</v>
      </c>
      <c r="J2893">
        <f t="shared" ref="J2893:J2915" si="277">IF(C2893="INCLUSAO  ANOT.INADIMPLENCIA",1,0)</f>
        <v>1</v>
      </c>
    </row>
    <row r="2894" spans="1:10" x14ac:dyDescent="0.25">
      <c r="A2894" s="15" t="s">
        <v>625</v>
      </c>
      <c r="B2894" s="15" t="s">
        <v>626</v>
      </c>
      <c r="C2894" s="15" t="s">
        <v>56</v>
      </c>
      <c r="D2894" s="6">
        <v>45833</v>
      </c>
      <c r="E2894" t="str">
        <f>VLOOKUP(B2894,'PROCV GERENTES BD'!A:B,2,0)</f>
        <v>TIAGO NEVES</v>
      </c>
      <c r="F2894" s="4" t="str">
        <f t="shared" si="273"/>
        <v>2025-06-2</v>
      </c>
      <c r="G2894" t="str">
        <f t="shared" si="274"/>
        <v>TIAGO NEVES</v>
      </c>
      <c r="H2894" t="str">
        <f t="shared" si="275"/>
        <v>TRATOR GLASS LTDA ME</v>
      </c>
      <c r="I2894">
        <f t="shared" si="276"/>
        <v>0</v>
      </c>
      <c r="J2894">
        <f t="shared" si="277"/>
        <v>1</v>
      </c>
    </row>
    <row r="2895" spans="1:10" x14ac:dyDescent="0.25">
      <c r="A2895" s="15" t="s">
        <v>469</v>
      </c>
      <c r="B2895" s="15" t="s">
        <v>225</v>
      </c>
      <c r="C2895" s="15" t="s">
        <v>56</v>
      </c>
      <c r="D2895" s="6">
        <v>45833</v>
      </c>
      <c r="E2895" t="str">
        <f>VLOOKUP(B2895,'PROCV GERENTES BD'!A:B,2,0)</f>
        <v>SEM GERENTE</v>
      </c>
      <c r="F2895" s="4" t="str">
        <f t="shared" si="273"/>
        <v>2025-06-2</v>
      </c>
      <c r="G2895" t="str">
        <f t="shared" si="274"/>
        <v>SEM GERENTE</v>
      </c>
      <c r="H2895" t="str">
        <f t="shared" si="275"/>
        <v>KUARA COMERCIAL E EXPORTADORA DE FRUTAS LTDA</v>
      </c>
      <c r="I2895">
        <f t="shared" si="276"/>
        <v>0</v>
      </c>
      <c r="J2895">
        <f t="shared" si="277"/>
        <v>1</v>
      </c>
    </row>
    <row r="2896" spans="1:10" x14ac:dyDescent="0.25">
      <c r="A2896" s="15" t="s">
        <v>611</v>
      </c>
      <c r="B2896" s="15" t="s">
        <v>550</v>
      </c>
      <c r="C2896" s="15" t="s">
        <v>56</v>
      </c>
      <c r="D2896" s="6">
        <v>45833</v>
      </c>
      <c r="E2896" t="str">
        <f>VLOOKUP(B2896,'PROCV GERENTES BD'!A:B,2,0)</f>
        <v xml:space="preserve">MARCUS VINICIUS </v>
      </c>
      <c r="F2896" s="4" t="str">
        <f t="shared" si="273"/>
        <v>2025-06-2</v>
      </c>
      <c r="G2896" t="str">
        <f t="shared" si="274"/>
        <v xml:space="preserve">MARCUS VINICIUS </v>
      </c>
      <c r="H2896" t="str">
        <f t="shared" si="275"/>
        <v>JSA INDUSTRIA DE COSMETICOS LTDA EPP</v>
      </c>
      <c r="I2896">
        <f t="shared" si="276"/>
        <v>0</v>
      </c>
      <c r="J2896">
        <f t="shared" si="277"/>
        <v>1</v>
      </c>
    </row>
    <row r="2897" spans="1:10" x14ac:dyDescent="0.25">
      <c r="A2897" s="15" t="s">
        <v>80</v>
      </c>
      <c r="B2897" s="15" t="s">
        <v>81</v>
      </c>
      <c r="C2897" s="15" t="s">
        <v>56</v>
      </c>
      <c r="D2897" s="6">
        <v>45833</v>
      </c>
      <c r="E2897" t="str">
        <f>VLOOKUP(B2897,'PROCV GERENTES BD'!A:B,2,0)</f>
        <v>CAIO</v>
      </c>
      <c r="F2897" s="4" t="str">
        <f t="shared" si="273"/>
        <v>2025-06-2</v>
      </c>
      <c r="G2897" t="str">
        <f t="shared" si="274"/>
        <v>CAIO</v>
      </c>
      <c r="H2897" t="str">
        <f t="shared" si="275"/>
        <v>TP DISTRIBUIDORA DE PECAS LTDA EPP</v>
      </c>
      <c r="I2897">
        <f t="shared" si="276"/>
        <v>0</v>
      </c>
      <c r="J2897">
        <f t="shared" si="277"/>
        <v>1</v>
      </c>
    </row>
    <row r="2898" spans="1:10" x14ac:dyDescent="0.25">
      <c r="A2898" s="15" t="s">
        <v>631</v>
      </c>
      <c r="B2898" s="15" t="s">
        <v>632</v>
      </c>
      <c r="C2898" s="15" t="s">
        <v>56</v>
      </c>
      <c r="D2898" s="6">
        <v>45833</v>
      </c>
      <c r="E2898" t="str">
        <f>VLOOKUP(B2898,'PROCV GERENTES BD'!A:B,2,0)</f>
        <v>PRISCILA METZ</v>
      </c>
      <c r="F2898" s="4" t="str">
        <f t="shared" si="273"/>
        <v>2025-06-2</v>
      </c>
      <c r="G2898" t="str">
        <f t="shared" si="274"/>
        <v>PRISCILA METZ</v>
      </c>
      <c r="H2898" t="str">
        <f t="shared" si="275"/>
        <v>DESTAK DISTRIBUIDORA PRODUTOS EQUIPAMENTOS HOSPITA</v>
      </c>
      <c r="I2898">
        <f t="shared" si="276"/>
        <v>0</v>
      </c>
      <c r="J2898">
        <f t="shared" si="277"/>
        <v>1</v>
      </c>
    </row>
    <row r="2899" spans="1:10" x14ac:dyDescent="0.25">
      <c r="A2899" s="15" t="s">
        <v>377</v>
      </c>
      <c r="B2899" s="15" t="s">
        <v>120</v>
      </c>
      <c r="C2899" s="15" t="s">
        <v>56</v>
      </c>
      <c r="D2899" s="6">
        <v>45833</v>
      </c>
      <c r="E2899" t="str">
        <f>VLOOKUP(B2899,'PROCV GERENTES BD'!A:B,2,0)</f>
        <v xml:space="preserve">MARCUS VINICIUS </v>
      </c>
      <c r="F2899" s="4" t="str">
        <f t="shared" si="273"/>
        <v>2025-06-2</v>
      </c>
      <c r="G2899" t="str">
        <f t="shared" si="274"/>
        <v xml:space="preserve">MARCUS VINICIUS </v>
      </c>
      <c r="H2899" t="str">
        <f t="shared" si="275"/>
        <v>ISOBASE POLIESTIRENO LTDA EPP</v>
      </c>
      <c r="I2899">
        <f t="shared" si="276"/>
        <v>0</v>
      </c>
      <c r="J2899">
        <f t="shared" si="277"/>
        <v>1</v>
      </c>
    </row>
    <row r="2900" spans="1:10" x14ac:dyDescent="0.25">
      <c r="A2900" s="15" t="s">
        <v>70</v>
      </c>
      <c r="B2900" s="15" t="s">
        <v>71</v>
      </c>
      <c r="C2900" s="15" t="s">
        <v>56</v>
      </c>
      <c r="D2900" s="6">
        <v>45833</v>
      </c>
      <c r="E2900" t="str">
        <f>VLOOKUP(B2900,'PROCV GERENTES BD'!A:B,2,0)</f>
        <v>SEM GERENTE</v>
      </c>
      <c r="F2900" s="4" t="str">
        <f t="shared" si="273"/>
        <v>2025-06-2</v>
      </c>
      <c r="G2900" t="str">
        <f t="shared" si="274"/>
        <v>SEM GERENTE</v>
      </c>
      <c r="H2900" t="str">
        <f t="shared" si="275"/>
        <v>SOCIAL S/A</v>
      </c>
      <c r="I2900">
        <f t="shared" si="276"/>
        <v>0</v>
      </c>
      <c r="J2900">
        <f t="shared" si="277"/>
        <v>1</v>
      </c>
    </row>
    <row r="2901" spans="1:10" x14ac:dyDescent="0.25">
      <c r="A2901" s="15" t="s">
        <v>68</v>
      </c>
      <c r="B2901" s="15" t="s">
        <v>69</v>
      </c>
      <c r="C2901" s="15" t="s">
        <v>56</v>
      </c>
      <c r="D2901" s="6">
        <v>45833</v>
      </c>
      <c r="E2901" t="str">
        <f>VLOOKUP(B2901,'PROCV GERENTES BD'!A:B,2,0)</f>
        <v>FITZ</v>
      </c>
      <c r="F2901" s="4" t="str">
        <f t="shared" si="273"/>
        <v>2025-06-2</v>
      </c>
      <c r="G2901" t="str">
        <f t="shared" si="274"/>
        <v>FITZ</v>
      </c>
      <c r="H2901" t="str">
        <f t="shared" si="275"/>
        <v>MAPP COM IMPORTACAO EXPORTACAO IND PRODUTOS ALIMEN</v>
      </c>
      <c r="I2901">
        <f t="shared" si="276"/>
        <v>0</v>
      </c>
      <c r="J2901">
        <f t="shared" si="277"/>
        <v>1</v>
      </c>
    </row>
    <row r="2902" spans="1:10" x14ac:dyDescent="0.25">
      <c r="A2902" s="15" t="s">
        <v>380</v>
      </c>
      <c r="B2902" s="15" t="s">
        <v>123</v>
      </c>
      <c r="C2902" s="15" t="s">
        <v>56</v>
      </c>
      <c r="D2902" s="6">
        <v>45833</v>
      </c>
      <c r="E2902" t="str">
        <f>VLOOKUP(B2902,'PROCV GERENTES BD'!A:B,2,0)</f>
        <v>ANTONIO CARLOS</v>
      </c>
      <c r="F2902" s="4" t="str">
        <f t="shared" si="273"/>
        <v>2025-06-2</v>
      </c>
      <c r="G2902" t="str">
        <f t="shared" si="274"/>
        <v>ANTONIO CARLOS</v>
      </c>
      <c r="H2902" t="str">
        <f t="shared" si="275"/>
        <v>PREMOLDADOS MATOSINHOS LTDA EPP</v>
      </c>
      <c r="I2902">
        <f t="shared" si="276"/>
        <v>0</v>
      </c>
      <c r="J2902">
        <f t="shared" si="277"/>
        <v>1</v>
      </c>
    </row>
    <row r="2903" spans="1:10" x14ac:dyDescent="0.25">
      <c r="A2903" s="15" t="s">
        <v>468</v>
      </c>
      <c r="B2903" s="15" t="s">
        <v>224</v>
      </c>
      <c r="C2903" s="15" t="s">
        <v>56</v>
      </c>
      <c r="D2903" s="6">
        <v>45833</v>
      </c>
      <c r="E2903" t="str">
        <f>VLOOKUP(B2903,'PROCV GERENTES BD'!A:B,2,0)</f>
        <v>CELIO PIMENTA</v>
      </c>
      <c r="F2903" s="4" t="str">
        <f t="shared" si="273"/>
        <v>2025-06-2</v>
      </c>
      <c r="G2903" t="str">
        <f t="shared" si="274"/>
        <v>CELIO PIMENTA</v>
      </c>
      <c r="H2903" t="str">
        <f t="shared" si="275"/>
        <v>MINAS CLEAN DISTRIBUIDORA DE PRODUTOS PARA LIMPEZA</v>
      </c>
      <c r="I2903">
        <f t="shared" si="276"/>
        <v>0</v>
      </c>
      <c r="J2903">
        <f t="shared" si="277"/>
        <v>1</v>
      </c>
    </row>
    <row r="2904" spans="1:10" x14ac:dyDescent="0.25">
      <c r="A2904" s="15" t="s">
        <v>325</v>
      </c>
      <c r="B2904" s="15" t="s">
        <v>210</v>
      </c>
      <c r="C2904" s="15" t="s">
        <v>56</v>
      </c>
      <c r="D2904" s="6">
        <v>45833</v>
      </c>
      <c r="E2904" t="str">
        <f>VLOOKUP(B2904,'PROCV GERENTES BD'!A:B,2,0)</f>
        <v>JOSE ROBERTO</v>
      </c>
      <c r="F2904" s="4" t="str">
        <f t="shared" si="273"/>
        <v>2025-06-2</v>
      </c>
      <c r="G2904" t="str">
        <f t="shared" si="274"/>
        <v>JOSE ROBERTO</v>
      </c>
      <c r="H2904" t="str">
        <f t="shared" si="275"/>
        <v>FUNDACAO DE ENSINO E PESQUISA DO SUL DE MINAS FEPE</v>
      </c>
      <c r="I2904">
        <f t="shared" si="276"/>
        <v>0</v>
      </c>
      <c r="J2904">
        <f t="shared" si="277"/>
        <v>1</v>
      </c>
    </row>
    <row r="2905" spans="1:10" x14ac:dyDescent="0.25">
      <c r="A2905" s="15" t="s">
        <v>326</v>
      </c>
      <c r="B2905" s="15" t="s">
        <v>86</v>
      </c>
      <c r="C2905" s="15" t="s">
        <v>72</v>
      </c>
      <c r="D2905" s="6">
        <v>45833</v>
      </c>
      <c r="E2905" t="str">
        <f>VLOOKUP(B2905,'PROCV GERENTES BD'!A:B,2,0)</f>
        <v>CELIO PIMENTA</v>
      </c>
      <c r="F2905" s="4" t="str">
        <f t="shared" si="273"/>
        <v>2025-06-2</v>
      </c>
      <c r="G2905" t="str">
        <f t="shared" si="274"/>
        <v>CELIO PIMENTA</v>
      </c>
      <c r="H2905" t="str">
        <f t="shared" si="275"/>
        <v>IMPORTEXTIL COMERCIO DE TECIDOS LTDA</v>
      </c>
      <c r="I2905">
        <f t="shared" si="276"/>
        <v>1</v>
      </c>
      <c r="J2905">
        <f t="shared" si="277"/>
        <v>0</v>
      </c>
    </row>
    <row r="2906" spans="1:10" x14ac:dyDescent="0.25">
      <c r="A2906" s="15" t="s">
        <v>328</v>
      </c>
      <c r="B2906" s="15" t="s">
        <v>271</v>
      </c>
      <c r="C2906" s="15" t="s">
        <v>56</v>
      </c>
      <c r="D2906" s="6">
        <v>45833</v>
      </c>
      <c r="E2906" t="str">
        <f>VLOOKUP(B2906,'PROCV GERENTES BD'!A:B,2,0)</f>
        <v>RAFAEL PARISE</v>
      </c>
      <c r="F2906" s="4" t="str">
        <f t="shared" si="273"/>
        <v>2025-06-2</v>
      </c>
      <c r="G2906" t="str">
        <f t="shared" si="274"/>
        <v>RAFAEL PARISE</v>
      </c>
      <c r="H2906" t="str">
        <f t="shared" si="275"/>
        <v>METALCROMO METALIZACAO E CROMO DURO INDUSTRIAL LTD</v>
      </c>
      <c r="I2906">
        <f t="shared" si="276"/>
        <v>0</v>
      </c>
      <c r="J2906">
        <f t="shared" si="277"/>
        <v>1</v>
      </c>
    </row>
    <row r="2907" spans="1:10" x14ac:dyDescent="0.25">
      <c r="A2907" s="15" t="s">
        <v>540</v>
      </c>
      <c r="B2907" s="15" t="s">
        <v>307</v>
      </c>
      <c r="C2907" s="15" t="s">
        <v>59</v>
      </c>
      <c r="D2907" s="6">
        <v>45833</v>
      </c>
      <c r="E2907" t="str">
        <f>VLOOKUP(B2907,'PROCV GERENTES BD'!A:B,2,0)</f>
        <v>RAFAEL PARISE</v>
      </c>
      <c r="F2907" s="4" t="str">
        <f t="shared" si="273"/>
        <v>2025-06-2</v>
      </c>
      <c r="G2907" t="str">
        <f t="shared" si="274"/>
        <v>RAFAEL PARISE</v>
      </c>
      <c r="H2907" t="str">
        <f t="shared" si="275"/>
        <v>MINASPOL INDUSTRIA E COMERCIO DE COMPOSTOS POLIMER</v>
      </c>
      <c r="I2907">
        <f t="shared" si="276"/>
        <v>0</v>
      </c>
      <c r="J2907">
        <f t="shared" si="277"/>
        <v>0</v>
      </c>
    </row>
    <row r="2908" spans="1:10" x14ac:dyDescent="0.25">
      <c r="A2908" s="15" t="s">
        <v>57</v>
      </c>
      <c r="B2908" s="15" t="s">
        <v>58</v>
      </c>
      <c r="C2908" s="15" t="s">
        <v>56</v>
      </c>
      <c r="D2908" s="6">
        <v>45833</v>
      </c>
      <c r="E2908" t="str">
        <f>VLOOKUP(B2908,'PROCV GERENTES BD'!A:B,2,0)</f>
        <v>RAFAEL PARISE</v>
      </c>
      <c r="F2908" s="4" t="str">
        <f t="shared" si="273"/>
        <v>2025-06-2</v>
      </c>
      <c r="G2908" t="str">
        <f t="shared" si="274"/>
        <v>RAFAEL PARISE</v>
      </c>
      <c r="H2908" t="str">
        <f t="shared" si="275"/>
        <v>TDR TRANSPORTES LOGISTICA LTDA</v>
      </c>
      <c r="I2908">
        <f t="shared" si="276"/>
        <v>0</v>
      </c>
      <c r="J2908">
        <f t="shared" si="277"/>
        <v>1</v>
      </c>
    </row>
    <row r="2909" spans="1:10" x14ac:dyDescent="0.25">
      <c r="A2909" s="15" t="s">
        <v>330</v>
      </c>
      <c r="B2909" s="15" t="s">
        <v>116</v>
      </c>
      <c r="C2909" s="15" t="s">
        <v>72</v>
      </c>
      <c r="D2909" s="6">
        <v>45833</v>
      </c>
      <c r="E2909" t="str">
        <f>VLOOKUP(B2909,'PROCV GERENTES BD'!A:B,2,0)</f>
        <v>FITZ</v>
      </c>
      <c r="F2909" s="4" t="str">
        <f t="shared" si="273"/>
        <v>2025-06-2</v>
      </c>
      <c r="G2909" t="str">
        <f t="shared" si="274"/>
        <v>FITZ</v>
      </c>
      <c r="H2909" t="str">
        <f t="shared" si="275"/>
        <v>SIAP COMERCIO DE PRODUTOS AGROPECUARIOS LTDA</v>
      </c>
      <c r="I2909">
        <f t="shared" si="276"/>
        <v>1</v>
      </c>
      <c r="J2909">
        <f t="shared" si="277"/>
        <v>0</v>
      </c>
    </row>
    <row r="2910" spans="1:10" x14ac:dyDescent="0.25">
      <c r="A2910" s="15" t="s">
        <v>331</v>
      </c>
      <c r="B2910" s="15" t="s">
        <v>126</v>
      </c>
      <c r="C2910" s="15" t="s">
        <v>72</v>
      </c>
      <c r="D2910" s="6">
        <v>45833</v>
      </c>
      <c r="E2910" t="str">
        <f>VLOOKUP(B2910,'PROCV GERENTES BD'!A:B,2,0)</f>
        <v>FITZ</v>
      </c>
      <c r="F2910" s="4" t="str">
        <f t="shared" si="273"/>
        <v>2025-06-2</v>
      </c>
      <c r="G2910" t="str">
        <f t="shared" si="274"/>
        <v>FITZ</v>
      </c>
      <c r="H2910" t="str">
        <f t="shared" si="275"/>
        <v>TRANSHENRY TRANSPORTES LTDA</v>
      </c>
      <c r="I2910">
        <f t="shared" si="276"/>
        <v>1</v>
      </c>
      <c r="J2910">
        <f t="shared" si="277"/>
        <v>0</v>
      </c>
    </row>
    <row r="2911" spans="1:10" x14ac:dyDescent="0.25">
      <c r="A2911" s="15" t="s">
        <v>531</v>
      </c>
      <c r="B2911" s="15" t="s">
        <v>295</v>
      </c>
      <c r="C2911" s="15" t="s">
        <v>72</v>
      </c>
      <c r="D2911" s="6">
        <v>45833</v>
      </c>
      <c r="E2911" t="str">
        <f>VLOOKUP(B2911,'PROCV GERENTES BD'!A:B,2,0)</f>
        <v>ADMINISTRAÇÃO</v>
      </c>
      <c r="F2911" s="4" t="str">
        <f t="shared" si="273"/>
        <v>2025-06-2</v>
      </c>
      <c r="G2911" t="str">
        <f t="shared" si="274"/>
        <v>ADMINISTRAÇÃO</v>
      </c>
      <c r="H2911" t="str">
        <f t="shared" si="275"/>
        <v>REFRACONT BRASIL LTDA</v>
      </c>
      <c r="I2911">
        <f t="shared" si="276"/>
        <v>1</v>
      </c>
      <c r="J2911">
        <f t="shared" si="277"/>
        <v>0</v>
      </c>
    </row>
    <row r="2912" spans="1:10" x14ac:dyDescent="0.25">
      <c r="A2912" s="15" t="s">
        <v>376</v>
      </c>
      <c r="B2912" s="15" t="s">
        <v>118</v>
      </c>
      <c r="C2912" s="15" t="s">
        <v>56</v>
      </c>
      <c r="D2912" s="6">
        <v>45833</v>
      </c>
      <c r="E2912" t="str">
        <f>VLOOKUP(B2912,'PROCV GERENTES BD'!A:B,2,0)</f>
        <v>ADMINISTRAÇÃO</v>
      </c>
      <c r="F2912" s="4" t="str">
        <f t="shared" si="273"/>
        <v>2025-06-2</v>
      </c>
      <c r="G2912" t="str">
        <f t="shared" si="274"/>
        <v>ADMINISTRAÇÃO</v>
      </c>
      <c r="H2912" t="str">
        <f t="shared" si="275"/>
        <v>ARTECAL ELETROCENTROS S/A</v>
      </c>
      <c r="I2912">
        <f t="shared" si="276"/>
        <v>0</v>
      </c>
      <c r="J2912">
        <f t="shared" si="277"/>
        <v>1</v>
      </c>
    </row>
    <row r="2913" spans="1:10" x14ac:dyDescent="0.25">
      <c r="A2913" s="15" t="s">
        <v>54</v>
      </c>
      <c r="B2913" s="15" t="s">
        <v>55</v>
      </c>
      <c r="C2913" s="15" t="s">
        <v>56</v>
      </c>
      <c r="D2913" s="6">
        <v>45833</v>
      </c>
      <c r="E2913" t="str">
        <f>VLOOKUP(B2913,'PROCV GERENTES BD'!A:B,2,0)</f>
        <v xml:space="preserve">MARCUS VINICIUS </v>
      </c>
      <c r="F2913" s="4" t="str">
        <f t="shared" si="273"/>
        <v>2025-06-2</v>
      </c>
      <c r="G2913" t="str">
        <f t="shared" si="274"/>
        <v xml:space="preserve">MARCUS VINICIUS </v>
      </c>
      <c r="H2913" t="str">
        <f t="shared" si="275"/>
        <v>PROMEL IND COM IMP E EXP DE PRODS NATURAIS LTDA</v>
      </c>
      <c r="I2913">
        <f t="shared" si="276"/>
        <v>0</v>
      </c>
      <c r="J2913">
        <f t="shared" si="277"/>
        <v>1</v>
      </c>
    </row>
    <row r="2914" spans="1:10" x14ac:dyDescent="0.25">
      <c r="A2914" s="15" t="s">
        <v>64</v>
      </c>
      <c r="B2914" s="15" t="s">
        <v>65</v>
      </c>
      <c r="C2914" s="15" t="s">
        <v>72</v>
      </c>
      <c r="D2914" s="6">
        <v>45833</v>
      </c>
      <c r="E2914" t="str">
        <f>VLOOKUP(B2914,'PROCV GERENTES BD'!A:B,2,0)</f>
        <v>ADMINISTRAÇÃO</v>
      </c>
      <c r="F2914" s="4" t="str">
        <f t="shared" si="273"/>
        <v>2025-06-2</v>
      </c>
      <c r="G2914" t="str">
        <f t="shared" si="274"/>
        <v>ADMINISTRAÇÃO</v>
      </c>
      <c r="H2914" t="str">
        <f t="shared" si="275"/>
        <v>BIOTECH LOGISTICA LTDA</v>
      </c>
      <c r="I2914">
        <f t="shared" si="276"/>
        <v>1</v>
      </c>
      <c r="J2914">
        <f t="shared" si="277"/>
        <v>0</v>
      </c>
    </row>
    <row r="2915" spans="1:10" x14ac:dyDescent="0.25">
      <c r="A2915" s="15" t="s">
        <v>511</v>
      </c>
      <c r="B2915" s="15" t="s">
        <v>268</v>
      </c>
      <c r="C2915" s="15" t="s">
        <v>56</v>
      </c>
      <c r="D2915" s="6">
        <v>45833</v>
      </c>
      <c r="E2915" t="str">
        <f>VLOOKUP(B2915,'PROCV GERENTES BD'!A:B,2,0)</f>
        <v>PRISCILA METZ</v>
      </c>
      <c r="F2915" s="4" t="str">
        <f t="shared" si="273"/>
        <v>2025-06-2</v>
      </c>
      <c r="G2915" t="str">
        <f t="shared" si="274"/>
        <v>PRISCILA METZ</v>
      </c>
      <c r="H2915" t="str">
        <f t="shared" si="275"/>
        <v>ANDRADE ELETRO TECNICA LTDA EPP</v>
      </c>
      <c r="I2915">
        <f t="shared" si="276"/>
        <v>0</v>
      </c>
      <c r="J2915">
        <f t="shared" si="277"/>
        <v>1</v>
      </c>
    </row>
    <row r="2916" spans="1:10" x14ac:dyDescent="0.25">
      <c r="A2916" s="15" t="s">
        <v>531</v>
      </c>
      <c r="B2916" s="15" t="s">
        <v>295</v>
      </c>
      <c r="C2916" s="15" t="s">
        <v>72</v>
      </c>
      <c r="D2916" s="6">
        <v>45834</v>
      </c>
      <c r="E2916" t="str">
        <f>VLOOKUP(B2916,'PROCV GERENTES BD'!A:B,2,0)</f>
        <v>ADMINISTRAÇÃO</v>
      </c>
      <c r="F2916" s="4" t="str">
        <f t="shared" ref="F2916:F2932" si="278">YEAR(D2916)&amp;"-"&amp;TEXT(MONTH(D2916),"00")&amp;"-"&amp;IF(DAY(D2916)&lt;=15,"1",IF(DAY(D2916)&gt;15,"2",""))</f>
        <v>2025-06-2</v>
      </c>
      <c r="G2916" t="str">
        <f t="shared" ref="G2916:G2932" si="279">E2916</f>
        <v>ADMINISTRAÇÃO</v>
      </c>
      <c r="H2916" t="str">
        <f t="shared" ref="H2916:H2932" si="280">B2916</f>
        <v>REFRACONT BRASIL LTDA</v>
      </c>
      <c r="I2916">
        <f t="shared" ref="I2916:I2932" si="281">IF(C2916="EXCLUSAO  ANOT.INADIMPLENCIA",1,0)</f>
        <v>1</v>
      </c>
      <c r="J2916">
        <f t="shared" ref="J2916:J2932" si="282">IF(C2916="INCLUSAO  ANOT.INADIMPLENCIA",1,0)</f>
        <v>0</v>
      </c>
    </row>
    <row r="2917" spans="1:10" x14ac:dyDescent="0.25">
      <c r="A2917" s="15" t="s">
        <v>511</v>
      </c>
      <c r="B2917" s="15" t="s">
        <v>268</v>
      </c>
      <c r="C2917" s="15" t="s">
        <v>72</v>
      </c>
      <c r="D2917" s="6">
        <v>45834</v>
      </c>
      <c r="E2917" t="str">
        <f>VLOOKUP(B2917,'PROCV GERENTES BD'!A:B,2,0)</f>
        <v>PRISCILA METZ</v>
      </c>
      <c r="F2917" s="4" t="str">
        <f t="shared" si="278"/>
        <v>2025-06-2</v>
      </c>
      <c r="G2917" t="str">
        <f t="shared" si="279"/>
        <v>PRISCILA METZ</v>
      </c>
      <c r="H2917" t="str">
        <f t="shared" si="280"/>
        <v>ANDRADE ELETRO TECNICA LTDA EPP</v>
      </c>
      <c r="I2917">
        <f t="shared" si="281"/>
        <v>1</v>
      </c>
      <c r="J2917">
        <f t="shared" si="282"/>
        <v>0</v>
      </c>
    </row>
    <row r="2918" spans="1:10" x14ac:dyDescent="0.25">
      <c r="A2918" s="15" t="s">
        <v>637</v>
      </c>
      <c r="B2918" s="15" t="s">
        <v>549</v>
      </c>
      <c r="C2918" s="15" t="s">
        <v>56</v>
      </c>
      <c r="D2918" s="6">
        <v>45834</v>
      </c>
      <c r="E2918" t="str">
        <f>VLOOKUP(B2918,'PROCV GERENTES BD'!A:B,2,0)</f>
        <v>ADMINISTRAÇÃO</v>
      </c>
      <c r="F2918" s="4" t="str">
        <f t="shared" si="278"/>
        <v>2025-06-2</v>
      </c>
      <c r="G2918" t="str">
        <f t="shared" si="279"/>
        <v>ADMINISTRAÇÃO</v>
      </c>
      <c r="H2918" t="str">
        <f t="shared" si="280"/>
        <v>HBEAUTY COSMETICOS LTDA ME</v>
      </c>
      <c r="I2918">
        <f t="shared" si="281"/>
        <v>0</v>
      </c>
      <c r="J2918">
        <f t="shared" si="282"/>
        <v>1</v>
      </c>
    </row>
    <row r="2919" spans="1:10" x14ac:dyDescent="0.25">
      <c r="A2919" s="15" t="s">
        <v>613</v>
      </c>
      <c r="B2919" s="15" t="s">
        <v>606</v>
      </c>
      <c r="C2919" s="15" t="s">
        <v>72</v>
      </c>
      <c r="D2919" s="6">
        <v>45834</v>
      </c>
      <c r="E2919" t="str">
        <f>VLOOKUP(B2919,'PROCV GERENTES BD'!A:B,2,0)</f>
        <v xml:space="preserve">ROGERIO </v>
      </c>
      <c r="F2919" s="4" t="str">
        <f t="shared" si="278"/>
        <v>2025-06-2</v>
      </c>
      <c r="G2919" t="str">
        <f t="shared" si="279"/>
        <v xml:space="preserve">ROGERIO </v>
      </c>
      <c r="H2919" t="str">
        <f t="shared" si="280"/>
        <v>METALAB COMERCIO E INDUSTRIA FARMACEUTICA LTDA ME</v>
      </c>
      <c r="I2919">
        <f t="shared" si="281"/>
        <v>1</v>
      </c>
      <c r="J2919">
        <f t="shared" si="282"/>
        <v>0</v>
      </c>
    </row>
    <row r="2920" spans="1:10" x14ac:dyDescent="0.25">
      <c r="A2920" s="15" t="s">
        <v>628</v>
      </c>
      <c r="B2920" s="15" t="s">
        <v>574</v>
      </c>
      <c r="C2920" s="15" t="s">
        <v>56</v>
      </c>
      <c r="D2920" s="6">
        <v>45834</v>
      </c>
      <c r="E2920" t="str">
        <f>VLOOKUP(B2920,'PROCV GERENTES BD'!A:B,2,0)</f>
        <v>DALVA</v>
      </c>
      <c r="F2920" s="4" t="str">
        <f t="shared" si="278"/>
        <v>2025-06-2</v>
      </c>
      <c r="G2920" t="str">
        <f t="shared" si="279"/>
        <v>DALVA</v>
      </c>
      <c r="H2920" t="str">
        <f t="shared" si="280"/>
        <v>SENSORVIX INTELIGENCIA EM AUTOMACAO LTDA ME</v>
      </c>
      <c r="I2920">
        <f t="shared" si="281"/>
        <v>0</v>
      </c>
      <c r="J2920">
        <f t="shared" si="282"/>
        <v>1</v>
      </c>
    </row>
    <row r="2921" spans="1:10" x14ac:dyDescent="0.25">
      <c r="A2921" s="15" t="s">
        <v>435</v>
      </c>
      <c r="B2921" s="15" t="s">
        <v>185</v>
      </c>
      <c r="C2921" s="15" t="s">
        <v>56</v>
      </c>
      <c r="D2921" s="6">
        <v>45834</v>
      </c>
      <c r="E2921" t="str">
        <f>VLOOKUP(B2921,'PROCV GERENTES BD'!A:B,2,0)</f>
        <v>ADMINISTRAÇÃO</v>
      </c>
      <c r="F2921" s="4" t="str">
        <f t="shared" si="278"/>
        <v>2025-06-2</v>
      </c>
      <c r="G2921" t="str">
        <f t="shared" si="279"/>
        <v>ADMINISTRAÇÃO</v>
      </c>
      <c r="H2921" t="str">
        <f t="shared" si="280"/>
        <v>LIZZENA COSMETICOS LTDA EPP</v>
      </c>
      <c r="I2921">
        <f t="shared" si="281"/>
        <v>0</v>
      </c>
      <c r="J2921">
        <f t="shared" si="282"/>
        <v>1</v>
      </c>
    </row>
    <row r="2922" spans="1:10" x14ac:dyDescent="0.25">
      <c r="A2922" s="15" t="s">
        <v>619</v>
      </c>
      <c r="B2922" s="15" t="s">
        <v>620</v>
      </c>
      <c r="C2922" s="15" t="s">
        <v>59</v>
      </c>
      <c r="D2922" s="6">
        <v>45834</v>
      </c>
      <c r="E2922" t="str">
        <f>VLOOKUP(B2922,'PROCV GERENTES BD'!A:B,2,0)</f>
        <v>ALISSON DE SOUZA LIMA</v>
      </c>
      <c r="F2922" s="4" t="str">
        <f t="shared" si="278"/>
        <v>2025-06-2</v>
      </c>
      <c r="G2922" t="str">
        <f t="shared" si="279"/>
        <v>ALISSON DE SOUZA LIMA</v>
      </c>
      <c r="H2922" t="str">
        <f t="shared" si="280"/>
        <v>3J FUNDICAO INDUSTRIAL LTDA</v>
      </c>
      <c r="I2922">
        <f t="shared" si="281"/>
        <v>0</v>
      </c>
      <c r="J2922">
        <f t="shared" si="282"/>
        <v>0</v>
      </c>
    </row>
    <row r="2923" spans="1:10" x14ac:dyDescent="0.25">
      <c r="A2923" s="15" t="s">
        <v>638</v>
      </c>
      <c r="B2923" s="15" t="s">
        <v>639</v>
      </c>
      <c r="C2923" s="15" t="s">
        <v>72</v>
      </c>
      <c r="D2923" s="6">
        <v>45834</v>
      </c>
      <c r="E2923" t="str">
        <f>VLOOKUP(B2923,'PROCV GERENTES BD'!A:B,2,0)</f>
        <v>ALISSON DE SOUZA LIMA</v>
      </c>
      <c r="F2923" s="4" t="str">
        <f t="shared" si="278"/>
        <v>2025-06-2</v>
      </c>
      <c r="G2923" t="str">
        <f t="shared" si="279"/>
        <v>ALISSON DE SOUZA LIMA</v>
      </c>
      <c r="H2923" t="str">
        <f t="shared" si="280"/>
        <v>A2 VIDROS INDUSTRIA E COMERCIO LTDA</v>
      </c>
      <c r="I2923">
        <f t="shared" si="281"/>
        <v>1</v>
      </c>
      <c r="J2923">
        <f t="shared" si="282"/>
        <v>0</v>
      </c>
    </row>
    <row r="2924" spans="1:10" x14ac:dyDescent="0.25">
      <c r="A2924" s="15" t="s">
        <v>467</v>
      </c>
      <c r="B2924" s="15" t="s">
        <v>223</v>
      </c>
      <c r="C2924" s="15" t="s">
        <v>56</v>
      </c>
      <c r="D2924" s="6">
        <v>45834</v>
      </c>
      <c r="E2924" t="str">
        <f>VLOOKUP(B2924,'PROCV GERENTES BD'!A:B,2,0)</f>
        <v>ADMINISTRAÇÃO</v>
      </c>
      <c r="F2924" s="4" t="str">
        <f t="shared" si="278"/>
        <v>2025-06-2</v>
      </c>
      <c r="G2924" t="str">
        <f t="shared" si="279"/>
        <v>ADMINISTRAÇÃO</v>
      </c>
      <c r="H2924" t="str">
        <f t="shared" si="280"/>
        <v>JABEZ SERVICOS COMPARTILHADOS LTDA ME</v>
      </c>
      <c r="I2924">
        <f t="shared" si="281"/>
        <v>0</v>
      </c>
      <c r="J2924">
        <f t="shared" si="282"/>
        <v>1</v>
      </c>
    </row>
    <row r="2925" spans="1:10" x14ac:dyDescent="0.25">
      <c r="A2925" s="15" t="s">
        <v>326</v>
      </c>
      <c r="B2925" s="15" t="s">
        <v>86</v>
      </c>
      <c r="C2925" s="15" t="s">
        <v>56</v>
      </c>
      <c r="D2925" s="6">
        <v>45834</v>
      </c>
      <c r="E2925" t="str">
        <f>VLOOKUP(B2925,'PROCV GERENTES BD'!A:B,2,0)</f>
        <v>CELIO PIMENTA</v>
      </c>
      <c r="F2925" s="4" t="str">
        <f t="shared" si="278"/>
        <v>2025-06-2</v>
      </c>
      <c r="G2925" t="str">
        <f t="shared" si="279"/>
        <v>CELIO PIMENTA</v>
      </c>
      <c r="H2925" t="str">
        <f t="shared" si="280"/>
        <v>IMPORTEXTIL COMERCIO DE TECIDOS LTDA</v>
      </c>
      <c r="I2925">
        <f t="shared" si="281"/>
        <v>0</v>
      </c>
      <c r="J2925">
        <f t="shared" si="282"/>
        <v>1</v>
      </c>
    </row>
    <row r="2926" spans="1:10" x14ac:dyDescent="0.25">
      <c r="A2926" s="15" t="s">
        <v>339</v>
      </c>
      <c r="B2926" s="15" t="s">
        <v>151</v>
      </c>
      <c r="C2926" s="15" t="s">
        <v>56</v>
      </c>
      <c r="D2926" s="6">
        <v>45834</v>
      </c>
      <c r="E2926" t="str">
        <f>VLOOKUP(B2926,'PROCV GERENTES BD'!A:B,2,0)</f>
        <v>ADMINISTRAÇÃO</v>
      </c>
      <c r="F2926" s="4" t="str">
        <f t="shared" si="278"/>
        <v>2025-06-2</v>
      </c>
      <c r="G2926" t="str">
        <f t="shared" si="279"/>
        <v>ADMINISTRAÇÃO</v>
      </c>
      <c r="H2926" t="str">
        <f t="shared" si="280"/>
        <v>BOM PASTOR PAPEIS LTDA EM RECUPERACAO JUDICIAL</v>
      </c>
      <c r="I2926">
        <f t="shared" si="281"/>
        <v>0</v>
      </c>
      <c r="J2926">
        <f t="shared" si="282"/>
        <v>1</v>
      </c>
    </row>
    <row r="2927" spans="1:10" x14ac:dyDescent="0.25">
      <c r="A2927" s="15" t="s">
        <v>352</v>
      </c>
      <c r="B2927" s="15" t="s">
        <v>95</v>
      </c>
      <c r="C2927" s="15" t="s">
        <v>72</v>
      </c>
      <c r="D2927" s="6">
        <v>45834</v>
      </c>
      <c r="E2927" t="str">
        <f>VLOOKUP(B2927,'PROCV GERENTES BD'!A:B,2,0)</f>
        <v>POENATELA</v>
      </c>
      <c r="F2927" s="4" t="str">
        <f t="shared" si="278"/>
        <v>2025-06-2</v>
      </c>
      <c r="G2927" t="str">
        <f t="shared" si="279"/>
        <v>POENATELA</v>
      </c>
      <c r="H2927" t="str">
        <f t="shared" si="280"/>
        <v>CERVEJARIA SOUZA LTDA</v>
      </c>
      <c r="I2927">
        <f t="shared" si="281"/>
        <v>1</v>
      </c>
      <c r="J2927">
        <f t="shared" si="282"/>
        <v>0</v>
      </c>
    </row>
    <row r="2928" spans="1:10" x14ac:dyDescent="0.25">
      <c r="A2928" s="15" t="s">
        <v>57</v>
      </c>
      <c r="B2928" s="15" t="s">
        <v>58</v>
      </c>
      <c r="C2928" s="15" t="s">
        <v>72</v>
      </c>
      <c r="D2928" s="6">
        <v>45834</v>
      </c>
      <c r="E2928" t="str">
        <f>VLOOKUP(B2928,'PROCV GERENTES BD'!A:B,2,0)</f>
        <v>RAFAEL PARISE</v>
      </c>
      <c r="F2928" s="4" t="str">
        <f t="shared" si="278"/>
        <v>2025-06-2</v>
      </c>
      <c r="G2928" t="str">
        <f t="shared" si="279"/>
        <v>RAFAEL PARISE</v>
      </c>
      <c r="H2928" t="str">
        <f t="shared" si="280"/>
        <v>TDR TRANSPORTES LOGISTICA LTDA</v>
      </c>
      <c r="I2928">
        <f t="shared" si="281"/>
        <v>1</v>
      </c>
      <c r="J2928">
        <f t="shared" si="282"/>
        <v>0</v>
      </c>
    </row>
    <row r="2929" spans="1:10" x14ac:dyDescent="0.25">
      <c r="A2929" s="15" t="s">
        <v>331</v>
      </c>
      <c r="B2929" s="15" t="s">
        <v>126</v>
      </c>
      <c r="C2929" s="15" t="s">
        <v>72</v>
      </c>
      <c r="D2929" s="6">
        <v>45834</v>
      </c>
      <c r="E2929" t="str">
        <f>VLOOKUP(B2929,'PROCV GERENTES BD'!A:B,2,0)</f>
        <v>FITZ</v>
      </c>
      <c r="F2929" s="4" t="str">
        <f t="shared" si="278"/>
        <v>2025-06-2</v>
      </c>
      <c r="G2929" t="str">
        <f t="shared" si="279"/>
        <v>FITZ</v>
      </c>
      <c r="H2929" t="str">
        <f t="shared" si="280"/>
        <v>TRANSHENRY TRANSPORTES LTDA</v>
      </c>
      <c r="I2929">
        <f t="shared" si="281"/>
        <v>1</v>
      </c>
      <c r="J2929">
        <f t="shared" si="282"/>
        <v>0</v>
      </c>
    </row>
    <row r="2930" spans="1:10" x14ac:dyDescent="0.25">
      <c r="A2930" s="15" t="s">
        <v>532</v>
      </c>
      <c r="B2930" s="15" t="s">
        <v>296</v>
      </c>
      <c r="C2930" s="15" t="s">
        <v>56</v>
      </c>
      <c r="D2930" s="6">
        <v>45834</v>
      </c>
      <c r="E2930" t="str">
        <f>VLOOKUP(B2930,'PROCV GERENTES BD'!A:B,2,0)</f>
        <v>DALVA</v>
      </c>
      <c r="F2930" s="4" t="str">
        <f t="shared" si="278"/>
        <v>2025-06-2</v>
      </c>
      <c r="G2930" t="str">
        <f t="shared" si="279"/>
        <v>DALVA</v>
      </c>
      <c r="H2930" t="str">
        <f t="shared" si="280"/>
        <v>FRAITECH INTELIGENCIA EM AUTOMACAO LTDA</v>
      </c>
      <c r="I2930">
        <f t="shared" si="281"/>
        <v>0</v>
      </c>
      <c r="J2930">
        <f t="shared" si="282"/>
        <v>1</v>
      </c>
    </row>
    <row r="2931" spans="1:10" x14ac:dyDescent="0.25">
      <c r="A2931" s="15" t="s">
        <v>64</v>
      </c>
      <c r="B2931" s="15" t="s">
        <v>65</v>
      </c>
      <c r="C2931" s="15" t="s">
        <v>56</v>
      </c>
      <c r="D2931" s="6">
        <v>45834</v>
      </c>
      <c r="E2931" t="str">
        <f>VLOOKUP(B2931,'PROCV GERENTES BD'!A:B,2,0)</f>
        <v>ADMINISTRAÇÃO</v>
      </c>
      <c r="F2931" s="4" t="str">
        <f t="shared" si="278"/>
        <v>2025-06-2</v>
      </c>
      <c r="G2931" t="str">
        <f t="shared" si="279"/>
        <v>ADMINISTRAÇÃO</v>
      </c>
      <c r="H2931" t="str">
        <f t="shared" si="280"/>
        <v>BIOTECH LOGISTICA LTDA</v>
      </c>
      <c r="I2931">
        <f t="shared" si="281"/>
        <v>0</v>
      </c>
      <c r="J2931">
        <f t="shared" si="282"/>
        <v>1</v>
      </c>
    </row>
    <row r="2932" spans="1:10" x14ac:dyDescent="0.25">
      <c r="A2932" s="15" t="s">
        <v>333</v>
      </c>
      <c r="B2932" s="15" t="s">
        <v>129</v>
      </c>
      <c r="C2932" s="15" t="s">
        <v>72</v>
      </c>
      <c r="D2932" s="6">
        <v>45834</v>
      </c>
      <c r="E2932" t="str">
        <f>VLOOKUP(B2932,'PROCV GERENTES BD'!A:B,2,0)</f>
        <v xml:space="preserve">ROGERIO </v>
      </c>
      <c r="F2932" s="4" t="str">
        <f t="shared" si="278"/>
        <v>2025-06-2</v>
      </c>
      <c r="G2932" t="str">
        <f t="shared" si="279"/>
        <v xml:space="preserve">ROGERIO </v>
      </c>
      <c r="H2932" t="str">
        <f t="shared" si="280"/>
        <v>BIBE PRODUTOS INFANTIS LTDA</v>
      </c>
      <c r="I2932">
        <f t="shared" si="281"/>
        <v>1</v>
      </c>
      <c r="J2932">
        <f t="shared" si="282"/>
        <v>0</v>
      </c>
    </row>
    <row r="2933" spans="1:10" x14ac:dyDescent="0.25">
      <c r="A2933" s="15" t="s">
        <v>537</v>
      </c>
      <c r="B2933" s="15" t="s">
        <v>304</v>
      </c>
      <c r="C2933" s="15" t="s">
        <v>56</v>
      </c>
      <c r="D2933" s="6">
        <v>45835</v>
      </c>
      <c r="E2933" t="str">
        <f>VLOOKUP(B2933,'PROCV GERENTES BD'!A:B,2,0)</f>
        <v>ANDRE CUNHA</v>
      </c>
      <c r="F2933" s="4" t="str">
        <f t="shared" ref="F2933:F2956" si="283">YEAR(D2933)&amp;"-"&amp;TEXT(MONTH(D2933),"00")&amp;"-"&amp;IF(DAY(D2933)&lt;=15,"1",IF(DAY(D2933)&gt;15,"2",""))</f>
        <v>2025-06-2</v>
      </c>
      <c r="G2933" t="str">
        <f t="shared" ref="G2933:G2956" si="284">E2933</f>
        <v>ANDRE CUNHA</v>
      </c>
      <c r="H2933" t="str">
        <f t="shared" ref="H2933:H2956" si="285">B2933</f>
        <v>REVPACK TECNOLOGIA E COMERCIO DE COMPONENTES PLAST</v>
      </c>
      <c r="I2933">
        <f t="shared" ref="I2933:I2956" si="286">IF(C2933="EXCLUSAO  ANOT.INADIMPLENCIA",1,0)</f>
        <v>0</v>
      </c>
      <c r="J2933">
        <f t="shared" ref="J2933:J2956" si="287">IF(C2933="INCLUSAO  ANOT.INADIMPLENCIA",1,0)</f>
        <v>1</v>
      </c>
    </row>
    <row r="2934" spans="1:10" x14ac:dyDescent="0.25">
      <c r="A2934" s="15" t="s">
        <v>453</v>
      </c>
      <c r="B2934" s="15" t="s">
        <v>204</v>
      </c>
      <c r="C2934" s="15" t="s">
        <v>72</v>
      </c>
      <c r="D2934" s="6">
        <v>45835</v>
      </c>
      <c r="E2934" t="str">
        <f>VLOOKUP(B2934,'PROCV GERENTES BD'!A:B,2,0)</f>
        <v>ADMINISTRAÇÃO</v>
      </c>
      <c r="F2934" s="4" t="str">
        <f t="shared" si="283"/>
        <v>2025-06-2</v>
      </c>
      <c r="G2934" t="str">
        <f t="shared" si="284"/>
        <v>ADMINISTRAÇÃO</v>
      </c>
      <c r="H2934" t="str">
        <f t="shared" si="285"/>
        <v>FARBIA CHEMICALS COMERCIO IMPORTACAO E EXPORTACAO</v>
      </c>
      <c r="I2934">
        <f t="shared" si="286"/>
        <v>1</v>
      </c>
      <c r="J2934">
        <f t="shared" si="287"/>
        <v>0</v>
      </c>
    </row>
    <row r="2935" spans="1:10" x14ac:dyDescent="0.25">
      <c r="A2935" s="15" t="s">
        <v>321</v>
      </c>
      <c r="B2935" s="15" t="s">
        <v>253</v>
      </c>
      <c r="C2935" s="15" t="s">
        <v>72</v>
      </c>
      <c r="D2935" s="6">
        <v>45835</v>
      </c>
      <c r="E2935" t="str">
        <f>VLOOKUP(B2935,'PROCV GERENTES BD'!A:B,2,0)</f>
        <v>THAYNA/COMERCIAL</v>
      </c>
      <c r="F2935" s="4" t="str">
        <f t="shared" si="283"/>
        <v>2025-06-2</v>
      </c>
      <c r="G2935" t="str">
        <f t="shared" si="284"/>
        <v>THAYNA/COMERCIAL</v>
      </c>
      <c r="H2935" t="str">
        <f t="shared" si="285"/>
        <v>MUTCD CENTRO DE DISTRIBUICAO DE IND FABRICANTE DE</v>
      </c>
      <c r="I2935">
        <f t="shared" si="286"/>
        <v>1</v>
      </c>
      <c r="J2935">
        <f t="shared" si="287"/>
        <v>0</v>
      </c>
    </row>
    <row r="2936" spans="1:10" x14ac:dyDescent="0.25">
      <c r="A2936" s="15" t="s">
        <v>469</v>
      </c>
      <c r="B2936" s="15" t="s">
        <v>225</v>
      </c>
      <c r="C2936" s="15" t="s">
        <v>72</v>
      </c>
      <c r="D2936" s="6">
        <v>45835</v>
      </c>
      <c r="E2936" t="str">
        <f>VLOOKUP(B2936,'PROCV GERENTES BD'!A:B,2,0)</f>
        <v>SEM GERENTE</v>
      </c>
      <c r="F2936" s="4" t="str">
        <f t="shared" si="283"/>
        <v>2025-06-2</v>
      </c>
      <c r="G2936" t="str">
        <f t="shared" si="284"/>
        <v>SEM GERENTE</v>
      </c>
      <c r="H2936" t="str">
        <f t="shared" si="285"/>
        <v>KUARA COMERCIAL E EXPORTADORA DE FRUTAS LTDA</v>
      </c>
      <c r="I2936">
        <f t="shared" si="286"/>
        <v>1</v>
      </c>
      <c r="J2936">
        <f t="shared" si="287"/>
        <v>0</v>
      </c>
    </row>
    <row r="2937" spans="1:10" x14ac:dyDescent="0.25">
      <c r="A2937" s="15" t="s">
        <v>611</v>
      </c>
      <c r="B2937" s="15" t="s">
        <v>550</v>
      </c>
      <c r="C2937" s="15" t="s">
        <v>72</v>
      </c>
      <c r="D2937" s="6">
        <v>45835</v>
      </c>
      <c r="E2937" t="str">
        <f>VLOOKUP(B2937,'PROCV GERENTES BD'!A:B,2,0)</f>
        <v xml:space="preserve">MARCUS VINICIUS </v>
      </c>
      <c r="F2937" s="4" t="str">
        <f t="shared" si="283"/>
        <v>2025-06-2</v>
      </c>
      <c r="G2937" t="str">
        <f t="shared" si="284"/>
        <v xml:space="preserve">MARCUS VINICIUS </v>
      </c>
      <c r="H2937" t="str">
        <f t="shared" si="285"/>
        <v>JSA INDUSTRIA DE COSMETICOS LTDA EPP</v>
      </c>
      <c r="I2937">
        <f t="shared" si="286"/>
        <v>1</v>
      </c>
      <c r="J2937">
        <f t="shared" si="287"/>
        <v>0</v>
      </c>
    </row>
    <row r="2938" spans="1:10" x14ac:dyDescent="0.25">
      <c r="A2938" s="15" t="s">
        <v>323</v>
      </c>
      <c r="B2938" s="15" t="s">
        <v>309</v>
      </c>
      <c r="C2938" s="15" t="s">
        <v>56</v>
      </c>
      <c r="D2938" s="6">
        <v>45835</v>
      </c>
      <c r="E2938" t="str">
        <f>VLOOKUP(B2938,'PROCV GERENTES BD'!A:B,2,0)</f>
        <v>CELIO PIMENTA</v>
      </c>
      <c r="F2938" s="4" t="str">
        <f t="shared" si="283"/>
        <v>2025-06-2</v>
      </c>
      <c r="G2938" t="str">
        <f t="shared" si="284"/>
        <v>CELIO PIMENTA</v>
      </c>
      <c r="H2938" t="str">
        <f t="shared" si="285"/>
        <v>LOTUS DESENVOLVIMENTO IMOBILIARIO LTDA</v>
      </c>
      <c r="I2938">
        <f t="shared" si="286"/>
        <v>0</v>
      </c>
      <c r="J2938">
        <f t="shared" si="287"/>
        <v>1</v>
      </c>
    </row>
    <row r="2939" spans="1:10" x14ac:dyDescent="0.25">
      <c r="A2939" s="15" t="s">
        <v>73</v>
      </c>
      <c r="B2939" s="15" t="s">
        <v>74</v>
      </c>
      <c r="C2939" s="15" t="s">
        <v>56</v>
      </c>
      <c r="D2939" s="6">
        <v>45835</v>
      </c>
      <c r="E2939" t="str">
        <f>VLOOKUP(B2939,'PROCV GERENTES BD'!A:B,2,0)</f>
        <v xml:space="preserve">ROGERIO </v>
      </c>
      <c r="F2939" s="4" t="str">
        <f t="shared" si="283"/>
        <v>2025-06-2</v>
      </c>
      <c r="G2939" t="str">
        <f t="shared" si="284"/>
        <v xml:space="preserve">ROGERIO </v>
      </c>
      <c r="H2939" t="str">
        <f t="shared" si="285"/>
        <v>DIOTTONI INDUSTRIA E COMERCIO DE ALIMENTOS LTDA ME</v>
      </c>
      <c r="I2939">
        <f t="shared" si="286"/>
        <v>0</v>
      </c>
      <c r="J2939">
        <f t="shared" si="287"/>
        <v>1</v>
      </c>
    </row>
    <row r="2940" spans="1:10" x14ac:dyDescent="0.25">
      <c r="A2940" s="15" t="s">
        <v>70</v>
      </c>
      <c r="B2940" s="15" t="s">
        <v>71</v>
      </c>
      <c r="C2940" s="15" t="s">
        <v>56</v>
      </c>
      <c r="D2940" s="6">
        <v>45835</v>
      </c>
      <c r="E2940" t="str">
        <f>VLOOKUP(B2940,'PROCV GERENTES BD'!A:B,2,0)</f>
        <v>SEM GERENTE</v>
      </c>
      <c r="F2940" s="4" t="str">
        <f t="shared" si="283"/>
        <v>2025-06-2</v>
      </c>
      <c r="G2940" t="str">
        <f t="shared" si="284"/>
        <v>SEM GERENTE</v>
      </c>
      <c r="H2940" t="str">
        <f t="shared" si="285"/>
        <v>SOCIAL S/A</v>
      </c>
      <c r="I2940">
        <f t="shared" si="286"/>
        <v>0</v>
      </c>
      <c r="J2940">
        <f t="shared" si="287"/>
        <v>1</v>
      </c>
    </row>
    <row r="2941" spans="1:10" x14ac:dyDescent="0.25">
      <c r="A2941" s="15" t="s">
        <v>68</v>
      </c>
      <c r="B2941" s="15" t="s">
        <v>69</v>
      </c>
      <c r="C2941" s="15" t="s">
        <v>56</v>
      </c>
      <c r="D2941" s="6">
        <v>45835</v>
      </c>
      <c r="E2941" t="str">
        <f>VLOOKUP(B2941,'PROCV GERENTES BD'!A:B,2,0)</f>
        <v>FITZ</v>
      </c>
      <c r="F2941" s="4" t="str">
        <f t="shared" si="283"/>
        <v>2025-06-2</v>
      </c>
      <c r="G2941" t="str">
        <f t="shared" si="284"/>
        <v>FITZ</v>
      </c>
      <c r="H2941" t="str">
        <f t="shared" si="285"/>
        <v>MAPP COM IMPORTACAO EXPORTACAO IND PRODUTOS ALIMEN</v>
      </c>
      <c r="I2941">
        <f t="shared" si="286"/>
        <v>0</v>
      </c>
      <c r="J2941">
        <f t="shared" si="287"/>
        <v>1</v>
      </c>
    </row>
    <row r="2942" spans="1:10" x14ac:dyDescent="0.25">
      <c r="A2942" s="15" t="s">
        <v>325</v>
      </c>
      <c r="B2942" s="15" t="s">
        <v>210</v>
      </c>
      <c r="C2942" s="15" t="s">
        <v>72</v>
      </c>
      <c r="D2942" s="6">
        <v>45835</v>
      </c>
      <c r="E2942" t="str">
        <f>VLOOKUP(B2942,'PROCV GERENTES BD'!A:B,2,0)</f>
        <v>JOSE ROBERTO</v>
      </c>
      <c r="F2942" s="4" t="str">
        <f t="shared" si="283"/>
        <v>2025-06-2</v>
      </c>
      <c r="G2942" t="str">
        <f t="shared" si="284"/>
        <v>JOSE ROBERTO</v>
      </c>
      <c r="H2942" t="str">
        <f t="shared" si="285"/>
        <v>FUNDACAO DE ENSINO E PESQUISA DO SUL DE MINAS FEPE</v>
      </c>
      <c r="I2942">
        <f t="shared" si="286"/>
        <v>1</v>
      </c>
      <c r="J2942">
        <f t="shared" si="287"/>
        <v>0</v>
      </c>
    </row>
    <row r="2943" spans="1:10" x14ac:dyDescent="0.25">
      <c r="A2943" s="15" t="s">
        <v>62</v>
      </c>
      <c r="B2943" s="15" t="s">
        <v>63</v>
      </c>
      <c r="C2943" s="15" t="s">
        <v>72</v>
      </c>
      <c r="D2943" s="6">
        <v>45835</v>
      </c>
      <c r="E2943" t="str">
        <f>VLOOKUP(B2943,'PROCV GERENTES BD'!A:B,2,0)</f>
        <v xml:space="preserve">ROGERIO </v>
      </c>
      <c r="F2943" s="4" t="str">
        <f t="shared" si="283"/>
        <v>2025-06-2</v>
      </c>
      <c r="G2943" t="str">
        <f t="shared" si="284"/>
        <v xml:space="preserve">ROGERIO </v>
      </c>
      <c r="H2943" t="str">
        <f t="shared" si="285"/>
        <v>RODOVIEIRA TRANSPORTE LTDA</v>
      </c>
      <c r="I2943">
        <f t="shared" si="286"/>
        <v>1</v>
      </c>
      <c r="J2943">
        <f t="shared" si="287"/>
        <v>0</v>
      </c>
    </row>
    <row r="2944" spans="1:10" x14ac:dyDescent="0.25">
      <c r="A2944" s="15" t="s">
        <v>403</v>
      </c>
      <c r="B2944" s="15" t="s">
        <v>152</v>
      </c>
      <c r="C2944" s="15" t="s">
        <v>72</v>
      </c>
      <c r="D2944" s="6">
        <v>45835</v>
      </c>
      <c r="E2944" t="str">
        <f>VLOOKUP(B2944,'PROCV GERENTES BD'!A:B,2,0)</f>
        <v>MARCIO LEONEL</v>
      </c>
      <c r="F2944" s="4" t="str">
        <f t="shared" si="283"/>
        <v>2025-06-2</v>
      </c>
      <c r="G2944" t="str">
        <f t="shared" si="284"/>
        <v>MARCIO LEONEL</v>
      </c>
      <c r="H2944" t="str">
        <f t="shared" si="285"/>
        <v>MEDICAL PRIME IMP EXPORT DISTRIB PRODUTOS MEDICOS</v>
      </c>
      <c r="I2944">
        <f t="shared" si="286"/>
        <v>1</v>
      </c>
      <c r="J2944">
        <f t="shared" si="287"/>
        <v>0</v>
      </c>
    </row>
    <row r="2945" spans="1:10" x14ac:dyDescent="0.25">
      <c r="A2945" s="15" t="s">
        <v>366</v>
      </c>
      <c r="B2945" s="15" t="s">
        <v>111</v>
      </c>
      <c r="C2945" s="15" t="s">
        <v>56</v>
      </c>
      <c r="D2945" s="6">
        <v>45835</v>
      </c>
      <c r="E2945" t="str">
        <f>VLOOKUP(B2945,'PROCV GERENTES BD'!A:B,2,0)</f>
        <v>DIOGO AZEVEDO</v>
      </c>
      <c r="F2945" s="4" t="str">
        <f t="shared" si="283"/>
        <v>2025-06-2</v>
      </c>
      <c r="G2945" t="str">
        <f t="shared" si="284"/>
        <v>DIOGO AZEVEDO</v>
      </c>
      <c r="H2945" t="str">
        <f t="shared" si="285"/>
        <v>INDUSTRIA E CERVEJARIA ARTESANAL DE MINAS GERAIS L</v>
      </c>
      <c r="I2945">
        <f t="shared" si="286"/>
        <v>0</v>
      </c>
      <c r="J2945">
        <f t="shared" si="287"/>
        <v>1</v>
      </c>
    </row>
    <row r="2946" spans="1:10" x14ac:dyDescent="0.25">
      <c r="A2946" s="15" t="s">
        <v>315</v>
      </c>
      <c r="B2946" s="15" t="s">
        <v>291</v>
      </c>
      <c r="C2946" s="15" t="s">
        <v>56</v>
      </c>
      <c r="D2946" s="6">
        <v>45835</v>
      </c>
      <c r="E2946" t="str">
        <f>VLOOKUP(B2946,'PROCV GERENTES BD'!A:B,2,0)</f>
        <v>CAIO</v>
      </c>
      <c r="F2946" s="4" t="str">
        <f t="shared" si="283"/>
        <v>2025-06-2</v>
      </c>
      <c r="G2946" t="str">
        <f t="shared" si="284"/>
        <v>CAIO</v>
      </c>
      <c r="H2946" t="str">
        <f t="shared" si="285"/>
        <v>GLOBALMAX INDUSTRIA PLASTICA S/A</v>
      </c>
      <c r="I2946">
        <f t="shared" si="286"/>
        <v>0</v>
      </c>
      <c r="J2946">
        <f t="shared" si="287"/>
        <v>1</v>
      </c>
    </row>
    <row r="2947" spans="1:10" x14ac:dyDescent="0.25">
      <c r="A2947" s="15" t="s">
        <v>389</v>
      </c>
      <c r="B2947" s="15" t="s">
        <v>135</v>
      </c>
      <c r="C2947" s="15" t="s">
        <v>56</v>
      </c>
      <c r="D2947" s="6">
        <v>45835</v>
      </c>
      <c r="E2947" t="str">
        <f>VLOOKUP(B2947,'PROCV GERENTES BD'!A:B,2,0)</f>
        <v>ADMINISTRAÇÃO</v>
      </c>
      <c r="F2947" s="4" t="str">
        <f t="shared" si="283"/>
        <v>2025-06-2</v>
      </c>
      <c r="G2947" t="str">
        <f t="shared" si="284"/>
        <v>ADMINISTRAÇÃO</v>
      </c>
      <c r="H2947" t="str">
        <f t="shared" si="285"/>
        <v>MOLAS ANEL POSTO DE TROCA LTDA EPP</v>
      </c>
      <c r="I2947">
        <f t="shared" si="286"/>
        <v>0</v>
      </c>
      <c r="J2947">
        <f t="shared" si="287"/>
        <v>1</v>
      </c>
    </row>
    <row r="2948" spans="1:10" x14ac:dyDescent="0.25">
      <c r="A2948" s="15" t="s">
        <v>540</v>
      </c>
      <c r="B2948" s="15" t="s">
        <v>307</v>
      </c>
      <c r="C2948" s="15" t="s">
        <v>59</v>
      </c>
      <c r="D2948" s="6">
        <v>45835</v>
      </c>
      <c r="E2948" t="str">
        <f>VLOOKUP(B2948,'PROCV GERENTES BD'!A:B,2,0)</f>
        <v>RAFAEL PARISE</v>
      </c>
      <c r="F2948" s="4" t="str">
        <f t="shared" si="283"/>
        <v>2025-06-2</v>
      </c>
      <c r="G2948" t="str">
        <f t="shared" si="284"/>
        <v>RAFAEL PARISE</v>
      </c>
      <c r="H2948" t="str">
        <f t="shared" si="285"/>
        <v>MINASPOL INDUSTRIA E COMERCIO DE COMPOSTOS POLIMER</v>
      </c>
      <c r="I2948">
        <f t="shared" si="286"/>
        <v>0</v>
      </c>
      <c r="J2948">
        <f t="shared" si="287"/>
        <v>0</v>
      </c>
    </row>
    <row r="2949" spans="1:10" x14ac:dyDescent="0.25">
      <c r="A2949" s="15" t="s">
        <v>57</v>
      </c>
      <c r="B2949" s="15" t="s">
        <v>58</v>
      </c>
      <c r="C2949" s="15" t="s">
        <v>56</v>
      </c>
      <c r="D2949" s="6">
        <v>45835</v>
      </c>
      <c r="E2949" t="str">
        <f>VLOOKUP(B2949,'PROCV GERENTES BD'!A:B,2,0)</f>
        <v>RAFAEL PARISE</v>
      </c>
      <c r="F2949" s="4" t="str">
        <f t="shared" si="283"/>
        <v>2025-06-2</v>
      </c>
      <c r="G2949" t="str">
        <f t="shared" si="284"/>
        <v>RAFAEL PARISE</v>
      </c>
      <c r="H2949" t="str">
        <f t="shared" si="285"/>
        <v>TDR TRANSPORTES LOGISTICA LTDA</v>
      </c>
      <c r="I2949">
        <f t="shared" si="286"/>
        <v>0</v>
      </c>
      <c r="J2949">
        <f t="shared" si="287"/>
        <v>1</v>
      </c>
    </row>
    <row r="2950" spans="1:10" x14ac:dyDescent="0.25">
      <c r="A2950" s="15" t="s">
        <v>331</v>
      </c>
      <c r="B2950" s="15" t="s">
        <v>126</v>
      </c>
      <c r="C2950" s="15" t="s">
        <v>59</v>
      </c>
      <c r="D2950" s="6">
        <v>45835</v>
      </c>
      <c r="E2950" t="str">
        <f>VLOOKUP(B2950,'PROCV GERENTES BD'!A:B,2,0)</f>
        <v>FITZ</v>
      </c>
      <c r="F2950" s="4" t="str">
        <f t="shared" si="283"/>
        <v>2025-06-2</v>
      </c>
      <c r="G2950" t="str">
        <f t="shared" si="284"/>
        <v>FITZ</v>
      </c>
      <c r="H2950" t="str">
        <f t="shared" si="285"/>
        <v>TRANSHENRY TRANSPORTES LTDA</v>
      </c>
      <c r="I2950">
        <f t="shared" si="286"/>
        <v>0</v>
      </c>
      <c r="J2950">
        <f t="shared" si="287"/>
        <v>0</v>
      </c>
    </row>
    <row r="2951" spans="1:10" x14ac:dyDescent="0.25">
      <c r="A2951" s="15" t="s">
        <v>313</v>
      </c>
      <c r="B2951" s="15" t="s">
        <v>273</v>
      </c>
      <c r="C2951" s="15" t="s">
        <v>56</v>
      </c>
      <c r="D2951" s="6">
        <v>45835</v>
      </c>
      <c r="E2951" t="str">
        <f>VLOOKUP(B2951,'PROCV GERENTES BD'!A:B,2,0)</f>
        <v>CAIO</v>
      </c>
      <c r="F2951" s="4" t="str">
        <f t="shared" si="283"/>
        <v>2025-06-2</v>
      </c>
      <c r="G2951" t="str">
        <f t="shared" si="284"/>
        <v>CAIO</v>
      </c>
      <c r="H2951" t="str">
        <f t="shared" si="285"/>
        <v>MECALD MECANICA E CALDEIRARIA LTDA EPP</v>
      </c>
      <c r="I2951">
        <f t="shared" si="286"/>
        <v>0</v>
      </c>
      <c r="J2951">
        <f t="shared" si="287"/>
        <v>1</v>
      </c>
    </row>
    <row r="2952" spans="1:10" x14ac:dyDescent="0.25">
      <c r="A2952" s="15" t="s">
        <v>531</v>
      </c>
      <c r="B2952" s="15" t="s">
        <v>295</v>
      </c>
      <c r="C2952" s="15" t="s">
        <v>56</v>
      </c>
      <c r="D2952" s="6">
        <v>45835</v>
      </c>
      <c r="E2952" t="str">
        <f>VLOOKUP(B2952,'PROCV GERENTES BD'!A:B,2,0)</f>
        <v>ADMINISTRAÇÃO</v>
      </c>
      <c r="F2952" s="4" t="str">
        <f t="shared" si="283"/>
        <v>2025-06-2</v>
      </c>
      <c r="G2952" t="str">
        <f t="shared" si="284"/>
        <v>ADMINISTRAÇÃO</v>
      </c>
      <c r="H2952" t="str">
        <f t="shared" si="285"/>
        <v>REFRACONT BRASIL LTDA</v>
      </c>
      <c r="I2952">
        <f t="shared" si="286"/>
        <v>0</v>
      </c>
      <c r="J2952">
        <f t="shared" si="287"/>
        <v>1</v>
      </c>
    </row>
    <row r="2953" spans="1:10" x14ac:dyDescent="0.25">
      <c r="A2953" s="15" t="s">
        <v>311</v>
      </c>
      <c r="B2953" s="15" t="s">
        <v>130</v>
      </c>
      <c r="C2953" s="15" t="s">
        <v>72</v>
      </c>
      <c r="D2953" s="6">
        <v>45835</v>
      </c>
      <c r="E2953" t="str">
        <f>VLOOKUP(B2953,'PROCV GERENTES BD'!A:B,2,0)</f>
        <v>ANTONIO CARLOS</v>
      </c>
      <c r="F2953" s="4" t="str">
        <f t="shared" si="283"/>
        <v>2025-06-2</v>
      </c>
      <c r="G2953" t="str">
        <f t="shared" si="284"/>
        <v>ANTONIO CARLOS</v>
      </c>
      <c r="H2953" t="str">
        <f t="shared" si="285"/>
        <v>VIC LOGISTICA LTDA EM RECUPERACAO JUDICIAL</v>
      </c>
      <c r="I2953">
        <f t="shared" si="286"/>
        <v>1</v>
      </c>
      <c r="J2953">
        <f t="shared" si="287"/>
        <v>0</v>
      </c>
    </row>
    <row r="2954" spans="1:10" x14ac:dyDescent="0.25">
      <c r="A2954" s="15" t="s">
        <v>54</v>
      </c>
      <c r="B2954" s="15" t="s">
        <v>55</v>
      </c>
      <c r="C2954" s="15" t="s">
        <v>72</v>
      </c>
      <c r="D2954" s="6">
        <v>45835</v>
      </c>
      <c r="E2954" t="str">
        <f>VLOOKUP(B2954,'PROCV GERENTES BD'!A:B,2,0)</f>
        <v xml:space="preserve">MARCUS VINICIUS </v>
      </c>
      <c r="F2954" s="4" t="str">
        <f t="shared" si="283"/>
        <v>2025-06-2</v>
      </c>
      <c r="G2954" t="str">
        <f t="shared" si="284"/>
        <v xml:space="preserve">MARCUS VINICIUS </v>
      </c>
      <c r="H2954" t="str">
        <f t="shared" si="285"/>
        <v>PROMEL IND COM IMP E EXP DE PRODS NATURAIS LTDA</v>
      </c>
      <c r="I2954">
        <f t="shared" si="286"/>
        <v>1</v>
      </c>
      <c r="J2954">
        <f t="shared" si="287"/>
        <v>0</v>
      </c>
    </row>
    <row r="2955" spans="1:10" x14ac:dyDescent="0.25">
      <c r="A2955" s="15" t="s">
        <v>495</v>
      </c>
      <c r="B2955" s="15" t="s">
        <v>251</v>
      </c>
      <c r="C2955" s="15" t="s">
        <v>72</v>
      </c>
      <c r="D2955" s="6">
        <v>45835</v>
      </c>
      <c r="E2955" t="str">
        <f>VLOOKUP(B2955,'PROCV GERENTES BD'!A:B,2,0)</f>
        <v xml:space="preserve">ROGERIO </v>
      </c>
      <c r="F2955" s="4" t="str">
        <f t="shared" si="283"/>
        <v>2025-06-2</v>
      </c>
      <c r="G2955" t="str">
        <f t="shared" si="284"/>
        <v xml:space="preserve">ROGERIO </v>
      </c>
      <c r="H2955" t="str">
        <f t="shared" si="285"/>
        <v>MUNDO AGRO COMERCIO E DISTRIBUICAO DE CALCADOS LTD</v>
      </c>
      <c r="I2955">
        <f t="shared" si="286"/>
        <v>1</v>
      </c>
      <c r="J2955">
        <f t="shared" si="287"/>
        <v>0</v>
      </c>
    </row>
    <row r="2956" spans="1:10" x14ac:dyDescent="0.25">
      <c r="A2956" s="15" t="s">
        <v>519</v>
      </c>
      <c r="B2956" s="15" t="s">
        <v>281</v>
      </c>
      <c r="C2956" s="15" t="s">
        <v>72</v>
      </c>
      <c r="D2956" s="6">
        <v>45835</v>
      </c>
      <c r="E2956" t="str">
        <f>VLOOKUP(B2956,'PROCV GERENTES BD'!A:B,2,0)</f>
        <v>RAFAEL PARISE</v>
      </c>
      <c r="F2956" s="4" t="str">
        <f t="shared" si="283"/>
        <v>2025-06-2</v>
      </c>
      <c r="G2956" t="str">
        <f t="shared" si="284"/>
        <v>RAFAEL PARISE</v>
      </c>
      <c r="H2956" t="str">
        <f t="shared" si="285"/>
        <v>ARTE FINAL INDUSTRIA E COMERCIO DE COURO LTDA</v>
      </c>
      <c r="I2956">
        <f t="shared" si="286"/>
        <v>1</v>
      </c>
      <c r="J2956">
        <f t="shared" si="287"/>
        <v>0</v>
      </c>
    </row>
    <row r="2957" spans="1:10" x14ac:dyDescent="0.25">
      <c r="A2957" s="15" t="s">
        <v>537</v>
      </c>
      <c r="B2957" s="15" t="s">
        <v>304</v>
      </c>
      <c r="C2957" s="15" t="s">
        <v>72</v>
      </c>
      <c r="D2957" s="6">
        <v>45836</v>
      </c>
      <c r="E2957" t="str">
        <f>VLOOKUP(B2957,'PROCV GERENTES BD'!A:B,2,0)</f>
        <v>ANDRE CUNHA</v>
      </c>
      <c r="F2957" s="4" t="str">
        <f t="shared" ref="F2957:F2978" si="288">YEAR(D2957)&amp;"-"&amp;TEXT(MONTH(D2957),"00")&amp;"-"&amp;IF(DAY(D2957)&lt;=15,"1",IF(DAY(D2957)&gt;15,"2",""))</f>
        <v>2025-06-2</v>
      </c>
      <c r="G2957" t="str">
        <f t="shared" ref="G2957:G2978" si="289">E2957</f>
        <v>ANDRE CUNHA</v>
      </c>
      <c r="H2957" t="str">
        <f t="shared" ref="H2957:H2978" si="290">B2957</f>
        <v>REVPACK TECNOLOGIA E COMERCIO DE COMPONENTES PLAST</v>
      </c>
      <c r="I2957">
        <f t="shared" ref="I2957:I2978" si="291">IF(C2957="EXCLUSAO  ANOT.INADIMPLENCIA",1,0)</f>
        <v>1</v>
      </c>
      <c r="J2957">
        <f t="shared" ref="J2957:J2978" si="292">IF(C2957="INCLUSAO  ANOT.INADIMPLENCIA",1,0)</f>
        <v>0</v>
      </c>
    </row>
    <row r="2958" spans="1:10" x14ac:dyDescent="0.25">
      <c r="A2958" s="15" t="s">
        <v>481</v>
      </c>
      <c r="B2958" s="15" t="s">
        <v>237</v>
      </c>
      <c r="C2958" s="15" t="s">
        <v>56</v>
      </c>
      <c r="D2958" s="6">
        <v>45836</v>
      </c>
      <c r="E2958" t="str">
        <f>VLOOKUP(B2958,'PROCV GERENTES BD'!A:B,2,0)</f>
        <v>PARTNER SECURITIZADORA</v>
      </c>
      <c r="F2958" s="4" t="str">
        <f t="shared" si="288"/>
        <v>2025-06-2</v>
      </c>
      <c r="G2958" t="str">
        <f t="shared" si="289"/>
        <v>PARTNER SECURITIZADORA</v>
      </c>
      <c r="H2958" t="str">
        <f t="shared" si="290"/>
        <v>ALTAG NEGOCIOS AGRICOLAS LTDA</v>
      </c>
      <c r="I2958">
        <f t="shared" si="291"/>
        <v>0</v>
      </c>
      <c r="J2958">
        <f t="shared" si="292"/>
        <v>1</v>
      </c>
    </row>
    <row r="2959" spans="1:10" x14ac:dyDescent="0.25">
      <c r="A2959" s="15" t="s">
        <v>438</v>
      </c>
      <c r="B2959" s="15" t="s">
        <v>188</v>
      </c>
      <c r="C2959" s="15" t="s">
        <v>56</v>
      </c>
      <c r="D2959" s="6">
        <v>45836</v>
      </c>
      <c r="E2959" t="str">
        <f>VLOOKUP(B2959,'PROCV GERENTES BD'!A:B,2,0)</f>
        <v>FITZ</v>
      </c>
      <c r="F2959" s="4" t="str">
        <f t="shared" si="288"/>
        <v>2025-06-2</v>
      </c>
      <c r="G2959" t="str">
        <f t="shared" si="289"/>
        <v>FITZ</v>
      </c>
      <c r="H2959" t="str">
        <f t="shared" si="290"/>
        <v>SIQUEIRA E GAIPO INDUSTRIA E MATERIAIS ESPORTIVOS</v>
      </c>
      <c r="I2959">
        <f t="shared" si="291"/>
        <v>0</v>
      </c>
      <c r="J2959">
        <f t="shared" si="292"/>
        <v>1</v>
      </c>
    </row>
    <row r="2960" spans="1:10" x14ac:dyDescent="0.25">
      <c r="A2960" s="15" t="s">
        <v>378</v>
      </c>
      <c r="B2960" s="15" t="s">
        <v>121</v>
      </c>
      <c r="C2960" s="15" t="s">
        <v>56</v>
      </c>
      <c r="D2960" s="6">
        <v>45836</v>
      </c>
      <c r="E2960" t="str">
        <f>VLOOKUP(B2960,'PROCV GERENTES BD'!A:B,2,0)</f>
        <v>POENATELA</v>
      </c>
      <c r="F2960" s="4" t="str">
        <f t="shared" si="288"/>
        <v>2025-06-2</v>
      </c>
      <c r="G2960" t="str">
        <f t="shared" si="289"/>
        <v>POENATELA</v>
      </c>
      <c r="H2960" t="str">
        <f t="shared" si="290"/>
        <v>COOPERATIVA TRANSP AUTON CARGAS PASSAG SERVICOS LO</v>
      </c>
      <c r="I2960">
        <f t="shared" si="291"/>
        <v>0</v>
      </c>
      <c r="J2960">
        <f t="shared" si="292"/>
        <v>1</v>
      </c>
    </row>
    <row r="2961" spans="1:10" x14ac:dyDescent="0.25">
      <c r="A2961" s="15" t="s">
        <v>523</v>
      </c>
      <c r="B2961" s="15" t="s">
        <v>284</v>
      </c>
      <c r="C2961" s="15" t="s">
        <v>56</v>
      </c>
      <c r="D2961" s="6">
        <v>45836</v>
      </c>
      <c r="E2961" t="str">
        <f>VLOOKUP(B2961,'PROCV GERENTES BD'!A:B,2,0)</f>
        <v>ALISSON DE SOUZA LIMA</v>
      </c>
      <c r="F2961" s="4" t="str">
        <f t="shared" si="288"/>
        <v>2025-06-2</v>
      </c>
      <c r="G2961" t="str">
        <f t="shared" si="289"/>
        <v>ALISSON DE SOUZA LIMA</v>
      </c>
      <c r="H2961" t="str">
        <f t="shared" si="290"/>
        <v>COMERCIAL GTS INFORMATICA LTDA EPP</v>
      </c>
      <c r="I2961">
        <f t="shared" si="291"/>
        <v>0</v>
      </c>
      <c r="J2961">
        <f t="shared" si="292"/>
        <v>1</v>
      </c>
    </row>
    <row r="2962" spans="1:10" x14ac:dyDescent="0.25">
      <c r="A2962" s="15" t="s">
        <v>640</v>
      </c>
      <c r="B2962" s="15" t="s">
        <v>545</v>
      </c>
      <c r="C2962" s="15" t="s">
        <v>72</v>
      </c>
      <c r="D2962" s="6">
        <v>45836</v>
      </c>
      <c r="E2962" t="str">
        <f>VLOOKUP(B2962,'PROCV GERENTES BD'!A:B,2,0)</f>
        <v>WASHINGTON</v>
      </c>
      <c r="F2962" s="4" t="str">
        <f t="shared" si="288"/>
        <v>2025-06-2</v>
      </c>
      <c r="G2962" t="str">
        <f t="shared" si="289"/>
        <v>WASHINGTON</v>
      </c>
      <c r="H2962" t="str">
        <f t="shared" si="290"/>
        <v>COMERCIAL SEGURANCA LTDA ME</v>
      </c>
      <c r="I2962">
        <f t="shared" si="291"/>
        <v>1</v>
      </c>
      <c r="J2962">
        <f t="shared" si="292"/>
        <v>0</v>
      </c>
    </row>
    <row r="2963" spans="1:10" x14ac:dyDescent="0.25">
      <c r="A2963" s="15" t="s">
        <v>70</v>
      </c>
      <c r="B2963" s="15" t="s">
        <v>71</v>
      </c>
      <c r="C2963" s="15" t="s">
        <v>59</v>
      </c>
      <c r="D2963" s="6">
        <v>45836</v>
      </c>
      <c r="E2963" t="str">
        <f>VLOOKUP(B2963,'PROCV GERENTES BD'!A:B,2,0)</f>
        <v>SEM GERENTE</v>
      </c>
      <c r="F2963" s="4" t="str">
        <f t="shared" si="288"/>
        <v>2025-06-2</v>
      </c>
      <c r="G2963" t="str">
        <f t="shared" si="289"/>
        <v>SEM GERENTE</v>
      </c>
      <c r="H2963" t="str">
        <f t="shared" si="290"/>
        <v>SOCIAL S/A</v>
      </c>
      <c r="I2963">
        <f t="shared" si="291"/>
        <v>0</v>
      </c>
      <c r="J2963">
        <f t="shared" si="292"/>
        <v>0</v>
      </c>
    </row>
    <row r="2964" spans="1:10" x14ac:dyDescent="0.25">
      <c r="A2964" s="15" t="s">
        <v>467</v>
      </c>
      <c r="B2964" s="15" t="s">
        <v>223</v>
      </c>
      <c r="C2964" s="15" t="s">
        <v>56</v>
      </c>
      <c r="D2964" s="6">
        <v>45836</v>
      </c>
      <c r="E2964" t="str">
        <f>VLOOKUP(B2964,'PROCV GERENTES BD'!A:B,2,0)</f>
        <v>ADMINISTRAÇÃO</v>
      </c>
      <c r="F2964" s="4" t="str">
        <f t="shared" si="288"/>
        <v>2025-06-2</v>
      </c>
      <c r="G2964" t="str">
        <f t="shared" si="289"/>
        <v>ADMINISTRAÇÃO</v>
      </c>
      <c r="H2964" t="str">
        <f t="shared" si="290"/>
        <v>JABEZ SERVICOS COMPARTILHADOS LTDA ME</v>
      </c>
      <c r="I2964">
        <f t="shared" si="291"/>
        <v>0</v>
      </c>
      <c r="J2964">
        <f t="shared" si="292"/>
        <v>1</v>
      </c>
    </row>
    <row r="2965" spans="1:10" x14ac:dyDescent="0.25">
      <c r="A2965" s="15" t="s">
        <v>367</v>
      </c>
      <c r="B2965" s="15" t="s">
        <v>112</v>
      </c>
      <c r="C2965" s="15" t="s">
        <v>72</v>
      </c>
      <c r="D2965" s="6">
        <v>45836</v>
      </c>
      <c r="E2965" t="str">
        <f>VLOOKUP(B2965,'PROCV GERENTES BD'!A:B,2,0)</f>
        <v>FITZ</v>
      </c>
      <c r="F2965" s="4" t="str">
        <f t="shared" si="288"/>
        <v>2025-06-2</v>
      </c>
      <c r="G2965" t="str">
        <f t="shared" si="289"/>
        <v>FITZ</v>
      </c>
      <c r="H2965" t="str">
        <f t="shared" si="290"/>
        <v>ALEXANDRE ROSA VICENTE E SERVICOS LTDA ME</v>
      </c>
      <c r="I2965">
        <f t="shared" si="291"/>
        <v>1</v>
      </c>
      <c r="J2965">
        <f t="shared" si="292"/>
        <v>0</v>
      </c>
    </row>
    <row r="2966" spans="1:10" x14ac:dyDescent="0.25">
      <c r="A2966" s="15" t="s">
        <v>360</v>
      </c>
      <c r="B2966" s="15" t="s">
        <v>102</v>
      </c>
      <c r="C2966" s="15" t="s">
        <v>56</v>
      </c>
      <c r="D2966" s="6">
        <v>45836</v>
      </c>
      <c r="E2966" t="str">
        <f>VLOOKUP(B2966,'PROCV GERENTES BD'!A:B,2,0)</f>
        <v>POENATELA</v>
      </c>
      <c r="F2966" s="4" t="str">
        <f t="shared" si="288"/>
        <v>2025-06-2</v>
      </c>
      <c r="G2966" t="str">
        <f t="shared" si="289"/>
        <v>POENATELA</v>
      </c>
      <c r="H2966" t="str">
        <f t="shared" si="290"/>
        <v>SUPER HARD TECNOLOGIA EM TRATAMENTO DE SUPERFICIES</v>
      </c>
      <c r="I2966">
        <f t="shared" si="291"/>
        <v>0</v>
      </c>
      <c r="J2966">
        <f t="shared" si="292"/>
        <v>1</v>
      </c>
    </row>
    <row r="2967" spans="1:10" x14ac:dyDescent="0.25">
      <c r="A2967" s="15" t="s">
        <v>380</v>
      </c>
      <c r="B2967" s="15" t="s">
        <v>123</v>
      </c>
      <c r="C2967" s="15" t="s">
        <v>72</v>
      </c>
      <c r="D2967" s="6">
        <v>45836</v>
      </c>
      <c r="E2967" t="str">
        <f>VLOOKUP(B2967,'PROCV GERENTES BD'!A:B,2,0)</f>
        <v>ANTONIO CARLOS</v>
      </c>
      <c r="F2967" s="4" t="str">
        <f t="shared" si="288"/>
        <v>2025-06-2</v>
      </c>
      <c r="G2967" t="str">
        <f t="shared" si="289"/>
        <v>ANTONIO CARLOS</v>
      </c>
      <c r="H2967" t="str">
        <f t="shared" si="290"/>
        <v>PREMOLDADOS MATOSINHOS LTDA EPP</v>
      </c>
      <c r="I2967">
        <f t="shared" si="291"/>
        <v>1</v>
      </c>
      <c r="J2967">
        <f t="shared" si="292"/>
        <v>0</v>
      </c>
    </row>
    <row r="2968" spans="1:10" x14ac:dyDescent="0.25">
      <c r="A2968" s="15" t="s">
        <v>325</v>
      </c>
      <c r="B2968" s="15" t="s">
        <v>210</v>
      </c>
      <c r="C2968" s="15" t="s">
        <v>72</v>
      </c>
      <c r="D2968" s="6">
        <v>45836</v>
      </c>
      <c r="E2968" t="str">
        <f>VLOOKUP(B2968,'PROCV GERENTES BD'!A:B,2,0)</f>
        <v>JOSE ROBERTO</v>
      </c>
      <c r="F2968" s="4" t="str">
        <f t="shared" si="288"/>
        <v>2025-06-2</v>
      </c>
      <c r="G2968" t="str">
        <f t="shared" si="289"/>
        <v>JOSE ROBERTO</v>
      </c>
      <c r="H2968" t="str">
        <f t="shared" si="290"/>
        <v>FUNDACAO DE ENSINO E PESQUISA DO SUL DE MINAS FEPE</v>
      </c>
      <c r="I2968">
        <f t="shared" si="291"/>
        <v>1</v>
      </c>
      <c r="J2968">
        <f t="shared" si="292"/>
        <v>0</v>
      </c>
    </row>
    <row r="2969" spans="1:10" x14ac:dyDescent="0.25">
      <c r="A2969" s="15" t="s">
        <v>326</v>
      </c>
      <c r="B2969" s="15" t="s">
        <v>86</v>
      </c>
      <c r="C2969" s="15" t="s">
        <v>72</v>
      </c>
      <c r="D2969" s="6">
        <v>45836</v>
      </c>
      <c r="E2969" t="str">
        <f>VLOOKUP(B2969,'PROCV GERENTES BD'!A:B,2,0)</f>
        <v>CELIO PIMENTA</v>
      </c>
      <c r="F2969" s="4" t="str">
        <f t="shared" si="288"/>
        <v>2025-06-2</v>
      </c>
      <c r="G2969" t="str">
        <f t="shared" si="289"/>
        <v>CELIO PIMENTA</v>
      </c>
      <c r="H2969" t="str">
        <f t="shared" si="290"/>
        <v>IMPORTEXTIL COMERCIO DE TECIDOS LTDA</v>
      </c>
      <c r="I2969">
        <f t="shared" si="291"/>
        <v>1</v>
      </c>
      <c r="J2969">
        <f t="shared" si="292"/>
        <v>0</v>
      </c>
    </row>
    <row r="2970" spans="1:10" x14ac:dyDescent="0.25">
      <c r="A2970" s="15" t="s">
        <v>403</v>
      </c>
      <c r="B2970" s="15" t="s">
        <v>152</v>
      </c>
      <c r="C2970" s="15" t="s">
        <v>56</v>
      </c>
      <c r="D2970" s="6">
        <v>45836</v>
      </c>
      <c r="E2970" t="str">
        <f>VLOOKUP(B2970,'PROCV GERENTES BD'!A:B,2,0)</f>
        <v>MARCIO LEONEL</v>
      </c>
      <c r="F2970" s="4" t="str">
        <f t="shared" si="288"/>
        <v>2025-06-2</v>
      </c>
      <c r="G2970" t="str">
        <f t="shared" si="289"/>
        <v>MARCIO LEONEL</v>
      </c>
      <c r="H2970" t="str">
        <f t="shared" si="290"/>
        <v>MEDICAL PRIME IMP EXPORT DISTRIB PRODUTOS MEDICOS</v>
      </c>
      <c r="I2970">
        <f t="shared" si="291"/>
        <v>0</v>
      </c>
      <c r="J2970">
        <f t="shared" si="292"/>
        <v>1</v>
      </c>
    </row>
    <row r="2971" spans="1:10" x14ac:dyDescent="0.25">
      <c r="A2971" s="15" t="s">
        <v>369</v>
      </c>
      <c r="B2971" s="15" t="s">
        <v>113</v>
      </c>
      <c r="C2971" s="15" t="s">
        <v>72</v>
      </c>
      <c r="D2971" s="6">
        <v>45836</v>
      </c>
      <c r="E2971" t="str">
        <f>VLOOKUP(B2971,'PROCV GERENTES BD'!A:B,2,0)</f>
        <v>PRISCILA METZ</v>
      </c>
      <c r="F2971" s="4" t="str">
        <f t="shared" si="288"/>
        <v>2025-06-2</v>
      </c>
      <c r="G2971" t="str">
        <f t="shared" si="289"/>
        <v>PRISCILA METZ</v>
      </c>
      <c r="H2971" t="str">
        <f t="shared" si="290"/>
        <v>HERBAMED LABORATORIO NUTRACEUTICO LTDA</v>
      </c>
      <c r="I2971">
        <f t="shared" si="291"/>
        <v>1</v>
      </c>
      <c r="J2971">
        <f t="shared" si="292"/>
        <v>0</v>
      </c>
    </row>
    <row r="2972" spans="1:10" x14ac:dyDescent="0.25">
      <c r="A2972" s="15" t="s">
        <v>60</v>
      </c>
      <c r="B2972" s="15" t="s">
        <v>61</v>
      </c>
      <c r="C2972" s="15" t="s">
        <v>56</v>
      </c>
      <c r="D2972" s="6">
        <v>45836</v>
      </c>
      <c r="E2972" t="str">
        <f>VLOOKUP(B2972,'PROCV GERENTES BD'!A:B,2,0)</f>
        <v>CELIO PIMENTA</v>
      </c>
      <c r="F2972" s="4" t="str">
        <f t="shared" si="288"/>
        <v>2025-06-2</v>
      </c>
      <c r="G2972" t="str">
        <f t="shared" si="289"/>
        <v>CELIO PIMENTA</v>
      </c>
      <c r="H2972" t="str">
        <f t="shared" si="290"/>
        <v>WJ CALDEIRARIA INDUSTRIA E COMERCIO LTDA ME</v>
      </c>
      <c r="I2972">
        <f t="shared" si="291"/>
        <v>0</v>
      </c>
      <c r="J2972">
        <f t="shared" si="292"/>
        <v>1</v>
      </c>
    </row>
    <row r="2973" spans="1:10" x14ac:dyDescent="0.25">
      <c r="A2973" s="15" t="s">
        <v>57</v>
      </c>
      <c r="B2973" s="15" t="s">
        <v>58</v>
      </c>
      <c r="C2973" s="15" t="s">
        <v>59</v>
      </c>
      <c r="D2973" s="6">
        <v>45836</v>
      </c>
      <c r="E2973" t="str">
        <f>VLOOKUP(B2973,'PROCV GERENTES BD'!A:B,2,0)</f>
        <v>RAFAEL PARISE</v>
      </c>
      <c r="F2973" s="4" t="str">
        <f t="shared" si="288"/>
        <v>2025-06-2</v>
      </c>
      <c r="G2973" t="str">
        <f t="shared" si="289"/>
        <v>RAFAEL PARISE</v>
      </c>
      <c r="H2973" t="str">
        <f t="shared" si="290"/>
        <v>TDR TRANSPORTES LOGISTICA LTDA</v>
      </c>
      <c r="I2973">
        <f t="shared" si="291"/>
        <v>0</v>
      </c>
      <c r="J2973">
        <f t="shared" si="292"/>
        <v>0</v>
      </c>
    </row>
    <row r="2974" spans="1:10" x14ac:dyDescent="0.25">
      <c r="A2974" s="15" t="s">
        <v>331</v>
      </c>
      <c r="B2974" s="15" t="s">
        <v>126</v>
      </c>
      <c r="C2974" s="15" t="s">
        <v>56</v>
      </c>
      <c r="D2974" s="6">
        <v>45836</v>
      </c>
      <c r="E2974" t="str">
        <f>VLOOKUP(B2974,'PROCV GERENTES BD'!A:B,2,0)</f>
        <v>FITZ</v>
      </c>
      <c r="F2974" s="4" t="str">
        <f t="shared" si="288"/>
        <v>2025-06-2</v>
      </c>
      <c r="G2974" t="str">
        <f t="shared" si="289"/>
        <v>FITZ</v>
      </c>
      <c r="H2974" t="str">
        <f t="shared" si="290"/>
        <v>TRANSHENRY TRANSPORTES LTDA</v>
      </c>
      <c r="I2974">
        <f t="shared" si="291"/>
        <v>0</v>
      </c>
      <c r="J2974">
        <f t="shared" si="292"/>
        <v>1</v>
      </c>
    </row>
    <row r="2975" spans="1:10" x14ac:dyDescent="0.25">
      <c r="A2975" s="15" t="s">
        <v>532</v>
      </c>
      <c r="B2975" s="15" t="s">
        <v>296</v>
      </c>
      <c r="C2975" s="15" t="s">
        <v>56</v>
      </c>
      <c r="D2975" s="6">
        <v>45836</v>
      </c>
      <c r="E2975" t="str">
        <f>VLOOKUP(B2975,'PROCV GERENTES BD'!A:B,2,0)</f>
        <v>DALVA</v>
      </c>
      <c r="F2975" s="4" t="str">
        <f t="shared" si="288"/>
        <v>2025-06-2</v>
      </c>
      <c r="G2975" t="str">
        <f t="shared" si="289"/>
        <v>DALVA</v>
      </c>
      <c r="H2975" t="str">
        <f t="shared" si="290"/>
        <v>FRAITECH INTELIGENCIA EM AUTOMACAO LTDA</v>
      </c>
      <c r="I2975">
        <f t="shared" si="291"/>
        <v>0</v>
      </c>
      <c r="J2975">
        <f t="shared" si="292"/>
        <v>1</v>
      </c>
    </row>
    <row r="2976" spans="1:10" x14ac:dyDescent="0.25">
      <c r="A2976" s="15" t="s">
        <v>54</v>
      </c>
      <c r="B2976" s="15" t="s">
        <v>55</v>
      </c>
      <c r="C2976" s="15" t="s">
        <v>59</v>
      </c>
      <c r="D2976" s="6">
        <v>45836</v>
      </c>
      <c r="E2976" t="str">
        <f>VLOOKUP(B2976,'PROCV GERENTES BD'!A:B,2,0)</f>
        <v xml:space="preserve">MARCUS VINICIUS </v>
      </c>
      <c r="F2976" s="4" t="str">
        <f t="shared" si="288"/>
        <v>2025-06-2</v>
      </c>
      <c r="G2976" t="str">
        <f t="shared" si="289"/>
        <v xml:space="preserve">MARCUS VINICIUS </v>
      </c>
      <c r="H2976" t="str">
        <f t="shared" si="290"/>
        <v>PROMEL IND COM IMP E EXP DE PRODS NATURAIS LTDA</v>
      </c>
      <c r="I2976">
        <f t="shared" si="291"/>
        <v>0</v>
      </c>
      <c r="J2976">
        <f t="shared" si="292"/>
        <v>0</v>
      </c>
    </row>
    <row r="2977" spans="1:10" x14ac:dyDescent="0.25">
      <c r="A2977" s="15" t="s">
        <v>542</v>
      </c>
      <c r="B2977" s="15" t="s">
        <v>310</v>
      </c>
      <c r="C2977" s="15" t="s">
        <v>72</v>
      </c>
      <c r="D2977" s="6">
        <v>45836</v>
      </c>
      <c r="E2977" t="str">
        <f>VLOOKUP(B2977,'PROCV GERENTES BD'!A:B,2,0)</f>
        <v xml:space="preserve">MARCUS VINICIUS </v>
      </c>
      <c r="F2977" s="4" t="str">
        <f t="shared" si="288"/>
        <v>2025-06-2</v>
      </c>
      <c r="G2977" t="str">
        <f t="shared" si="289"/>
        <v xml:space="preserve">MARCUS VINICIUS </v>
      </c>
      <c r="H2977" t="str">
        <f t="shared" si="290"/>
        <v>GRAFICA JSA LTDA EPP</v>
      </c>
      <c r="I2977">
        <f t="shared" si="291"/>
        <v>1</v>
      </c>
      <c r="J2977">
        <f t="shared" si="292"/>
        <v>0</v>
      </c>
    </row>
    <row r="2978" spans="1:10" x14ac:dyDescent="0.25">
      <c r="A2978" s="15" t="s">
        <v>500</v>
      </c>
      <c r="B2978" s="15" t="s">
        <v>258</v>
      </c>
      <c r="C2978" s="15" t="s">
        <v>72</v>
      </c>
      <c r="D2978" s="6">
        <v>45836</v>
      </c>
      <c r="E2978" t="str">
        <f>VLOOKUP(B2978,'PROCV GERENTES BD'!A:B,2,0)</f>
        <v>PROSPECTAR</v>
      </c>
      <c r="F2978" s="4" t="str">
        <f t="shared" si="288"/>
        <v>2025-06-2</v>
      </c>
      <c r="G2978" t="str">
        <f t="shared" si="289"/>
        <v>PROSPECTAR</v>
      </c>
      <c r="H2978" t="str">
        <f t="shared" si="290"/>
        <v>JANE FIGUEIRA CONFECCOES LTDA ME</v>
      </c>
      <c r="I2978">
        <f t="shared" si="291"/>
        <v>1</v>
      </c>
      <c r="J2978">
        <f t="shared" si="292"/>
        <v>0</v>
      </c>
    </row>
    <row r="2979" spans="1:10" x14ac:dyDescent="0.25">
      <c r="A2979" t="s">
        <v>54</v>
      </c>
      <c r="B2979" t="s">
        <v>55</v>
      </c>
      <c r="C2979" t="s">
        <v>56</v>
      </c>
      <c r="D2979" s="6">
        <v>45839</v>
      </c>
      <c r="E2979" t="str">
        <f>VLOOKUP(B2979,'PROCV GERENTES BD'!A:B,2,0)</f>
        <v xml:space="preserve">MARCUS VINICIUS </v>
      </c>
      <c r="F2979" s="4" t="str">
        <f t="shared" ref="F2979:F3001" si="293">YEAR(D2979)&amp;"-"&amp;TEXT(MONTH(D2979),"00")&amp;"-"&amp;IF(DAY(D2979)&lt;=15,"1",IF(DAY(D2979)&gt;15,"2",""))</f>
        <v>2025-07-1</v>
      </c>
      <c r="G2979" t="str">
        <f t="shared" ref="G2979:G3001" si="294">E2979</f>
        <v xml:space="preserve">MARCUS VINICIUS </v>
      </c>
      <c r="H2979" t="str">
        <f t="shared" ref="H2979:H3001" si="295">B2979</f>
        <v>PROMEL IND COM IMP E EXP DE PRODS NATURAIS LTDA</v>
      </c>
      <c r="I2979">
        <f t="shared" ref="I2979:I3001" si="296">IF(C2979="EXCLUSAO  ANOT.INADIMPLENCIA",1,0)</f>
        <v>0</v>
      </c>
      <c r="J2979">
        <f t="shared" ref="J2979:J3001" si="297">IF(C2979="INCLUSAO  ANOT.INADIMPLENCIA",1,0)</f>
        <v>1</v>
      </c>
    </row>
    <row r="2980" spans="1:10" x14ac:dyDescent="0.25">
      <c r="A2980" t="s">
        <v>611</v>
      </c>
      <c r="B2980" t="s">
        <v>550</v>
      </c>
      <c r="C2980" t="s">
        <v>56</v>
      </c>
      <c r="D2980" s="6">
        <v>45839</v>
      </c>
      <c r="E2980" t="str">
        <f>VLOOKUP(B2980,'PROCV GERENTES BD'!A:B,2,0)</f>
        <v xml:space="preserve">MARCUS VINICIUS </v>
      </c>
      <c r="F2980" s="4" t="str">
        <f t="shared" si="293"/>
        <v>2025-07-1</v>
      </c>
      <c r="G2980" t="str">
        <f t="shared" si="294"/>
        <v xml:space="preserve">MARCUS VINICIUS </v>
      </c>
      <c r="H2980" t="str">
        <f t="shared" si="295"/>
        <v>JSA INDUSTRIA DE COSMETICOS LTDA EPP</v>
      </c>
      <c r="I2980">
        <f t="shared" si="296"/>
        <v>0</v>
      </c>
      <c r="J2980">
        <f t="shared" si="297"/>
        <v>1</v>
      </c>
    </row>
    <row r="2981" spans="1:10" x14ac:dyDescent="0.25">
      <c r="A2981" t="s">
        <v>628</v>
      </c>
      <c r="B2981" t="s">
        <v>574</v>
      </c>
      <c r="C2981" t="s">
        <v>72</v>
      </c>
      <c r="D2981" s="6">
        <v>45839</v>
      </c>
      <c r="E2981" t="str">
        <f>VLOOKUP(B2981,'PROCV GERENTES BD'!A:B,2,0)</f>
        <v>DALVA</v>
      </c>
      <c r="F2981" s="4" t="str">
        <f t="shared" si="293"/>
        <v>2025-07-1</v>
      </c>
      <c r="G2981" t="str">
        <f t="shared" si="294"/>
        <v>DALVA</v>
      </c>
      <c r="H2981" t="str">
        <f t="shared" si="295"/>
        <v>SENSORVIX INTELIGENCIA EM AUTOMACAO LTDA ME</v>
      </c>
      <c r="I2981">
        <f t="shared" si="296"/>
        <v>1</v>
      </c>
      <c r="J2981">
        <f t="shared" si="297"/>
        <v>0</v>
      </c>
    </row>
    <row r="2982" spans="1:10" x14ac:dyDescent="0.25">
      <c r="A2982" t="s">
        <v>640</v>
      </c>
      <c r="B2982" t="s">
        <v>545</v>
      </c>
      <c r="C2982" t="s">
        <v>56</v>
      </c>
      <c r="D2982" s="6">
        <v>45839</v>
      </c>
      <c r="E2982" t="str">
        <f>VLOOKUP(B2982,'PROCV GERENTES BD'!A:B,2,0)</f>
        <v>WASHINGTON</v>
      </c>
      <c r="F2982" s="4" t="str">
        <f t="shared" si="293"/>
        <v>2025-07-1</v>
      </c>
      <c r="G2982" t="str">
        <f t="shared" si="294"/>
        <v>WASHINGTON</v>
      </c>
      <c r="H2982" t="str">
        <f t="shared" si="295"/>
        <v>COMERCIAL SEGURANCA LTDA ME</v>
      </c>
      <c r="I2982">
        <f t="shared" si="296"/>
        <v>0</v>
      </c>
      <c r="J2982">
        <f t="shared" si="297"/>
        <v>1</v>
      </c>
    </row>
    <row r="2983" spans="1:10" x14ac:dyDescent="0.25">
      <c r="A2983" t="s">
        <v>73</v>
      </c>
      <c r="B2983" t="s">
        <v>74</v>
      </c>
      <c r="C2983" t="s">
        <v>56</v>
      </c>
      <c r="D2983" s="6">
        <v>45839</v>
      </c>
      <c r="E2983" t="str">
        <f>VLOOKUP(B2983,'PROCV GERENTES BD'!A:B,2,0)</f>
        <v xml:space="preserve">ROGERIO </v>
      </c>
      <c r="F2983" s="4" t="str">
        <f t="shared" si="293"/>
        <v>2025-07-1</v>
      </c>
      <c r="G2983" t="str">
        <f t="shared" si="294"/>
        <v xml:space="preserve">ROGERIO </v>
      </c>
      <c r="H2983" t="str">
        <f t="shared" si="295"/>
        <v>DIOTTONI INDUSTRIA E COMERCIO DE ALIMENTOS LTDA ME</v>
      </c>
      <c r="I2983">
        <f t="shared" si="296"/>
        <v>0</v>
      </c>
      <c r="J2983">
        <f t="shared" si="297"/>
        <v>1</v>
      </c>
    </row>
    <row r="2984" spans="1:10" x14ac:dyDescent="0.25">
      <c r="A2984" t="s">
        <v>70</v>
      </c>
      <c r="B2984" t="s">
        <v>71</v>
      </c>
      <c r="C2984" t="s">
        <v>59</v>
      </c>
      <c r="D2984" s="6">
        <v>45839</v>
      </c>
      <c r="E2984" t="str">
        <f>VLOOKUP(B2984,'PROCV GERENTES BD'!A:B,2,0)</f>
        <v>SEM GERENTE</v>
      </c>
      <c r="F2984" s="4" t="str">
        <f t="shared" si="293"/>
        <v>2025-07-1</v>
      </c>
      <c r="G2984" t="str">
        <f t="shared" si="294"/>
        <v>SEM GERENTE</v>
      </c>
      <c r="H2984" t="str">
        <f t="shared" si="295"/>
        <v>SOCIAL S/A</v>
      </c>
      <c r="I2984">
        <f t="shared" si="296"/>
        <v>0</v>
      </c>
      <c r="J2984">
        <f t="shared" si="297"/>
        <v>0</v>
      </c>
    </row>
    <row r="2985" spans="1:10" x14ac:dyDescent="0.25">
      <c r="A2985" t="s">
        <v>68</v>
      </c>
      <c r="B2985" t="s">
        <v>69</v>
      </c>
      <c r="C2985" t="s">
        <v>59</v>
      </c>
      <c r="D2985" s="6">
        <v>45839</v>
      </c>
      <c r="E2985" t="str">
        <f>VLOOKUP(B2985,'PROCV GERENTES BD'!A:B,2,0)</f>
        <v>FITZ</v>
      </c>
      <c r="F2985" s="4" t="str">
        <f t="shared" si="293"/>
        <v>2025-07-1</v>
      </c>
      <c r="G2985" t="str">
        <f t="shared" si="294"/>
        <v>FITZ</v>
      </c>
      <c r="H2985" t="str">
        <f t="shared" si="295"/>
        <v>MAPP COM IMPORTACAO EXPORTACAO IND PRODUTOS ALIMEN</v>
      </c>
      <c r="I2985">
        <f t="shared" si="296"/>
        <v>0</v>
      </c>
      <c r="J2985">
        <f t="shared" si="297"/>
        <v>0</v>
      </c>
    </row>
    <row r="2986" spans="1:10" x14ac:dyDescent="0.25">
      <c r="A2986" t="s">
        <v>643</v>
      </c>
      <c r="B2986" t="s">
        <v>641</v>
      </c>
      <c r="C2986" t="s">
        <v>72</v>
      </c>
      <c r="D2986" s="6">
        <v>45839</v>
      </c>
      <c r="E2986" t="str">
        <f>VLOOKUP(B2986,'PROCV GERENTES BD'!A:B,2,0)</f>
        <v>FERNANDO ABRAS</v>
      </c>
      <c r="F2986" s="4" t="str">
        <f t="shared" si="293"/>
        <v>2025-07-1</v>
      </c>
      <c r="G2986" t="str">
        <f t="shared" si="294"/>
        <v>FERNANDO ABRAS</v>
      </c>
      <c r="H2986" t="str">
        <f t="shared" si="295"/>
        <v>SKY JEANS LTDA ME</v>
      </c>
      <c r="I2986">
        <f t="shared" si="296"/>
        <v>1</v>
      </c>
      <c r="J2986">
        <f t="shared" si="297"/>
        <v>0</v>
      </c>
    </row>
    <row r="2987" spans="1:10" x14ac:dyDescent="0.25">
      <c r="A2987" t="s">
        <v>360</v>
      </c>
      <c r="B2987" t="s">
        <v>102</v>
      </c>
      <c r="C2987" t="s">
        <v>72</v>
      </c>
      <c r="D2987" s="6">
        <v>45839</v>
      </c>
      <c r="E2987" t="str">
        <f>VLOOKUP(B2987,'PROCV GERENTES BD'!A:B,2,0)</f>
        <v>POENATELA</v>
      </c>
      <c r="F2987" s="4" t="str">
        <f t="shared" si="293"/>
        <v>2025-07-1</v>
      </c>
      <c r="G2987" t="str">
        <f t="shared" si="294"/>
        <v>POENATELA</v>
      </c>
      <c r="H2987" t="str">
        <f t="shared" si="295"/>
        <v>SUPER HARD TECNOLOGIA EM TRATAMENTO DE SUPERFICIES</v>
      </c>
      <c r="I2987">
        <f t="shared" si="296"/>
        <v>1</v>
      </c>
      <c r="J2987">
        <f t="shared" si="297"/>
        <v>0</v>
      </c>
    </row>
    <row r="2988" spans="1:10" x14ac:dyDescent="0.25">
      <c r="A2988" t="s">
        <v>316</v>
      </c>
      <c r="B2988" t="s">
        <v>298</v>
      </c>
      <c r="C2988" t="s">
        <v>56</v>
      </c>
      <c r="D2988" s="6">
        <v>45839</v>
      </c>
      <c r="E2988" t="str">
        <f>VLOOKUP(B2988,'PROCV GERENTES BD'!A:B,2,0)</f>
        <v>ANTECIPA</v>
      </c>
      <c r="F2988" s="4" t="str">
        <f t="shared" si="293"/>
        <v>2025-07-1</v>
      </c>
      <c r="G2988" t="str">
        <f t="shared" si="294"/>
        <v>ANTECIPA</v>
      </c>
      <c r="H2988" t="str">
        <f t="shared" si="295"/>
        <v>CENTRAL DO M R O COMERCIAL IMPORTACOES E SERVICOS</v>
      </c>
      <c r="I2988">
        <f t="shared" si="296"/>
        <v>0</v>
      </c>
      <c r="J2988">
        <f t="shared" si="297"/>
        <v>1</v>
      </c>
    </row>
    <row r="2989" spans="1:10" x14ac:dyDescent="0.25">
      <c r="A2989" t="s">
        <v>448</v>
      </c>
      <c r="B2989" t="s">
        <v>198</v>
      </c>
      <c r="C2989" t="s">
        <v>56</v>
      </c>
      <c r="D2989" s="6">
        <v>45839</v>
      </c>
      <c r="E2989" t="str">
        <f>VLOOKUP(B2989,'PROCV GERENTES BD'!A:B,2,0)</f>
        <v>FITZ</v>
      </c>
      <c r="F2989" s="4" t="str">
        <f t="shared" si="293"/>
        <v>2025-07-1</v>
      </c>
      <c r="G2989" t="str">
        <f t="shared" si="294"/>
        <v>FITZ</v>
      </c>
      <c r="H2989" t="str">
        <f t="shared" si="295"/>
        <v>SAFRA OURO AGRONEGOCIOS LTDA EPP</v>
      </c>
      <c r="I2989">
        <f t="shared" si="296"/>
        <v>0</v>
      </c>
      <c r="J2989">
        <f t="shared" si="297"/>
        <v>1</v>
      </c>
    </row>
    <row r="2990" spans="1:10" x14ac:dyDescent="0.25">
      <c r="A2990" t="s">
        <v>325</v>
      </c>
      <c r="B2990" t="s">
        <v>210</v>
      </c>
      <c r="C2990" t="s">
        <v>72</v>
      </c>
      <c r="D2990" s="6">
        <v>45839</v>
      </c>
      <c r="E2990" t="str">
        <f>VLOOKUP(B2990,'PROCV GERENTES BD'!A:B,2,0)</f>
        <v>JOSE ROBERTO</v>
      </c>
      <c r="F2990" s="4" t="str">
        <f t="shared" si="293"/>
        <v>2025-07-1</v>
      </c>
      <c r="G2990" t="str">
        <f t="shared" si="294"/>
        <v>JOSE ROBERTO</v>
      </c>
      <c r="H2990" t="str">
        <f t="shared" si="295"/>
        <v>FUNDACAO DE ENSINO E PESQUISA DO SUL DE MINAS FEPE</v>
      </c>
      <c r="I2990">
        <f t="shared" si="296"/>
        <v>1</v>
      </c>
      <c r="J2990">
        <f t="shared" si="297"/>
        <v>0</v>
      </c>
    </row>
    <row r="2991" spans="1:10" x14ac:dyDescent="0.25">
      <c r="A2991" t="s">
        <v>62</v>
      </c>
      <c r="B2991" t="s">
        <v>63</v>
      </c>
      <c r="C2991" t="s">
        <v>56</v>
      </c>
      <c r="D2991" s="6">
        <v>45839</v>
      </c>
      <c r="E2991" t="str">
        <f>VLOOKUP(B2991,'PROCV GERENTES BD'!A:B,2,0)</f>
        <v xml:space="preserve">ROGERIO </v>
      </c>
      <c r="F2991" s="4" t="str">
        <f t="shared" si="293"/>
        <v>2025-07-1</v>
      </c>
      <c r="G2991" t="str">
        <f t="shared" si="294"/>
        <v xml:space="preserve">ROGERIO </v>
      </c>
      <c r="H2991" t="str">
        <f t="shared" si="295"/>
        <v>RODOVIEIRA TRANSPORTE LTDA</v>
      </c>
      <c r="I2991">
        <f t="shared" si="296"/>
        <v>0</v>
      </c>
      <c r="J2991">
        <f t="shared" si="297"/>
        <v>1</v>
      </c>
    </row>
    <row r="2992" spans="1:10" x14ac:dyDescent="0.25">
      <c r="A2992" t="s">
        <v>541</v>
      </c>
      <c r="B2992" t="s">
        <v>308</v>
      </c>
      <c r="C2992" t="s">
        <v>56</v>
      </c>
      <c r="D2992" s="6">
        <v>45839</v>
      </c>
      <c r="E2992" t="str">
        <f>VLOOKUP(B2992,'PROCV GERENTES BD'!A:B,2,0)</f>
        <v xml:space="preserve">MARCUS VINICIUS </v>
      </c>
      <c r="F2992" s="4" t="str">
        <f t="shared" si="293"/>
        <v>2025-07-1</v>
      </c>
      <c r="G2992" t="str">
        <f t="shared" si="294"/>
        <v xml:space="preserve">MARCUS VINICIUS </v>
      </c>
      <c r="H2992" t="str">
        <f t="shared" si="295"/>
        <v>LINDINALDO ANISIO DA SILVA ME</v>
      </c>
      <c r="I2992">
        <f t="shared" si="296"/>
        <v>0</v>
      </c>
      <c r="J2992">
        <f t="shared" si="297"/>
        <v>1</v>
      </c>
    </row>
    <row r="2993" spans="1:10" x14ac:dyDescent="0.25">
      <c r="A2993" t="s">
        <v>540</v>
      </c>
      <c r="B2993" t="s">
        <v>307</v>
      </c>
      <c r="C2993" t="s">
        <v>72</v>
      </c>
      <c r="D2993" s="6">
        <v>45839</v>
      </c>
      <c r="E2993" t="str">
        <f>VLOOKUP(B2993,'PROCV GERENTES BD'!A:B,2,0)</f>
        <v>RAFAEL PARISE</v>
      </c>
      <c r="F2993" s="4" t="str">
        <f t="shared" si="293"/>
        <v>2025-07-1</v>
      </c>
      <c r="G2993" t="str">
        <f t="shared" si="294"/>
        <v>RAFAEL PARISE</v>
      </c>
      <c r="H2993" t="str">
        <f t="shared" si="295"/>
        <v>MINASPOL INDUSTRIA E COMERCIO DE COMPOSTOS POLIMER</v>
      </c>
      <c r="I2993">
        <f t="shared" si="296"/>
        <v>1</v>
      </c>
      <c r="J2993">
        <f t="shared" si="297"/>
        <v>0</v>
      </c>
    </row>
    <row r="2994" spans="1:10" x14ac:dyDescent="0.25">
      <c r="A2994" t="s">
        <v>57</v>
      </c>
      <c r="B2994" t="s">
        <v>58</v>
      </c>
      <c r="C2994" t="s">
        <v>56</v>
      </c>
      <c r="D2994" s="6">
        <v>45839</v>
      </c>
      <c r="E2994" t="str">
        <f>VLOOKUP(B2994,'PROCV GERENTES BD'!A:B,2,0)</f>
        <v>RAFAEL PARISE</v>
      </c>
      <c r="F2994" s="4" t="str">
        <f t="shared" si="293"/>
        <v>2025-07-1</v>
      </c>
      <c r="G2994" t="str">
        <f t="shared" si="294"/>
        <v>RAFAEL PARISE</v>
      </c>
      <c r="H2994" t="str">
        <f t="shared" si="295"/>
        <v>TDR TRANSPORTES LOGISTICA LTDA</v>
      </c>
      <c r="I2994">
        <f t="shared" si="296"/>
        <v>0</v>
      </c>
      <c r="J2994">
        <f t="shared" si="297"/>
        <v>1</v>
      </c>
    </row>
    <row r="2995" spans="1:10" x14ac:dyDescent="0.25">
      <c r="A2995" t="s">
        <v>644</v>
      </c>
      <c r="B2995" t="s">
        <v>559</v>
      </c>
      <c r="C2995" t="s">
        <v>72</v>
      </c>
      <c r="D2995" s="6">
        <v>45839</v>
      </c>
      <c r="E2995" t="str">
        <f>VLOOKUP(B2995,'PROCV GERENTES BD'!A:B,2,0)</f>
        <v>CREDTEM</v>
      </c>
      <c r="F2995" s="4" t="str">
        <f t="shared" si="293"/>
        <v>2025-07-1</v>
      </c>
      <c r="G2995" t="str">
        <f t="shared" si="294"/>
        <v>CREDTEM</v>
      </c>
      <c r="H2995" t="str">
        <f t="shared" si="295"/>
        <v>W M DE CASTRO NETO PRODUTOS FARMACEUTICOS EPP</v>
      </c>
      <c r="I2995">
        <f t="shared" si="296"/>
        <v>1</v>
      </c>
      <c r="J2995">
        <f t="shared" si="297"/>
        <v>0</v>
      </c>
    </row>
    <row r="2996" spans="1:10" x14ac:dyDescent="0.25">
      <c r="A2996" t="s">
        <v>330</v>
      </c>
      <c r="B2996" t="s">
        <v>116</v>
      </c>
      <c r="C2996" t="s">
        <v>72</v>
      </c>
      <c r="D2996" s="6">
        <v>45839</v>
      </c>
      <c r="E2996" t="str">
        <f>VLOOKUP(B2996,'PROCV GERENTES BD'!A:B,2,0)</f>
        <v>FITZ</v>
      </c>
      <c r="F2996" s="4" t="str">
        <f t="shared" si="293"/>
        <v>2025-07-1</v>
      </c>
      <c r="G2996" t="str">
        <f t="shared" si="294"/>
        <v>FITZ</v>
      </c>
      <c r="H2996" t="str">
        <f t="shared" si="295"/>
        <v>SIAP COMERCIO DE PRODUTOS AGROPECUARIOS LTDA</v>
      </c>
      <c r="I2996">
        <f t="shared" si="296"/>
        <v>1</v>
      </c>
      <c r="J2996">
        <f t="shared" si="297"/>
        <v>0</v>
      </c>
    </row>
    <row r="2997" spans="1:10" x14ac:dyDescent="0.25">
      <c r="A2997" t="s">
        <v>331</v>
      </c>
      <c r="B2997" t="s">
        <v>126</v>
      </c>
      <c r="C2997" t="s">
        <v>56</v>
      </c>
      <c r="D2997" s="6">
        <v>45839</v>
      </c>
      <c r="E2997" t="str">
        <f>VLOOKUP(B2997,'PROCV GERENTES BD'!A:B,2,0)</f>
        <v>FITZ</v>
      </c>
      <c r="F2997" s="4" t="str">
        <f t="shared" si="293"/>
        <v>2025-07-1</v>
      </c>
      <c r="G2997" t="str">
        <f t="shared" si="294"/>
        <v>FITZ</v>
      </c>
      <c r="H2997" t="str">
        <f t="shared" si="295"/>
        <v>TRANSHENRY TRANSPORTES LTDA</v>
      </c>
      <c r="I2997">
        <f t="shared" si="296"/>
        <v>0</v>
      </c>
      <c r="J2997">
        <f t="shared" si="297"/>
        <v>1</v>
      </c>
    </row>
    <row r="2998" spans="1:10" x14ac:dyDescent="0.25">
      <c r="A2998" t="s">
        <v>532</v>
      </c>
      <c r="B2998" t="s">
        <v>296</v>
      </c>
      <c r="C2998" t="s">
        <v>72</v>
      </c>
      <c r="D2998" s="6">
        <v>45839</v>
      </c>
      <c r="E2998" t="str">
        <f>VLOOKUP(B2998,'PROCV GERENTES BD'!A:B,2,0)</f>
        <v>DALVA</v>
      </c>
      <c r="F2998" s="4" t="str">
        <f t="shared" si="293"/>
        <v>2025-07-1</v>
      </c>
      <c r="G2998" t="str">
        <f t="shared" si="294"/>
        <v>DALVA</v>
      </c>
      <c r="H2998" t="str">
        <f t="shared" si="295"/>
        <v>FRAITECH INTELIGENCIA EM AUTOMACAO LTDA</v>
      </c>
      <c r="I2998">
        <f t="shared" si="296"/>
        <v>1</v>
      </c>
      <c r="J2998">
        <f t="shared" si="297"/>
        <v>0</v>
      </c>
    </row>
    <row r="2999" spans="1:10" x14ac:dyDescent="0.25">
      <c r="A2999" t="s">
        <v>531</v>
      </c>
      <c r="B2999" t="s">
        <v>295</v>
      </c>
      <c r="C2999" t="s">
        <v>59</v>
      </c>
      <c r="D2999" s="6">
        <v>45839</v>
      </c>
      <c r="E2999" t="str">
        <f>VLOOKUP(B2999,'PROCV GERENTES BD'!A:B,2,0)</f>
        <v>ADMINISTRAÇÃO</v>
      </c>
      <c r="F2999" s="4" t="str">
        <f t="shared" si="293"/>
        <v>2025-07-1</v>
      </c>
      <c r="G2999" t="str">
        <f t="shared" si="294"/>
        <v>ADMINISTRAÇÃO</v>
      </c>
      <c r="H2999" t="str">
        <f t="shared" si="295"/>
        <v>REFRACONT BRASIL LTDA</v>
      </c>
      <c r="I2999">
        <f t="shared" si="296"/>
        <v>0</v>
      </c>
      <c r="J2999">
        <f t="shared" si="297"/>
        <v>0</v>
      </c>
    </row>
    <row r="3000" spans="1:10" x14ac:dyDescent="0.25">
      <c r="A3000" t="s">
        <v>64</v>
      </c>
      <c r="B3000" t="s">
        <v>65</v>
      </c>
      <c r="C3000" t="s">
        <v>56</v>
      </c>
      <c r="D3000" s="6">
        <v>45839</v>
      </c>
      <c r="E3000" t="str">
        <f>VLOOKUP(B3000,'PROCV GERENTES BD'!A:B,2,0)</f>
        <v>ADMINISTRAÇÃO</v>
      </c>
      <c r="F3000" s="4" t="str">
        <f t="shared" si="293"/>
        <v>2025-07-1</v>
      </c>
      <c r="G3000" t="str">
        <f t="shared" si="294"/>
        <v>ADMINISTRAÇÃO</v>
      </c>
      <c r="H3000" t="str">
        <f t="shared" si="295"/>
        <v>BIOTECH LOGISTICA LTDA</v>
      </c>
      <c r="I3000">
        <f t="shared" si="296"/>
        <v>0</v>
      </c>
      <c r="J3000">
        <f t="shared" si="297"/>
        <v>1</v>
      </c>
    </row>
    <row r="3001" spans="1:10" x14ac:dyDescent="0.25">
      <c r="A3001" t="s">
        <v>500</v>
      </c>
      <c r="B3001" t="s">
        <v>258</v>
      </c>
      <c r="C3001" t="s">
        <v>56</v>
      </c>
      <c r="D3001" s="6">
        <v>45839</v>
      </c>
      <c r="E3001" t="str">
        <f>VLOOKUP(B3001,'PROCV GERENTES BD'!A:B,2,0)</f>
        <v>PROSPECTAR</v>
      </c>
      <c r="F3001" s="4" t="str">
        <f t="shared" si="293"/>
        <v>2025-07-1</v>
      </c>
      <c r="G3001" t="str">
        <f t="shared" si="294"/>
        <v>PROSPECTAR</v>
      </c>
      <c r="H3001" t="str">
        <f t="shared" si="295"/>
        <v>JANE FIGUEIRA CONFECCOES LTDA ME</v>
      </c>
      <c r="I3001">
        <f t="shared" si="296"/>
        <v>0</v>
      </c>
      <c r="J3001">
        <f t="shared" si="297"/>
        <v>1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K333"/>
  <sheetViews>
    <sheetView topLeftCell="A310" zoomScaleNormal="100" workbookViewId="0">
      <selection activeCell="E321" sqref="E321"/>
    </sheetView>
  </sheetViews>
  <sheetFormatPr defaultRowHeight="15" x14ac:dyDescent="0.25"/>
  <cols>
    <col min="1" max="1" width="71.85546875" customWidth="1"/>
    <col min="2" max="2" width="23.7109375" bestFit="1" customWidth="1"/>
    <col min="3" max="3" width="25" customWidth="1"/>
    <col min="4" max="4" width="23" customWidth="1"/>
    <col min="5" max="5" width="20.140625" customWidth="1"/>
    <col min="6" max="6" width="68.140625" customWidth="1"/>
    <col min="7" max="7" width="69.7109375" customWidth="1"/>
    <col min="8" max="8" width="80.5703125" customWidth="1"/>
    <col min="9" max="9" width="71.42578125" customWidth="1"/>
    <col min="10" max="10" width="71.140625" customWidth="1"/>
    <col min="11" max="11" width="32.28515625" customWidth="1"/>
    <col min="13" max="15" width="9.140625" customWidth="1"/>
  </cols>
  <sheetData>
    <row r="1" spans="1:11" x14ac:dyDescent="0.25">
      <c r="A1" s="13" t="s">
        <v>0</v>
      </c>
      <c r="B1" s="13" t="s">
        <v>36</v>
      </c>
      <c r="C1" s="14" t="s">
        <v>52</v>
      </c>
      <c r="D1" s="13" t="s">
        <v>33</v>
      </c>
      <c r="E1" s="13" t="s">
        <v>53</v>
      </c>
      <c r="F1" s="13"/>
      <c r="G1" s="13"/>
      <c r="H1" s="13"/>
      <c r="I1" s="13"/>
      <c r="J1" s="13"/>
      <c r="K1" s="13"/>
    </row>
    <row r="2" spans="1:11" x14ac:dyDescent="0.25">
      <c r="A2" t="s">
        <v>165</v>
      </c>
      <c r="B2" t="s">
        <v>19</v>
      </c>
      <c r="C2" s="12">
        <f>IF(A2=""," ",IF(_xlfn.MINIFS('E-Mail BD'!D:D,'E-Mail BD'!B:B,A2)=0,"NÃO APARECEU AINDA",_xlfn.MINIFS('E-Mail BD'!D:D,'E-Mail BD'!B:B,A2)))</f>
        <v>45574</v>
      </c>
      <c r="D2" t="str">
        <f>IFERROR(_xlfn.XLOOKUP(A2,'E-Mail BD'!B:B,'E-Mail BD'!A:A),"-")</f>
        <v>037.054.821/0001-10</v>
      </c>
      <c r="E2" s="2" t="str">
        <f t="shared" ref="E2:E65" si="0">IF(RIGHT(SUBSTITUTE(SUBSTITUTE(SUBSTITUTE(D2,".",""),"/",""),"-",""),14)="","-",RIGHT(SUBSTITUTE(SUBSTITUTE(SUBSTITUTE(D2,".",""),"/",""),"-",""),14))</f>
        <v>37054821000110</v>
      </c>
    </row>
    <row r="3" spans="1:11" x14ac:dyDescent="0.25">
      <c r="A3" t="s">
        <v>620</v>
      </c>
      <c r="B3" t="s">
        <v>29</v>
      </c>
      <c r="C3" s="12">
        <f>IF(A3=""," ",IF(_xlfn.MINIFS('E-Mail BD'!D:D,'E-Mail BD'!B:B,A3)=0,"NÃO APARECEU AINDA",_xlfn.MINIFS('E-Mail BD'!D:D,'E-Mail BD'!B:B,A3)))</f>
        <v>45827</v>
      </c>
      <c r="D3" t="str">
        <f>IFERROR(_xlfn.XLOOKUP(A3,'E-Mail BD'!B:B,'E-Mail BD'!A:A),"-")</f>
        <v>026.628.832/0001-40</v>
      </c>
      <c r="E3" s="2" t="str">
        <f t="shared" si="0"/>
        <v>26628832000140</v>
      </c>
    </row>
    <row r="4" spans="1:11" x14ac:dyDescent="0.25">
      <c r="A4" t="s">
        <v>247</v>
      </c>
      <c r="B4" t="s">
        <v>19</v>
      </c>
      <c r="C4" s="12">
        <f>IF(A4=""," ",IF(_xlfn.MINIFS('E-Mail BD'!D:D,'E-Mail BD'!B:B,A4)=0,"NÃO APARECEU AINDA",_xlfn.MINIFS('E-Mail BD'!D:D,'E-Mail BD'!B:B,A4)))</f>
        <v>45738</v>
      </c>
      <c r="D4" t="str">
        <f>IFERROR(_xlfn.XLOOKUP(A4,'E-Mail BD'!B:B,'E-Mail BD'!A:A),"-")</f>
        <v>002.776.536/0001-29</v>
      </c>
      <c r="E4" s="2" t="str">
        <f t="shared" si="0"/>
        <v>02776536000129</v>
      </c>
    </row>
    <row r="5" spans="1:11" x14ac:dyDescent="0.25">
      <c r="A5" t="s">
        <v>227</v>
      </c>
      <c r="B5" t="s">
        <v>5</v>
      </c>
      <c r="C5" s="12">
        <f>IF(A5=""," ",IF(_xlfn.MINIFS('E-Mail BD'!D:D,'E-Mail BD'!B:B,A5)=0,"NÃO APARECEU AINDA",_xlfn.MINIFS('E-Mail BD'!D:D,'E-Mail BD'!B:B,A5)))</f>
        <v>45686</v>
      </c>
      <c r="D5" t="str">
        <f>IFERROR(_xlfn.XLOOKUP(A5,'E-Mail BD'!B:B,'E-Mail BD'!A:A),"-")</f>
        <v>044.637.793/0001-20</v>
      </c>
      <c r="E5" s="2" t="str">
        <f t="shared" si="0"/>
        <v>44637793000120</v>
      </c>
    </row>
    <row r="6" spans="1:11" x14ac:dyDescent="0.25">
      <c r="A6" t="s">
        <v>600</v>
      </c>
      <c r="B6" t="s">
        <v>26</v>
      </c>
      <c r="C6" s="12" t="str">
        <f>IF(A6=""," ",IF(_xlfn.MINIFS('E-Mail BD'!D:D,'E-Mail BD'!B:B,A6)=0,"NÃO APARECEU AINDA",_xlfn.MINIFS('E-Mail BD'!D:D,'E-Mail BD'!B:B,A6)))</f>
        <v>NÃO APARECEU AINDA</v>
      </c>
      <c r="D6" t="str">
        <f>IFERROR(_xlfn.XLOOKUP(A6,'E-Mail BD'!B:B,'E-Mail BD'!A:A),"-")</f>
        <v>-</v>
      </c>
      <c r="E6" s="2" t="str">
        <f t="shared" si="0"/>
        <v>-</v>
      </c>
    </row>
    <row r="7" spans="1:11" x14ac:dyDescent="0.25">
      <c r="A7" t="s">
        <v>228</v>
      </c>
      <c r="B7" t="s">
        <v>5</v>
      </c>
      <c r="C7" s="12">
        <f>IF(A7=""," ",IF(_xlfn.MINIFS('E-Mail BD'!D:D,'E-Mail BD'!B:B,A7)=0,"NÃO APARECEU AINDA",_xlfn.MINIFS('E-Mail BD'!D:D,'E-Mail BD'!B:B,A7)))</f>
        <v>45686</v>
      </c>
      <c r="D7" t="str">
        <f>IFERROR(_xlfn.XLOOKUP(A7,'E-Mail BD'!B:B,'E-Mail BD'!A:A),"-")</f>
        <v>013.616.154/0001-54</v>
      </c>
      <c r="E7" s="2" t="str">
        <f t="shared" si="0"/>
        <v>13616154000154</v>
      </c>
    </row>
    <row r="8" spans="1:11" x14ac:dyDescent="0.25">
      <c r="A8" t="s">
        <v>262</v>
      </c>
      <c r="B8" t="s">
        <v>21</v>
      </c>
      <c r="C8" s="12">
        <f>IF(A8=""," ",IF(_xlfn.MINIFS('E-Mail BD'!D:D,'E-Mail BD'!B:B,A8)=0,"NÃO APARECEU AINDA",_xlfn.MINIFS('E-Mail BD'!D:D,'E-Mail BD'!B:B,A8)))</f>
        <v>45758</v>
      </c>
      <c r="D8" t="str">
        <f>IFERROR(_xlfn.XLOOKUP(A8,'E-Mail BD'!B:B,'E-Mail BD'!A:A),"-")</f>
        <v>010.256.168/0001-16</v>
      </c>
      <c r="E8" s="2" t="str">
        <f t="shared" si="0"/>
        <v>10256168000116</v>
      </c>
    </row>
    <row r="9" spans="1:11" x14ac:dyDescent="0.25">
      <c r="A9" t="s">
        <v>230</v>
      </c>
      <c r="B9" t="s">
        <v>8</v>
      </c>
      <c r="C9" s="12">
        <f>IF(A9=""," ",IF(_xlfn.MINIFS('E-Mail BD'!D:D,'E-Mail BD'!B:B,A9)=0,"NÃO APARECEU AINDA",_xlfn.MINIFS('E-Mail BD'!D:D,'E-Mail BD'!B:B,A9)))</f>
        <v>45686</v>
      </c>
      <c r="D9" t="str">
        <f>IFERROR(_xlfn.XLOOKUP(A9,'E-Mail BD'!B:B,'E-Mail BD'!A:A),"-")</f>
        <v>000.688.793/0001-83</v>
      </c>
      <c r="E9" s="2" t="str">
        <f t="shared" si="0"/>
        <v>00688793000183</v>
      </c>
    </row>
    <row r="10" spans="1:11" x14ac:dyDescent="0.25">
      <c r="A10" t="s">
        <v>84</v>
      </c>
      <c r="B10" t="s">
        <v>5</v>
      </c>
      <c r="C10" s="12">
        <f>IF(A10=""," ",IF(_xlfn.MINIFS('E-Mail BD'!D:D,'E-Mail BD'!B:B,A10)=0,"NÃO APARECEU AINDA",_xlfn.MINIFS('E-Mail BD'!D:D,'E-Mail BD'!B:B,A10)))</f>
        <v>45537</v>
      </c>
      <c r="D10" t="str">
        <f>IFERROR(_xlfn.XLOOKUP(A10,'E-Mail BD'!B:B,'E-Mail BD'!A:A),"-")</f>
        <v>045.674.938/0001-25</v>
      </c>
      <c r="E10" s="2" t="str">
        <f t="shared" si="0"/>
        <v>45674938000125</v>
      </c>
    </row>
    <row r="11" spans="1:11" x14ac:dyDescent="0.25">
      <c r="A11" t="s">
        <v>196</v>
      </c>
      <c r="B11" t="s">
        <v>16</v>
      </c>
      <c r="C11" s="12">
        <f>IF(A11=""," ",IF(_xlfn.MINIFS('E-Mail BD'!D:D,'E-Mail BD'!B:B,A11)=0,"NÃO APARECEU AINDA",_xlfn.MINIFS('E-Mail BD'!D:D,'E-Mail BD'!B:B,A11)))</f>
        <v>45626</v>
      </c>
      <c r="D11" t="str">
        <f>IFERROR(_xlfn.XLOOKUP(A11,'E-Mail BD'!B:B,'E-Mail BD'!A:A),"-")</f>
        <v>088.978.606/0001-47</v>
      </c>
      <c r="E11" s="2" t="str">
        <f t="shared" si="0"/>
        <v>88978606000147</v>
      </c>
    </row>
    <row r="12" spans="1:11" x14ac:dyDescent="0.25">
      <c r="A12" t="s">
        <v>557</v>
      </c>
      <c r="B12" t="s">
        <v>25</v>
      </c>
      <c r="C12" s="12" t="str">
        <f>IF(A12=""," ",IF(_xlfn.MINIFS('E-Mail BD'!D:D,'E-Mail BD'!B:B,A12)=0,"NÃO APARECEU AINDA",_xlfn.MINIFS('E-Mail BD'!D:D,'E-Mail BD'!B:B,A12)))</f>
        <v>NÃO APARECEU AINDA</v>
      </c>
      <c r="D12" t="str">
        <f>IFERROR(_xlfn.XLOOKUP(A12,'E-Mail BD'!B:B,'E-Mail BD'!A:A),"-")</f>
        <v>-</v>
      </c>
      <c r="E12" s="2" t="str">
        <f t="shared" si="0"/>
        <v>-</v>
      </c>
    </row>
    <row r="13" spans="1:11" x14ac:dyDescent="0.25">
      <c r="A13" t="s">
        <v>182</v>
      </c>
      <c r="B13" t="s">
        <v>20</v>
      </c>
      <c r="C13" s="12">
        <f>IF(A13=""," ",IF(_xlfn.MINIFS('E-Mail BD'!D:D,'E-Mail BD'!B:B,A13)=0,"NÃO APARECEU AINDA",_xlfn.MINIFS('E-Mail BD'!D:D,'E-Mail BD'!B:B,A13)))</f>
        <v>45586</v>
      </c>
      <c r="D13" t="str">
        <f>IFERROR(_xlfn.XLOOKUP(A13,'E-Mail BD'!B:B,'E-Mail BD'!A:A),"-")</f>
        <v>026.438.913/0001-88</v>
      </c>
      <c r="E13" s="2" t="str">
        <f t="shared" si="0"/>
        <v>26438913000188</v>
      </c>
    </row>
    <row r="14" spans="1:11" x14ac:dyDescent="0.25">
      <c r="A14" t="s">
        <v>551</v>
      </c>
      <c r="B14" t="s">
        <v>8</v>
      </c>
      <c r="C14" s="12" t="str">
        <f>IF(A14=""," ",IF(_xlfn.MINIFS('E-Mail BD'!D:D,'E-Mail BD'!B:B,A14)=0,"NÃO APARECEU AINDA",_xlfn.MINIFS('E-Mail BD'!D:D,'E-Mail BD'!B:B,A14)))</f>
        <v>NÃO APARECEU AINDA</v>
      </c>
      <c r="D14" t="str">
        <f>IFERROR(_xlfn.XLOOKUP(A14,'E-Mail BD'!B:B,'E-Mail BD'!A:A),"-")</f>
        <v>-</v>
      </c>
      <c r="E14" s="2" t="str">
        <f t="shared" si="0"/>
        <v>-</v>
      </c>
    </row>
    <row r="15" spans="1:11" x14ac:dyDescent="0.25">
      <c r="A15" t="s">
        <v>150</v>
      </c>
      <c r="B15" t="s">
        <v>16</v>
      </c>
      <c r="C15" s="12">
        <f>IF(A15=""," ",IF(_xlfn.MINIFS('E-Mail BD'!D:D,'E-Mail BD'!B:B,A15)=0,"NÃO APARECEU AINDA",_xlfn.MINIFS('E-Mail BD'!D:D,'E-Mail BD'!B:B,A15)))</f>
        <v>45557</v>
      </c>
      <c r="D15" t="str">
        <f>IFERROR(_xlfn.XLOOKUP(A15,'E-Mail BD'!B:B,'E-Mail BD'!A:A),"-")</f>
        <v>046.140.062/0001-08</v>
      </c>
      <c r="E15" s="2" t="str">
        <f t="shared" si="0"/>
        <v>46140062000108</v>
      </c>
    </row>
    <row r="16" spans="1:11" x14ac:dyDescent="0.25">
      <c r="A16" t="s">
        <v>584</v>
      </c>
      <c r="B16" t="s">
        <v>633</v>
      </c>
      <c r="C16" s="12" t="str">
        <f>IF(A16=""," ",IF(_xlfn.MINIFS('E-Mail BD'!D:D,'E-Mail BD'!B:B,A16)=0,"NÃO APARECEU AINDA",_xlfn.MINIFS('E-Mail BD'!D:D,'E-Mail BD'!B:B,A16)))</f>
        <v>NÃO APARECEU AINDA</v>
      </c>
      <c r="D16" t="str">
        <f>IFERROR(_xlfn.XLOOKUP(A16,'E-Mail BD'!B:B,'E-Mail BD'!A:A),"-")</f>
        <v>-</v>
      </c>
      <c r="E16" s="2" t="str">
        <f t="shared" si="0"/>
        <v>-</v>
      </c>
    </row>
    <row r="17" spans="1:5" x14ac:dyDescent="0.25">
      <c r="A17" t="s">
        <v>112</v>
      </c>
      <c r="B17" t="s">
        <v>10</v>
      </c>
      <c r="C17" s="12">
        <f>IF(A17=""," ",IF(_xlfn.MINIFS('E-Mail BD'!D:D,'E-Mail BD'!B:B,A17)=0,"NÃO APARECEU AINDA",_xlfn.MINIFS('E-Mail BD'!D:D,'E-Mail BD'!B:B,A17)))</f>
        <v>45540</v>
      </c>
      <c r="D17" t="str">
        <f>IFERROR(_xlfn.XLOOKUP(A17,'E-Mail BD'!B:B,'E-Mail BD'!A:A),"-")</f>
        <v>024.255.748/0001-01</v>
      </c>
      <c r="E17" s="2" t="str">
        <f t="shared" si="0"/>
        <v>24255748000101</v>
      </c>
    </row>
    <row r="18" spans="1:5" x14ac:dyDescent="0.25">
      <c r="A18" t="s">
        <v>145</v>
      </c>
      <c r="B18" t="s">
        <v>21</v>
      </c>
      <c r="C18" s="12">
        <f>IF(A18=""," ",IF(_xlfn.MINIFS('E-Mail BD'!D:D,'E-Mail BD'!B:B,A18)=0,"NÃO APARECEU AINDA",_xlfn.MINIFS('E-Mail BD'!D:D,'E-Mail BD'!B:B,A18)))</f>
        <v>45553</v>
      </c>
      <c r="D18" t="str">
        <f>IFERROR(_xlfn.XLOOKUP(A18,'E-Mail BD'!B:B,'E-Mail BD'!A:A),"-")</f>
        <v>055.979.736/0001-45</v>
      </c>
      <c r="E18" s="2" t="str">
        <f t="shared" si="0"/>
        <v>55979736000145</v>
      </c>
    </row>
    <row r="19" spans="1:5" x14ac:dyDescent="0.25">
      <c r="A19" t="s">
        <v>276</v>
      </c>
      <c r="B19" t="s">
        <v>12</v>
      </c>
      <c r="C19" s="12">
        <f>IF(A19=""," ",IF(_xlfn.MINIFS('E-Mail BD'!D:D,'E-Mail BD'!B:B,A19)=0,"NÃO APARECEU AINDA",_xlfn.MINIFS('E-Mail BD'!D:D,'E-Mail BD'!B:B,A19)))</f>
        <v>45780</v>
      </c>
      <c r="D19" t="str">
        <f>IFERROR(_xlfn.XLOOKUP(A19,'E-Mail BD'!B:B,'E-Mail BD'!A:A),"-")</f>
        <v>014.090.422/0001-00</v>
      </c>
      <c r="E19" s="2" t="str">
        <f t="shared" si="0"/>
        <v>14090422000100</v>
      </c>
    </row>
    <row r="20" spans="1:5" x14ac:dyDescent="0.25">
      <c r="A20" t="s">
        <v>201</v>
      </c>
      <c r="B20" t="s">
        <v>10</v>
      </c>
      <c r="C20" s="12">
        <f>IF(A20=""," ",IF(_xlfn.MINIFS('E-Mail BD'!D:D,'E-Mail BD'!B:B,A20)=0,"NÃO APARECEU AINDA",_xlfn.MINIFS('E-Mail BD'!D:D,'E-Mail BD'!B:B,A20)))</f>
        <v>45647</v>
      </c>
      <c r="D20" t="str">
        <f>IFERROR(_xlfn.XLOOKUP(A20,'E-Mail BD'!B:B,'E-Mail BD'!A:A),"-")</f>
        <v>035.649.603/0001-01</v>
      </c>
      <c r="E20" s="2" t="str">
        <f t="shared" si="0"/>
        <v>35649603000101</v>
      </c>
    </row>
    <row r="21" spans="1:5" x14ac:dyDescent="0.25">
      <c r="A21" t="s">
        <v>156</v>
      </c>
      <c r="B21" t="s">
        <v>5</v>
      </c>
      <c r="C21" s="12">
        <f>IF(A21=""," ",IF(_xlfn.MINIFS('E-Mail BD'!D:D,'E-Mail BD'!B:B,A21)=0,"NÃO APARECEU AINDA",_xlfn.MINIFS('E-Mail BD'!D:D,'E-Mail BD'!B:B,A21)))</f>
        <v>45566</v>
      </c>
      <c r="D21" t="str">
        <f>IFERROR(_xlfn.XLOOKUP(A21,'E-Mail BD'!B:B,'E-Mail BD'!A:A),"-")</f>
        <v>044.320.551/0001-08</v>
      </c>
      <c r="E21" s="2" t="str">
        <f t="shared" si="0"/>
        <v>44320551000108</v>
      </c>
    </row>
    <row r="22" spans="1:5" x14ac:dyDescent="0.25">
      <c r="A22" t="s">
        <v>237</v>
      </c>
      <c r="B22" t="s">
        <v>17</v>
      </c>
      <c r="C22" s="12">
        <f>IF(A22=""," ",IF(_xlfn.MINIFS('E-Mail BD'!D:D,'E-Mail BD'!B:B,A22)=0,"NÃO APARECEU AINDA",_xlfn.MINIFS('E-Mail BD'!D:D,'E-Mail BD'!B:B,A22)))</f>
        <v>45694</v>
      </c>
      <c r="D22" t="str">
        <f>IFERROR(_xlfn.XLOOKUP(A22,'E-Mail BD'!B:B,'E-Mail BD'!A:A),"-")</f>
        <v>050.893.355/0001-25</v>
      </c>
      <c r="E22" s="2" t="str">
        <f t="shared" si="0"/>
        <v>50893355000125</v>
      </c>
    </row>
    <row r="23" spans="1:5" x14ac:dyDescent="0.25">
      <c r="A23" t="s">
        <v>115</v>
      </c>
      <c r="B23" t="s">
        <v>6</v>
      </c>
      <c r="C23" s="12">
        <f>IF(A23=""," ",IF(_xlfn.MINIFS('E-Mail BD'!D:D,'E-Mail BD'!B:B,A23)=0,"NÃO APARECEU AINDA",_xlfn.MINIFS('E-Mail BD'!D:D,'E-Mail BD'!B:B,A23)))</f>
        <v>45541</v>
      </c>
      <c r="D23" t="str">
        <f>IFERROR(_xlfn.XLOOKUP(A23,'E-Mail BD'!B:B,'E-Mail BD'!A:A),"-")</f>
        <v>009.171.140/0001-05</v>
      </c>
      <c r="E23" s="2" t="str">
        <f t="shared" si="0"/>
        <v>09171140000105</v>
      </c>
    </row>
    <row r="24" spans="1:5" x14ac:dyDescent="0.25">
      <c r="A24" t="s">
        <v>268</v>
      </c>
      <c r="B24" t="s">
        <v>19</v>
      </c>
      <c r="C24" s="12">
        <f>IF(A24=""," ",IF(_xlfn.MINIFS('E-Mail BD'!D:D,'E-Mail BD'!B:B,A24)=0,"NÃO APARECEU AINDA",_xlfn.MINIFS('E-Mail BD'!D:D,'E-Mail BD'!B:B,A24)))</f>
        <v>45770</v>
      </c>
      <c r="D24" t="str">
        <f>IFERROR(_xlfn.XLOOKUP(A24,'E-Mail BD'!B:B,'E-Mail BD'!A:A),"-")</f>
        <v>049.344.344/0001-07</v>
      </c>
      <c r="E24" s="2" t="str">
        <f t="shared" si="0"/>
        <v>49344344000107</v>
      </c>
    </row>
    <row r="25" spans="1:5" x14ac:dyDescent="0.25">
      <c r="A25" t="s">
        <v>305</v>
      </c>
      <c r="B25" t="s">
        <v>29</v>
      </c>
      <c r="C25" s="12">
        <f>IF(A25=""," ",IF(_xlfn.MINIFS('E-Mail BD'!D:D,'E-Mail BD'!B:B,A25)=0,"NÃO APARECEU AINDA",_xlfn.MINIFS('E-Mail BD'!D:D,'E-Mail BD'!B:B,A25)))</f>
        <v>45804</v>
      </c>
      <c r="D25" t="str">
        <f>IFERROR(_xlfn.XLOOKUP(A25,'E-Mail BD'!B:B,'E-Mail BD'!A:A),"-")</f>
        <v>021.285.266/0001-06</v>
      </c>
      <c r="E25" s="2" t="str">
        <f t="shared" si="0"/>
        <v>21285266000106</v>
      </c>
    </row>
    <row r="26" spans="1:5" x14ac:dyDescent="0.25">
      <c r="A26" t="s">
        <v>266</v>
      </c>
      <c r="B26" t="s">
        <v>21</v>
      </c>
      <c r="C26" s="12">
        <f>IF(A26=""," ",IF(_xlfn.MINIFS('E-Mail BD'!D:D,'E-Mail BD'!B:B,A26)=0,"NÃO APARECEU AINDA",_xlfn.MINIFS('E-Mail BD'!D:D,'E-Mail BD'!B:B,A26)))</f>
        <v>45764</v>
      </c>
      <c r="D26" t="str">
        <f>IFERROR(_xlfn.XLOOKUP(A26,'E-Mail BD'!B:B,'E-Mail BD'!A:A),"-")</f>
        <v>028.695.654/0001-04</v>
      </c>
      <c r="E26" s="2" t="str">
        <f t="shared" si="0"/>
        <v>28695654000104</v>
      </c>
    </row>
    <row r="27" spans="1:5" x14ac:dyDescent="0.25">
      <c r="A27" t="s">
        <v>89</v>
      </c>
      <c r="B27" t="s">
        <v>43</v>
      </c>
      <c r="C27" s="12">
        <f>IF(A27=""," ",IF(_xlfn.MINIFS('E-Mail BD'!D:D,'E-Mail BD'!B:B,A27)=0,"NÃO APARECEU AINDA",_xlfn.MINIFS('E-Mail BD'!D:D,'E-Mail BD'!B:B,A27)))</f>
        <v>45537</v>
      </c>
      <c r="D27" t="str">
        <f>IFERROR(_xlfn.XLOOKUP(A27,'E-Mail BD'!B:B,'E-Mail BD'!A:A),"-")</f>
        <v>003.929.683/0001-54</v>
      </c>
      <c r="E27" s="2" t="str">
        <f t="shared" si="0"/>
        <v>03929683000154</v>
      </c>
    </row>
    <row r="28" spans="1:5" x14ac:dyDescent="0.25">
      <c r="A28" t="s">
        <v>281</v>
      </c>
      <c r="B28" t="s">
        <v>20</v>
      </c>
      <c r="C28" s="12">
        <f>IF(A28=""," ",IF(_xlfn.MINIFS('E-Mail BD'!D:D,'E-Mail BD'!B:B,A28)=0,"NÃO APARECEU AINDA",_xlfn.MINIFS('E-Mail BD'!D:D,'E-Mail BD'!B:B,A28)))</f>
        <v>45784</v>
      </c>
      <c r="D28" t="str">
        <f>IFERROR(_xlfn.XLOOKUP(A28,'E-Mail BD'!B:B,'E-Mail BD'!A:A),"-")</f>
        <v>086.490.885/0001-70</v>
      </c>
      <c r="E28" s="2" t="str">
        <f t="shared" si="0"/>
        <v>86490885000170</v>
      </c>
    </row>
    <row r="29" spans="1:5" x14ac:dyDescent="0.25">
      <c r="A29" t="s">
        <v>118</v>
      </c>
      <c r="B29" t="s">
        <v>5</v>
      </c>
      <c r="C29" s="12">
        <f>IF(A29=""," ",IF(_xlfn.MINIFS('E-Mail BD'!D:D,'E-Mail BD'!B:B,A29)=0,"NÃO APARECEU AINDA",_xlfn.MINIFS('E-Mail BD'!D:D,'E-Mail BD'!B:B,A29)))</f>
        <v>45544</v>
      </c>
      <c r="D29" t="str">
        <f>IFERROR(_xlfn.XLOOKUP(A29,'E-Mail BD'!B:B,'E-Mail BD'!A:A),"-")</f>
        <v>004.041.192/0001-35</v>
      </c>
      <c r="E29" s="2" t="str">
        <f t="shared" si="0"/>
        <v>04041192000135</v>
      </c>
    </row>
    <row r="30" spans="1:5" x14ac:dyDescent="0.25">
      <c r="A30" t="s">
        <v>591</v>
      </c>
      <c r="B30" t="s">
        <v>5</v>
      </c>
      <c r="C30" s="12" t="str">
        <f>IF(A30=""," ",IF(_xlfn.MINIFS('E-Mail BD'!D:D,'E-Mail BD'!B:B,A30)=0,"NÃO APARECEU AINDA",_xlfn.MINIFS('E-Mail BD'!D:D,'E-Mail BD'!B:B,A30)))</f>
        <v>NÃO APARECEU AINDA</v>
      </c>
      <c r="D30" t="str">
        <f>IFERROR(_xlfn.XLOOKUP(A30,'E-Mail BD'!B:B,'E-Mail BD'!A:A),"-")</f>
        <v>-</v>
      </c>
      <c r="E30" s="2" t="str">
        <f t="shared" si="0"/>
        <v>-</v>
      </c>
    </row>
    <row r="31" spans="1:5" x14ac:dyDescent="0.25">
      <c r="A31" t="s">
        <v>76</v>
      </c>
      <c r="B31" t="s">
        <v>29</v>
      </c>
      <c r="C31" s="12">
        <f>IF(A31=""," ",IF(_xlfn.MINIFS('E-Mail BD'!D:D,'E-Mail BD'!B:B,A31)=0,"NÃO APARECEU AINDA",_xlfn.MINIFS('E-Mail BD'!D:D,'E-Mail BD'!B:B,A31)))</f>
        <v>45819</v>
      </c>
      <c r="D31" t="str">
        <f>IFERROR(_xlfn.XLOOKUP(A31,'E-Mail BD'!B:B,'E-Mail BD'!A:A),"-")</f>
        <v>033.249.279/0001-09</v>
      </c>
      <c r="E31" s="2" t="str">
        <f t="shared" si="0"/>
        <v>33249279000109</v>
      </c>
    </row>
    <row r="32" spans="1:5" x14ac:dyDescent="0.25">
      <c r="A32" t="s">
        <v>279</v>
      </c>
      <c r="B32" t="s">
        <v>8</v>
      </c>
      <c r="C32" s="12">
        <f>IF(A32=""," ",IF(_xlfn.MINIFS('E-Mail BD'!D:D,'E-Mail BD'!B:B,A32)=0,"NÃO APARECEU AINDA",_xlfn.MINIFS('E-Mail BD'!D:D,'E-Mail BD'!B:B,A32)))</f>
        <v>45783</v>
      </c>
      <c r="D32" t="str">
        <f>IFERROR(_xlfn.XLOOKUP(A32,'E-Mail BD'!B:B,'E-Mail BD'!A:A),"-")</f>
        <v>056.146.561/0001-58</v>
      </c>
      <c r="E32" s="2" t="str">
        <f t="shared" si="0"/>
        <v>56146561000158</v>
      </c>
    </row>
    <row r="33" spans="1:5" x14ac:dyDescent="0.25">
      <c r="A33" t="s">
        <v>590</v>
      </c>
      <c r="B33" t="s">
        <v>18</v>
      </c>
      <c r="C33" s="12" t="str">
        <f>IF(A33=""," ",IF(_xlfn.MINIFS('E-Mail BD'!D:D,'E-Mail BD'!B:B,A33)=0,"NÃO APARECEU AINDA",_xlfn.MINIFS('E-Mail BD'!D:D,'E-Mail BD'!B:B,A33)))</f>
        <v>NÃO APARECEU AINDA</v>
      </c>
      <c r="D33" t="str">
        <f>IFERROR(_xlfn.XLOOKUP(A33,'E-Mail BD'!B:B,'E-Mail BD'!A:A),"-")</f>
        <v>-</v>
      </c>
      <c r="E33" s="2" t="str">
        <f t="shared" si="0"/>
        <v>-</v>
      </c>
    </row>
    <row r="34" spans="1:5" x14ac:dyDescent="0.25">
      <c r="A34" t="s">
        <v>254</v>
      </c>
      <c r="B34" t="s">
        <v>8</v>
      </c>
      <c r="C34" s="12">
        <f>IF(A34=""," ",IF(_xlfn.MINIFS('E-Mail BD'!D:D,'E-Mail BD'!B:B,A34)=0,"NÃO APARECEU AINDA",_xlfn.MINIFS('E-Mail BD'!D:D,'E-Mail BD'!B:B,A34)))</f>
        <v>45743</v>
      </c>
      <c r="D34" t="str">
        <f>IFERROR(_xlfn.XLOOKUP(A34,'E-Mail BD'!B:B,'E-Mail BD'!A:A),"-")</f>
        <v>041.388.946/0001-54</v>
      </c>
      <c r="E34" s="2" t="str">
        <f t="shared" si="0"/>
        <v>41388946000154</v>
      </c>
    </row>
    <row r="35" spans="1:5" x14ac:dyDescent="0.25">
      <c r="A35" t="s">
        <v>571</v>
      </c>
      <c r="B35" t="s">
        <v>31</v>
      </c>
      <c r="C35" s="12" t="str">
        <f>IF(A35=""," ",IF(_xlfn.MINIFS('E-Mail BD'!D:D,'E-Mail BD'!B:B,A35)=0,"NÃO APARECEU AINDA",_xlfn.MINIFS('E-Mail BD'!D:D,'E-Mail BD'!B:B,A35)))</f>
        <v>NÃO APARECEU AINDA</v>
      </c>
      <c r="D35" t="str">
        <f>IFERROR(_xlfn.XLOOKUP(A35,'E-Mail BD'!B:B,'E-Mail BD'!A:A),"-")</f>
        <v>-</v>
      </c>
      <c r="E35" s="2" t="str">
        <f t="shared" si="0"/>
        <v>-</v>
      </c>
    </row>
    <row r="36" spans="1:5" x14ac:dyDescent="0.25">
      <c r="A36" t="s">
        <v>275</v>
      </c>
      <c r="B36" t="s">
        <v>28</v>
      </c>
      <c r="C36" s="12">
        <f>IF(A36=""," ",IF(_xlfn.MINIFS('E-Mail BD'!D:D,'E-Mail BD'!B:B,A36)=0,"NÃO APARECEU AINDA",_xlfn.MINIFS('E-Mail BD'!D:D,'E-Mail BD'!B:B,A36)))</f>
        <v>45780</v>
      </c>
      <c r="D36" t="str">
        <f>IFERROR(_xlfn.XLOOKUP(A36,'E-Mail BD'!B:B,'E-Mail BD'!A:A),"-")</f>
        <v>013.323.483/0001-07</v>
      </c>
      <c r="E36" s="2" t="str">
        <f t="shared" si="0"/>
        <v>13323483000107</v>
      </c>
    </row>
    <row r="37" spans="1:5" x14ac:dyDescent="0.25">
      <c r="A37" t="s">
        <v>217</v>
      </c>
      <c r="B37" t="s">
        <v>20</v>
      </c>
      <c r="C37" s="12">
        <f>IF(A37=""," ",IF(_xlfn.MINIFS('E-Mail BD'!D:D,'E-Mail BD'!B:B,A37)=0,"NÃO APARECEU AINDA",_xlfn.MINIFS('E-Mail BD'!D:D,'E-Mail BD'!B:B,A37)))</f>
        <v>45679</v>
      </c>
      <c r="D37" t="str">
        <f>IFERROR(_xlfn.XLOOKUP(A37,'E-Mail BD'!B:B,'E-Mail BD'!A:A),"-")</f>
        <v>066.209.362/0001-03</v>
      </c>
      <c r="E37" s="2" t="str">
        <f t="shared" si="0"/>
        <v>66209362000103</v>
      </c>
    </row>
    <row r="38" spans="1:5" x14ac:dyDescent="0.25">
      <c r="A38" t="s">
        <v>302</v>
      </c>
      <c r="B38" t="s">
        <v>19</v>
      </c>
      <c r="C38" s="12">
        <f>IF(A38=""," ",IF(_xlfn.MINIFS('E-Mail BD'!D:D,'E-Mail BD'!B:B,A38)=0,"NÃO APARECEU AINDA",_xlfn.MINIFS('E-Mail BD'!D:D,'E-Mail BD'!B:B,A38)))</f>
        <v>45800</v>
      </c>
      <c r="D38" t="str">
        <f>IFERROR(_xlfn.XLOOKUP(A38,'E-Mail BD'!B:B,'E-Mail BD'!A:A),"-")</f>
        <v>018.498.459/0001-22</v>
      </c>
      <c r="E38" s="2" t="str">
        <f t="shared" si="0"/>
        <v>18498459000122</v>
      </c>
    </row>
    <row r="39" spans="1:5" x14ac:dyDescent="0.25">
      <c r="A39" t="s">
        <v>593</v>
      </c>
      <c r="B39" t="s">
        <v>8</v>
      </c>
      <c r="C39" s="12" t="str">
        <f>IF(A39=""," ",IF(_xlfn.MINIFS('E-Mail BD'!D:D,'E-Mail BD'!B:B,A39)=0,"NÃO APARECEU AINDA",_xlfn.MINIFS('E-Mail BD'!D:D,'E-Mail BD'!B:B,A39)))</f>
        <v>NÃO APARECEU AINDA</v>
      </c>
      <c r="D39" t="str">
        <f>IFERROR(_xlfn.XLOOKUP(A39,'E-Mail BD'!B:B,'E-Mail BD'!A:A),"-")</f>
        <v>-</v>
      </c>
      <c r="E39" s="2" t="str">
        <f t="shared" si="0"/>
        <v>-</v>
      </c>
    </row>
    <row r="40" spans="1:5" x14ac:dyDescent="0.25">
      <c r="A40" t="s">
        <v>88</v>
      </c>
      <c r="B40" t="s">
        <v>42</v>
      </c>
      <c r="C40" s="12">
        <f>IF(A40=""," ",IF(_xlfn.MINIFS('E-Mail BD'!D:D,'E-Mail BD'!B:B,A40)=0,"NÃO APARECEU AINDA",_xlfn.MINIFS('E-Mail BD'!D:D,'E-Mail BD'!B:B,A40)))</f>
        <v>45537</v>
      </c>
      <c r="D40" t="str">
        <f>IFERROR(_xlfn.XLOOKUP(A40,'E-Mail BD'!B:B,'E-Mail BD'!A:A),"-")</f>
        <v>008.712.271/0001-81</v>
      </c>
      <c r="E40" s="2" t="str">
        <f t="shared" si="0"/>
        <v>08712271000181</v>
      </c>
    </row>
    <row r="41" spans="1:5" x14ac:dyDescent="0.25">
      <c r="A41" t="s">
        <v>610</v>
      </c>
      <c r="B41" t="s">
        <v>31</v>
      </c>
      <c r="C41" s="12" t="str">
        <f>IF(A41=""," ",IF(_xlfn.MINIFS('E-Mail BD'!D:D,'E-Mail BD'!B:B,A41)=0,"NÃO APARECEU AINDA",_xlfn.MINIFS('E-Mail BD'!D:D,'E-Mail BD'!B:B,A41)))</f>
        <v>NÃO APARECEU AINDA</v>
      </c>
      <c r="D41" t="str">
        <f>IFERROR(_xlfn.XLOOKUP(A41,'E-Mail BD'!B:B,'E-Mail BD'!A:A),"-")</f>
        <v>-</v>
      </c>
      <c r="E41" s="2" t="str">
        <f t="shared" si="0"/>
        <v>-</v>
      </c>
    </row>
    <row r="42" spans="1:5" x14ac:dyDescent="0.25">
      <c r="A42" t="s">
        <v>129</v>
      </c>
      <c r="B42" t="s">
        <v>25</v>
      </c>
      <c r="C42" s="12">
        <f>IF(A42=""," ",IF(_xlfn.MINIFS('E-Mail BD'!D:D,'E-Mail BD'!B:B,A42)=0,"NÃO APARECEU AINDA",_xlfn.MINIFS('E-Mail BD'!D:D,'E-Mail BD'!B:B,A42)))</f>
        <v>45545</v>
      </c>
      <c r="D42" t="str">
        <f>IFERROR(_xlfn.XLOOKUP(A42,'E-Mail BD'!B:B,'E-Mail BD'!A:A),"-")</f>
        <v>071.350.797/0001-03</v>
      </c>
      <c r="E42" s="2" t="str">
        <f t="shared" si="0"/>
        <v>71350797000103</v>
      </c>
    </row>
    <row r="43" spans="1:5" x14ac:dyDescent="0.25">
      <c r="A43" t="s">
        <v>588</v>
      </c>
      <c r="B43" t="s">
        <v>8</v>
      </c>
      <c r="C43" s="12" t="str">
        <f>IF(A43=""," ",IF(_xlfn.MINIFS('E-Mail BD'!D:D,'E-Mail BD'!B:B,A43)=0,"NÃO APARECEU AINDA",_xlfn.MINIFS('E-Mail BD'!D:D,'E-Mail BD'!B:B,A43)))</f>
        <v>NÃO APARECEU AINDA</v>
      </c>
      <c r="D43" t="str">
        <f>IFERROR(_xlfn.XLOOKUP(A43,'E-Mail BD'!B:B,'E-Mail BD'!A:A),"-")</f>
        <v>-</v>
      </c>
      <c r="E43" s="2" t="str">
        <f t="shared" si="0"/>
        <v>-</v>
      </c>
    </row>
    <row r="44" spans="1:5" x14ac:dyDescent="0.25">
      <c r="A44" t="s">
        <v>194</v>
      </c>
      <c r="B44" t="s">
        <v>19</v>
      </c>
      <c r="C44" s="12">
        <f>IF(A44=""," ",IF(_xlfn.MINIFS('E-Mail BD'!D:D,'E-Mail BD'!B:B,A44)=0,"NÃO APARECEU AINDA",_xlfn.MINIFS('E-Mail BD'!D:D,'E-Mail BD'!B:B,A44)))</f>
        <v>45609</v>
      </c>
      <c r="D44" t="str">
        <f>IFERROR(_xlfn.XLOOKUP(A44,'E-Mail BD'!B:B,'E-Mail BD'!A:A),"-")</f>
        <v>026.988.940/0001-24</v>
      </c>
      <c r="E44" s="2" t="str">
        <f t="shared" si="0"/>
        <v>26988940000124</v>
      </c>
    </row>
    <row r="45" spans="1:5" x14ac:dyDescent="0.25">
      <c r="A45" t="s">
        <v>90</v>
      </c>
      <c r="B45" t="s">
        <v>15</v>
      </c>
      <c r="C45" s="12">
        <f>IF(A45=""," ",IF(_xlfn.MINIFS('E-Mail BD'!D:D,'E-Mail BD'!B:B,A45)=0,"NÃO APARECEU AINDA",_xlfn.MINIFS('E-Mail BD'!D:D,'E-Mail BD'!B:B,A45)))</f>
        <v>45537</v>
      </c>
      <c r="D45" t="str">
        <f>IFERROR(_xlfn.XLOOKUP(A45,'E-Mail BD'!B:B,'E-Mail BD'!A:A),"-")</f>
        <v>036.382.501/0001-27</v>
      </c>
      <c r="E45" s="2" t="str">
        <f t="shared" si="0"/>
        <v>36382501000127</v>
      </c>
    </row>
    <row r="46" spans="1:5" x14ac:dyDescent="0.25">
      <c r="A46" t="s">
        <v>65</v>
      </c>
      <c r="B46" t="s">
        <v>5</v>
      </c>
      <c r="C46" s="12">
        <f>IF(A46=""," ",IF(_xlfn.MINIFS('E-Mail BD'!D:D,'E-Mail BD'!B:B,A46)=0,"NÃO APARECEU AINDA",_xlfn.MINIFS('E-Mail BD'!D:D,'E-Mail BD'!B:B,A46)))</f>
        <v>45784</v>
      </c>
      <c r="D46" t="str">
        <f>IFERROR(_xlfn.XLOOKUP(A46,'E-Mail BD'!B:B,'E-Mail BD'!A:A),"-")</f>
        <v>021.382.943/0001-04</v>
      </c>
      <c r="E46" s="2" t="str">
        <f t="shared" si="0"/>
        <v>21382943000104</v>
      </c>
    </row>
    <row r="47" spans="1:5" x14ac:dyDescent="0.25">
      <c r="A47" t="s">
        <v>85</v>
      </c>
      <c r="B47" t="s">
        <v>5</v>
      </c>
      <c r="C47" s="12">
        <f>IF(A47=""," ",IF(_xlfn.MINIFS('E-Mail BD'!D:D,'E-Mail BD'!B:B,A47)=0,"NÃO APARECEU AINDA",_xlfn.MINIFS('E-Mail BD'!D:D,'E-Mail BD'!B:B,A47)))</f>
        <v>45537</v>
      </c>
      <c r="D47" t="str">
        <f>IFERROR(_xlfn.XLOOKUP(A47,'E-Mail BD'!B:B,'E-Mail BD'!A:A),"-")</f>
        <v>016.772.642/0001-49</v>
      </c>
      <c r="E47" s="2" t="str">
        <f t="shared" si="0"/>
        <v>16772642000149</v>
      </c>
    </row>
    <row r="48" spans="1:5" x14ac:dyDescent="0.25">
      <c r="A48" t="s">
        <v>151</v>
      </c>
      <c r="B48" t="s">
        <v>5</v>
      </c>
      <c r="C48" s="12">
        <f>IF(A48=""," ",IF(_xlfn.MINIFS('E-Mail BD'!D:D,'E-Mail BD'!B:B,A48)=0,"NÃO APARECEU AINDA",_xlfn.MINIFS('E-Mail BD'!D:D,'E-Mail BD'!B:B,A48)))</f>
        <v>45560</v>
      </c>
      <c r="D48" t="str">
        <f>IFERROR(_xlfn.XLOOKUP(A48,'E-Mail BD'!B:B,'E-Mail BD'!A:A),"-")</f>
        <v>016.772.642/0001-49</v>
      </c>
      <c r="E48" s="2" t="str">
        <f t="shared" si="0"/>
        <v>16772642000149</v>
      </c>
    </row>
    <row r="49" spans="1:5" x14ac:dyDescent="0.25">
      <c r="A49" t="s">
        <v>297</v>
      </c>
      <c r="B49" t="s">
        <v>28</v>
      </c>
      <c r="C49" s="12">
        <f>IF(A49=""," ",IF(_xlfn.MINIFS('E-Mail BD'!D:D,'E-Mail BD'!B:B,A49)=0,"NÃO APARECEU AINDA",_xlfn.MINIFS('E-Mail BD'!D:D,'E-Mail BD'!B:B,A49)))</f>
        <v>45797</v>
      </c>
      <c r="D49" t="str">
        <f>IFERROR(_xlfn.XLOOKUP(A49,'E-Mail BD'!B:B,'E-Mail BD'!A:A),"-")</f>
        <v>002.862.437/0001-60</v>
      </c>
      <c r="E49" s="2" t="str">
        <f t="shared" si="0"/>
        <v>02862437000160</v>
      </c>
    </row>
    <row r="50" spans="1:5" x14ac:dyDescent="0.25">
      <c r="A50" t="s">
        <v>597</v>
      </c>
      <c r="B50" t="s">
        <v>28</v>
      </c>
      <c r="C50" s="12">
        <f>IF(A50=""," ",IF(_xlfn.MINIFS('E-Mail BD'!D:D,'E-Mail BD'!B:B,A50)=0,"NÃO APARECEU AINDA",_xlfn.MINIFS('E-Mail BD'!D:D,'E-Mail BD'!B:B,A50)))</f>
        <v>45827</v>
      </c>
      <c r="D50" t="str">
        <f>IFERROR(_xlfn.XLOOKUP(A50,'E-Mail BD'!B:B,'E-Mail BD'!A:A),"-")</f>
        <v>013.918.473/0001-14</v>
      </c>
      <c r="E50" s="2" t="str">
        <f t="shared" si="0"/>
        <v>13918473000114</v>
      </c>
    </row>
    <row r="51" spans="1:5" x14ac:dyDescent="0.25">
      <c r="A51" t="s">
        <v>193</v>
      </c>
      <c r="B51" t="s">
        <v>5</v>
      </c>
      <c r="C51" s="12">
        <f>IF(A51=""," ",IF(_xlfn.MINIFS('E-Mail BD'!D:D,'E-Mail BD'!B:B,A51)=0,"NÃO APARECEU AINDA",_xlfn.MINIFS('E-Mail BD'!D:D,'E-Mail BD'!B:B,A51)))</f>
        <v>45604</v>
      </c>
      <c r="D51" t="str">
        <f>IFERROR(_xlfn.XLOOKUP(A51,'E-Mail BD'!B:B,'E-Mail BD'!A:A),"-")</f>
        <v>044.032.421/0001-70</v>
      </c>
      <c r="E51" s="2" t="str">
        <f t="shared" si="0"/>
        <v>44032421000170</v>
      </c>
    </row>
    <row r="52" spans="1:5" x14ac:dyDescent="0.25">
      <c r="A52" t="s">
        <v>562</v>
      </c>
      <c r="B52" t="s">
        <v>31</v>
      </c>
      <c r="C52" s="12" t="str">
        <f>IF(A52=""," ",IF(_xlfn.MINIFS('E-Mail BD'!D:D,'E-Mail BD'!B:B,A52)=0,"NÃO APARECEU AINDA",_xlfn.MINIFS('E-Mail BD'!D:D,'E-Mail BD'!B:B,A52)))</f>
        <v>NÃO APARECEU AINDA</v>
      </c>
      <c r="D52" t="str">
        <f>IFERROR(_xlfn.XLOOKUP(A52,'E-Mail BD'!B:B,'E-Mail BD'!A:A),"-")</f>
        <v>-</v>
      </c>
      <c r="E52" s="2" t="str">
        <f t="shared" si="0"/>
        <v>-</v>
      </c>
    </row>
    <row r="53" spans="1:5" x14ac:dyDescent="0.25">
      <c r="A53" t="s">
        <v>257</v>
      </c>
      <c r="B53" t="s">
        <v>25</v>
      </c>
      <c r="C53" s="12">
        <f>IF(A53=""," ",IF(_xlfn.MINIFS('E-Mail BD'!D:D,'E-Mail BD'!B:B,A53)=0,"NÃO APARECEU AINDA",_xlfn.MINIFS('E-Mail BD'!D:D,'E-Mail BD'!B:B,A53)))</f>
        <v>45748</v>
      </c>
      <c r="D53" t="str">
        <f>IFERROR(_xlfn.XLOOKUP(A53,'E-Mail BD'!B:B,'E-Mail BD'!A:A),"-")</f>
        <v>022.143.692/0001-60</v>
      </c>
      <c r="E53" s="2" t="str">
        <f t="shared" si="0"/>
        <v>22143692000160</v>
      </c>
    </row>
    <row r="54" spans="1:5" x14ac:dyDescent="0.25">
      <c r="A54" t="s">
        <v>586</v>
      </c>
      <c r="B54" t="s">
        <v>9</v>
      </c>
      <c r="C54" s="12" t="str">
        <f>IF(A54=""," ",IF(_xlfn.MINIFS('E-Mail BD'!D:D,'E-Mail BD'!B:B,A54)=0,"NÃO APARECEU AINDA",_xlfn.MINIFS('E-Mail BD'!D:D,'E-Mail BD'!B:B,A54)))</f>
        <v>NÃO APARECEU AINDA</v>
      </c>
      <c r="D54" t="str">
        <f>IFERROR(_xlfn.XLOOKUP(A54,'E-Mail BD'!B:B,'E-Mail BD'!A:A),"-")</f>
        <v>-</v>
      </c>
      <c r="E54" s="2" t="str">
        <f t="shared" si="0"/>
        <v>-</v>
      </c>
    </row>
    <row r="55" spans="1:5" x14ac:dyDescent="0.25">
      <c r="A55" t="s">
        <v>289</v>
      </c>
      <c r="B55" t="s">
        <v>27</v>
      </c>
      <c r="C55" s="12">
        <f>IF(A55=""," ",IF(_xlfn.MINIFS('E-Mail BD'!D:D,'E-Mail BD'!B:B,A55)=0,"NÃO APARECEU AINDA",_xlfn.MINIFS('E-Mail BD'!D:D,'E-Mail BD'!B:B,A55)))</f>
        <v>45793</v>
      </c>
      <c r="D55" t="str">
        <f>IFERROR(_xlfn.XLOOKUP(A55,'E-Mail BD'!B:B,'E-Mail BD'!A:A),"-")</f>
        <v>032.781.707/0001-79</v>
      </c>
      <c r="E55" s="2" t="str">
        <f t="shared" si="0"/>
        <v>32781707000179</v>
      </c>
    </row>
    <row r="56" spans="1:5" x14ac:dyDescent="0.25">
      <c r="A56" t="s">
        <v>298</v>
      </c>
      <c r="B56" t="s">
        <v>27</v>
      </c>
      <c r="C56" s="12">
        <f>IF(A56=""," ",IF(_xlfn.MINIFS('E-Mail BD'!D:D,'E-Mail BD'!B:B,A56)=0,"NÃO APARECEU AINDA",_xlfn.MINIFS('E-Mail BD'!D:D,'E-Mail BD'!B:B,A56)))</f>
        <v>45799</v>
      </c>
      <c r="D56" t="str">
        <f>IFERROR(_xlfn.XLOOKUP(A56,'E-Mail BD'!B:B,'E-Mail BD'!A:A),"-")</f>
        <v>021.458.691/0001-41</v>
      </c>
      <c r="E56" s="2" t="str">
        <f t="shared" si="0"/>
        <v>21458691000141</v>
      </c>
    </row>
    <row r="57" spans="1:5" x14ac:dyDescent="0.25">
      <c r="A57" t="s">
        <v>95</v>
      </c>
      <c r="B57" t="s">
        <v>18</v>
      </c>
      <c r="C57" s="12">
        <f>IF(A57=""," ",IF(_xlfn.MINIFS('E-Mail BD'!D:D,'E-Mail BD'!B:B,A57)=0,"NÃO APARECEU AINDA",_xlfn.MINIFS('E-Mail BD'!D:D,'E-Mail BD'!B:B,A57)))</f>
        <v>45537</v>
      </c>
      <c r="D57" t="str">
        <f>IFERROR(_xlfn.XLOOKUP(A57,'E-Mail BD'!B:B,'E-Mail BD'!A:A),"-")</f>
        <v>012.299.369/0001-26</v>
      </c>
      <c r="E57" s="2" t="str">
        <f t="shared" si="0"/>
        <v>12299369000126</v>
      </c>
    </row>
    <row r="58" spans="1:5" x14ac:dyDescent="0.25">
      <c r="A58" t="s">
        <v>229</v>
      </c>
      <c r="B58" t="s">
        <v>5</v>
      </c>
      <c r="C58" s="12">
        <f>IF(A58=""," ",IF(_xlfn.MINIFS('E-Mail BD'!D:D,'E-Mail BD'!B:B,A58)=0,"NÃO APARECEU AINDA",_xlfn.MINIFS('E-Mail BD'!D:D,'E-Mail BD'!B:B,A58)))</f>
        <v>45686</v>
      </c>
      <c r="D58" t="str">
        <f>IFERROR(_xlfn.XLOOKUP(A58,'E-Mail BD'!B:B,'E-Mail BD'!A:A),"-")</f>
        <v>038.185.478/0001-06</v>
      </c>
      <c r="E58" s="2" t="str">
        <f t="shared" si="0"/>
        <v>38185478000106</v>
      </c>
    </row>
    <row r="59" spans="1:5" x14ac:dyDescent="0.25">
      <c r="A59" t="s">
        <v>200</v>
      </c>
      <c r="B59" t="s">
        <v>8</v>
      </c>
      <c r="C59" s="12">
        <f>IF(A59=""," ",IF(_xlfn.MINIFS('E-Mail BD'!D:D,'E-Mail BD'!B:B,A59)=0,"NÃO APARECEU AINDA",_xlfn.MINIFS('E-Mail BD'!D:D,'E-Mail BD'!B:B,A59)))</f>
        <v>45647</v>
      </c>
      <c r="D59" t="str">
        <f>IFERROR(_xlfn.XLOOKUP(A59,'E-Mail BD'!B:B,'E-Mail BD'!A:A),"-")</f>
        <v>028.556.973/0001-20</v>
      </c>
      <c r="E59" s="2" t="str">
        <f t="shared" si="0"/>
        <v>28556973000120</v>
      </c>
    </row>
    <row r="60" spans="1:5" x14ac:dyDescent="0.25">
      <c r="A60" t="s">
        <v>260</v>
      </c>
      <c r="B60" t="s">
        <v>20</v>
      </c>
      <c r="C60" s="12">
        <f>IF(A60=""," ",IF(_xlfn.MINIFS('E-Mail BD'!D:D,'E-Mail BD'!B:B,A60)=0,"NÃO APARECEU AINDA",_xlfn.MINIFS('E-Mail BD'!D:D,'E-Mail BD'!B:B,A60)))</f>
        <v>45754</v>
      </c>
      <c r="D60" t="str">
        <f>IFERROR(_xlfn.XLOOKUP(A60,'E-Mail BD'!B:B,'E-Mail BD'!A:A),"-")</f>
        <v>018.709.981/0001-06</v>
      </c>
      <c r="E60" s="2" t="str">
        <f t="shared" si="0"/>
        <v>18709981000106</v>
      </c>
    </row>
    <row r="61" spans="1:5" x14ac:dyDescent="0.25">
      <c r="A61" t="s">
        <v>226</v>
      </c>
      <c r="B61" t="s">
        <v>12</v>
      </c>
      <c r="C61" s="12">
        <f>IF(A61=""," ",IF(_xlfn.MINIFS('E-Mail BD'!D:D,'E-Mail BD'!B:B,A61)=0,"NÃO APARECEU AINDA",_xlfn.MINIFS('E-Mail BD'!D:D,'E-Mail BD'!B:B,A61)))</f>
        <v>45685</v>
      </c>
      <c r="D61" t="str">
        <f>IFERROR(_xlfn.XLOOKUP(A61,'E-Mail BD'!B:B,'E-Mail BD'!A:A),"-")</f>
        <v>030.272.056/0001-66</v>
      </c>
      <c r="E61" s="2" t="str">
        <f t="shared" si="0"/>
        <v>30272056000166</v>
      </c>
    </row>
    <row r="62" spans="1:5" x14ac:dyDescent="0.25">
      <c r="A62" t="s">
        <v>105</v>
      </c>
      <c r="B62" t="s">
        <v>5</v>
      </c>
      <c r="C62" s="12">
        <f>IF(A62=""," ",IF(_xlfn.MINIFS('E-Mail BD'!D:D,'E-Mail BD'!B:B,A62)=0,"NÃO APARECEU AINDA",_xlfn.MINIFS('E-Mail BD'!D:D,'E-Mail BD'!B:B,A62)))</f>
        <v>45539</v>
      </c>
      <c r="D62" t="str">
        <f>IFERROR(_xlfn.XLOOKUP(A62,'E-Mail BD'!B:B,'E-Mail BD'!A:A),"-")</f>
        <v>034.964.228/0001-13</v>
      </c>
      <c r="E62" s="2" t="str">
        <f t="shared" si="0"/>
        <v>34964228000113</v>
      </c>
    </row>
    <row r="63" spans="1:5" x14ac:dyDescent="0.25">
      <c r="A63" t="s">
        <v>67</v>
      </c>
      <c r="B63" t="s">
        <v>14</v>
      </c>
      <c r="C63" s="12">
        <f>IF(A63=""," ",IF(_xlfn.MINIFS('E-Mail BD'!D:D,'E-Mail BD'!B:B,A63)=0,"NÃO APARECEU AINDA",_xlfn.MINIFS('E-Mail BD'!D:D,'E-Mail BD'!B:B,A63)))</f>
        <v>45537</v>
      </c>
      <c r="D63" t="str">
        <f>IFERROR(_xlfn.XLOOKUP(A63,'E-Mail BD'!B:B,'E-Mail BD'!A:A),"-")</f>
        <v>025.825.654/0001-85</v>
      </c>
      <c r="E63" s="2" t="str">
        <f t="shared" si="0"/>
        <v>25825654000185</v>
      </c>
    </row>
    <row r="64" spans="1:5" x14ac:dyDescent="0.25">
      <c r="A64" t="s">
        <v>212</v>
      </c>
      <c r="B64" t="s">
        <v>14</v>
      </c>
      <c r="C64" s="12">
        <f>IF(A64=""," ",IF(_xlfn.MINIFS('E-Mail BD'!D:D,'E-Mail BD'!B:B,A64)=0,"NÃO APARECEU AINDA",_xlfn.MINIFS('E-Mail BD'!D:D,'E-Mail BD'!B:B,A64)))</f>
        <v>45678</v>
      </c>
      <c r="D64" t="str">
        <f>IFERROR(_xlfn.XLOOKUP(A64,'E-Mail BD'!B:B,'E-Mail BD'!A:A),"-")</f>
        <v>018.608.055/0001-44</v>
      </c>
      <c r="E64" s="2" t="str">
        <f t="shared" si="0"/>
        <v>18608055000144</v>
      </c>
    </row>
    <row r="65" spans="1:5" x14ac:dyDescent="0.25">
      <c r="A65" t="s">
        <v>284</v>
      </c>
      <c r="B65" t="s">
        <v>29</v>
      </c>
      <c r="C65" s="12">
        <f>IF(A65=""," ",IF(_xlfn.MINIFS('E-Mail BD'!D:D,'E-Mail BD'!B:B,A65)=0,"NÃO APARECEU AINDA",_xlfn.MINIFS('E-Mail BD'!D:D,'E-Mail BD'!B:B,A65)))</f>
        <v>45790</v>
      </c>
      <c r="D65" t="str">
        <f>IFERROR(_xlfn.XLOOKUP(A65,'E-Mail BD'!B:B,'E-Mail BD'!A:A),"-")</f>
        <v>032.552.159/0001-05</v>
      </c>
      <c r="E65" s="2" t="str">
        <f t="shared" si="0"/>
        <v>32552159000105</v>
      </c>
    </row>
    <row r="66" spans="1:5" x14ac:dyDescent="0.25">
      <c r="A66" t="s">
        <v>282</v>
      </c>
      <c r="B66" t="s">
        <v>29</v>
      </c>
      <c r="C66" s="12">
        <f>IF(A66=""," ",IF(_xlfn.MINIFS('E-Mail BD'!D:D,'E-Mail BD'!B:B,A66)=0,"NÃO APARECEU AINDA",_xlfn.MINIFS('E-Mail BD'!D:D,'E-Mail BD'!B:B,A66)))</f>
        <v>45787</v>
      </c>
      <c r="D66" t="str">
        <f>IFERROR(_xlfn.XLOOKUP(A66,'E-Mail BD'!B:B,'E-Mail BD'!A:A),"-")</f>
        <v>020.242.216/0001-70</v>
      </c>
      <c r="E66" s="2" t="str">
        <f t="shared" ref="E66:E129" si="1">IF(RIGHT(SUBSTITUTE(SUBSTITUTE(SUBSTITUTE(D66,".",""),"/",""),"-",""),14)="","-",RIGHT(SUBSTITUTE(SUBSTITUTE(SUBSTITUTE(D66,".",""),"/",""),"-",""),14))</f>
        <v>20242216000170</v>
      </c>
    </row>
    <row r="67" spans="1:5" x14ac:dyDescent="0.25">
      <c r="A67" t="s">
        <v>300</v>
      </c>
      <c r="B67" t="s">
        <v>31</v>
      </c>
      <c r="C67" s="12">
        <f>IF(A67=""," ",IF(_xlfn.MINIFS('E-Mail BD'!D:D,'E-Mail BD'!B:B,A67)=0,"NÃO APARECEU AINDA",_xlfn.MINIFS('E-Mail BD'!D:D,'E-Mail BD'!B:B,A67)))</f>
        <v>45799</v>
      </c>
      <c r="D67" t="str">
        <f>IFERROR(_xlfn.XLOOKUP(A67,'E-Mail BD'!B:B,'E-Mail BD'!A:A),"-")</f>
        <v>005.281.194/0001-64</v>
      </c>
      <c r="E67" s="2" t="str">
        <f t="shared" si="1"/>
        <v>05281194000164</v>
      </c>
    </row>
    <row r="68" spans="1:5" x14ac:dyDescent="0.25">
      <c r="A68" t="s">
        <v>545</v>
      </c>
      <c r="B68" t="s">
        <v>634</v>
      </c>
      <c r="C68" s="12">
        <f>IF(A68=""," ",IF(_xlfn.MINIFS('E-Mail BD'!D:D,'E-Mail BD'!B:B,A68)=0,"NÃO APARECEU AINDA",_xlfn.MINIFS('E-Mail BD'!D:D,'E-Mail BD'!B:B,A68)))</f>
        <v>45836</v>
      </c>
      <c r="D68" t="str">
        <f>IFERROR(_xlfn.XLOOKUP(A68,'E-Mail BD'!B:B,'E-Mail BD'!A:A),"-")</f>
        <v>031.743.464/0001-11</v>
      </c>
      <c r="E68" s="2" t="str">
        <f t="shared" si="1"/>
        <v>31743464000111</v>
      </c>
    </row>
    <row r="69" spans="1:5" x14ac:dyDescent="0.25">
      <c r="A69" t="s">
        <v>180</v>
      </c>
      <c r="B69" t="s">
        <v>16</v>
      </c>
      <c r="C69" s="12">
        <f>IF(A69=""," ",IF(_xlfn.MINIFS('E-Mail BD'!D:D,'E-Mail BD'!B:B,A69)=0,"NÃO APARECEU AINDA",_xlfn.MINIFS('E-Mail BD'!D:D,'E-Mail BD'!B:B,A69)))</f>
        <v>45586</v>
      </c>
      <c r="D69" t="str">
        <f>IFERROR(_xlfn.XLOOKUP(A69,'E-Mail BD'!B:B,'E-Mail BD'!A:A),"-")</f>
        <v>000.987.236/0001-63</v>
      </c>
      <c r="E69" s="2" t="str">
        <f t="shared" si="1"/>
        <v>00987236000163</v>
      </c>
    </row>
    <row r="70" spans="1:5" x14ac:dyDescent="0.25">
      <c r="A70" t="s">
        <v>589</v>
      </c>
      <c r="B70" t="s">
        <v>5</v>
      </c>
      <c r="C70" s="12" t="str">
        <f>IF(A70=""," ",IF(_xlfn.MINIFS('E-Mail BD'!D:D,'E-Mail BD'!B:B,A70)=0,"NÃO APARECEU AINDA",_xlfn.MINIFS('E-Mail BD'!D:D,'E-Mail BD'!B:B,A70)))</f>
        <v>NÃO APARECEU AINDA</v>
      </c>
      <c r="D70" t="str">
        <f>IFERROR(_xlfn.XLOOKUP(A70,'E-Mail BD'!B:B,'E-Mail BD'!A:A),"-")</f>
        <v>-</v>
      </c>
      <c r="E70" s="2" t="str">
        <f t="shared" si="1"/>
        <v>-</v>
      </c>
    </row>
    <row r="71" spans="1:5" x14ac:dyDescent="0.25">
      <c r="A71" t="s">
        <v>270</v>
      </c>
      <c r="B71" t="s">
        <v>18</v>
      </c>
      <c r="C71" s="12">
        <f>IF(A71=""," ",IF(_xlfn.MINIFS('E-Mail BD'!D:D,'E-Mail BD'!B:B,A71)=0,"NÃO APARECEU AINDA",_xlfn.MINIFS('E-Mail BD'!D:D,'E-Mail BD'!B:B,A71)))</f>
        <v>45772</v>
      </c>
      <c r="D71" t="str">
        <f>IFERROR(_xlfn.XLOOKUP(A71,'E-Mail BD'!B:B,'E-Mail BD'!A:A),"-")</f>
        <v>006.236.494/0001-94</v>
      </c>
      <c r="E71" s="2" t="str">
        <f t="shared" si="1"/>
        <v>06236494000194</v>
      </c>
    </row>
    <row r="72" spans="1:5" x14ac:dyDescent="0.25">
      <c r="A72" t="s">
        <v>143</v>
      </c>
      <c r="B72" t="s">
        <v>18</v>
      </c>
      <c r="C72" s="12">
        <f>IF(A72=""," ",IF(_xlfn.MINIFS('E-Mail BD'!D:D,'E-Mail BD'!B:B,A72)=0,"NÃO APARECEU AINDA",_xlfn.MINIFS('E-Mail BD'!D:D,'E-Mail BD'!B:B,A72)))</f>
        <v>45553</v>
      </c>
      <c r="D72" t="str">
        <f>IFERROR(_xlfn.XLOOKUP(A72,'E-Mail BD'!B:B,'E-Mail BD'!A:A),"-")</f>
        <v>006.236.494/0001-94</v>
      </c>
      <c r="E72" s="2" t="str">
        <f t="shared" si="1"/>
        <v>06236494000194</v>
      </c>
    </row>
    <row r="73" spans="1:5" x14ac:dyDescent="0.25">
      <c r="A73" t="s">
        <v>269</v>
      </c>
      <c r="B73" t="s">
        <v>27</v>
      </c>
      <c r="C73" s="12">
        <f>IF(A73=""," ",IF(_xlfn.MINIFS('E-Mail BD'!D:D,'E-Mail BD'!B:B,A73)=0,"NÃO APARECEU AINDA",_xlfn.MINIFS('E-Mail BD'!D:D,'E-Mail BD'!B:B,A73)))</f>
        <v>45770</v>
      </c>
      <c r="D73" t="str">
        <f>IFERROR(_xlfn.XLOOKUP(A73,'E-Mail BD'!B:B,'E-Mail BD'!A:A),"-")</f>
        <v>001.376.967/0001-35</v>
      </c>
      <c r="E73" s="2" t="str">
        <f t="shared" si="1"/>
        <v>01376967000135</v>
      </c>
    </row>
    <row r="74" spans="1:5" x14ac:dyDescent="0.25">
      <c r="A74" t="s">
        <v>98</v>
      </c>
      <c r="B74" t="s">
        <v>20</v>
      </c>
      <c r="C74" s="12">
        <f>IF(A74=""," ",IF(_xlfn.MINIFS('E-Mail BD'!D:D,'E-Mail BD'!B:B,A74)=0,"NÃO APARECEU AINDA",_xlfn.MINIFS('E-Mail BD'!D:D,'E-Mail BD'!B:B,A74)))</f>
        <v>45537</v>
      </c>
      <c r="D74" t="str">
        <f>IFERROR(_xlfn.XLOOKUP(A74,'E-Mail BD'!B:B,'E-Mail BD'!A:A),"-")</f>
        <v>024.083.281/0001-51</v>
      </c>
      <c r="E74" s="2" t="str">
        <f t="shared" si="1"/>
        <v>24083281000151</v>
      </c>
    </row>
    <row r="75" spans="1:5" x14ac:dyDescent="0.25">
      <c r="A75" t="s">
        <v>121</v>
      </c>
      <c r="B75" t="s">
        <v>18</v>
      </c>
      <c r="C75" s="12">
        <f>IF(A75=""," ",IF(_xlfn.MINIFS('E-Mail BD'!D:D,'E-Mail BD'!B:B,A75)=0,"NÃO APARECEU AINDA",_xlfn.MINIFS('E-Mail BD'!D:D,'E-Mail BD'!B:B,A75)))</f>
        <v>45544</v>
      </c>
      <c r="D75" t="str">
        <f>IFERROR(_xlfn.XLOOKUP(A75,'E-Mail BD'!B:B,'E-Mail BD'!A:A),"-")</f>
        <v>037.828.375/0001-54</v>
      </c>
      <c r="E75" s="2" t="str">
        <f t="shared" si="1"/>
        <v>37828375000154</v>
      </c>
    </row>
    <row r="76" spans="1:5" x14ac:dyDescent="0.25">
      <c r="A76" t="s">
        <v>216</v>
      </c>
      <c r="B76" t="s">
        <v>19</v>
      </c>
      <c r="C76" s="12">
        <f>IF(A76=""," ",IF(_xlfn.MINIFS('E-Mail BD'!D:D,'E-Mail BD'!B:B,A76)=0,"NÃO APARECEU AINDA",_xlfn.MINIFS('E-Mail BD'!D:D,'E-Mail BD'!B:B,A76)))</f>
        <v>45679</v>
      </c>
      <c r="D76" t="str">
        <f>IFERROR(_xlfn.XLOOKUP(A76,'E-Mail BD'!B:B,'E-Mail BD'!A:A),"-")</f>
        <v>049.847.331/0001-50</v>
      </c>
      <c r="E76" s="2" t="str">
        <f t="shared" si="1"/>
        <v>49847331000150</v>
      </c>
    </row>
    <row r="77" spans="1:5" x14ac:dyDescent="0.25">
      <c r="A77" t="s">
        <v>572</v>
      </c>
      <c r="B77" t="s">
        <v>8</v>
      </c>
      <c r="C77" s="12" t="str">
        <f>IF(A77=""," ",IF(_xlfn.MINIFS('E-Mail BD'!D:D,'E-Mail BD'!B:B,A77)=0,"NÃO APARECEU AINDA",_xlfn.MINIFS('E-Mail BD'!D:D,'E-Mail BD'!B:B,A77)))</f>
        <v>NÃO APARECEU AINDA</v>
      </c>
      <c r="D77" t="str">
        <f>IFERROR(_xlfn.XLOOKUP(A77,'E-Mail BD'!B:B,'E-Mail BD'!A:A),"-")</f>
        <v>-</v>
      </c>
      <c r="E77" s="2" t="str">
        <f t="shared" si="1"/>
        <v>-</v>
      </c>
    </row>
    <row r="78" spans="1:5" x14ac:dyDescent="0.25">
      <c r="A78" t="s">
        <v>106</v>
      </c>
      <c r="B78" t="s">
        <v>5</v>
      </c>
      <c r="C78" s="12">
        <f>IF(A78=""," ",IF(_xlfn.MINIFS('E-Mail BD'!D:D,'E-Mail BD'!B:B,A78)=0,"NÃO APARECEU AINDA",_xlfn.MINIFS('E-Mail BD'!D:D,'E-Mail BD'!B:B,A78)))</f>
        <v>45539</v>
      </c>
      <c r="D78" t="str">
        <f>IFERROR(_xlfn.XLOOKUP(A78,'E-Mail BD'!B:B,'E-Mail BD'!A:A),"-")</f>
        <v>022.998.836/0001-60</v>
      </c>
      <c r="E78" s="2" t="str">
        <f t="shared" si="1"/>
        <v>22998836000160</v>
      </c>
    </row>
    <row r="79" spans="1:5" x14ac:dyDescent="0.25">
      <c r="A79" t="s">
        <v>577</v>
      </c>
      <c r="B79" t="s">
        <v>28</v>
      </c>
      <c r="C79" s="12" t="str">
        <f>IF(A79=""," ",IF(_xlfn.MINIFS('E-Mail BD'!D:D,'E-Mail BD'!B:B,A79)=0,"NÃO APARECEU AINDA",_xlfn.MINIFS('E-Mail BD'!D:D,'E-Mail BD'!B:B,A79)))</f>
        <v>NÃO APARECEU AINDA</v>
      </c>
      <c r="D79" t="str">
        <f>IFERROR(_xlfn.XLOOKUP(A79,'E-Mail BD'!B:B,'E-Mail BD'!A:A),"-")</f>
        <v>-</v>
      </c>
      <c r="E79" s="2" t="str">
        <f t="shared" si="1"/>
        <v>-</v>
      </c>
    </row>
    <row r="80" spans="1:5" x14ac:dyDescent="0.25">
      <c r="A80" t="s">
        <v>632</v>
      </c>
      <c r="B80" t="s">
        <v>19</v>
      </c>
      <c r="C80" s="12">
        <f>IF(A80=""," ",IF(_xlfn.MINIFS('E-Mail BD'!D:D,'E-Mail BD'!B:B,A80)=0,"NÃO APARECEU AINDA",_xlfn.MINIFS('E-Mail BD'!D:D,'E-Mail BD'!B:B,A80)))</f>
        <v>45833</v>
      </c>
      <c r="D80" t="str">
        <f>IFERROR(_xlfn.XLOOKUP(A80,'E-Mail BD'!B:B,'E-Mail BD'!A:A),"-")</f>
        <v>035.797.639/0001-24</v>
      </c>
      <c r="E80" s="2" t="str">
        <f t="shared" si="1"/>
        <v>35797639000124</v>
      </c>
    </row>
    <row r="81" spans="1:5" x14ac:dyDescent="0.25">
      <c r="A81" t="s">
        <v>174</v>
      </c>
      <c r="B81" t="s">
        <v>18</v>
      </c>
      <c r="C81" s="12">
        <f>IF(A81=""," ",IF(_xlfn.MINIFS('E-Mail BD'!D:D,'E-Mail BD'!B:B,A81)=0,"NÃO APARECEU AINDA",_xlfn.MINIFS('E-Mail BD'!D:D,'E-Mail BD'!B:B,A81)))</f>
        <v>45581</v>
      </c>
      <c r="D81" t="str">
        <f>IFERROR(_xlfn.XLOOKUP(A81,'E-Mail BD'!B:B,'E-Mail BD'!A:A),"-")</f>
        <v>016.956.677/0001-38</v>
      </c>
      <c r="E81" s="2" t="str">
        <f t="shared" si="1"/>
        <v>16956677000138</v>
      </c>
    </row>
    <row r="82" spans="1:5" x14ac:dyDescent="0.25">
      <c r="A82" t="s">
        <v>565</v>
      </c>
      <c r="B82" t="s">
        <v>8</v>
      </c>
      <c r="C82" s="12" t="str">
        <f>IF(A82=""," ",IF(_xlfn.MINIFS('E-Mail BD'!D:D,'E-Mail BD'!B:B,A82)=0,"NÃO APARECEU AINDA",_xlfn.MINIFS('E-Mail BD'!D:D,'E-Mail BD'!B:B,A82)))</f>
        <v>NÃO APARECEU AINDA</v>
      </c>
      <c r="D82" t="str">
        <f>IFERROR(_xlfn.XLOOKUP(A82,'E-Mail BD'!B:B,'E-Mail BD'!A:A),"-")</f>
        <v>-</v>
      </c>
      <c r="E82" s="2" t="str">
        <f t="shared" si="1"/>
        <v>-</v>
      </c>
    </row>
    <row r="83" spans="1:5" x14ac:dyDescent="0.25">
      <c r="A83" t="s">
        <v>609</v>
      </c>
      <c r="B83" t="s">
        <v>31</v>
      </c>
      <c r="C83" s="12" t="str">
        <f>IF(A83=""," ",IF(_xlfn.MINIFS('E-Mail BD'!D:D,'E-Mail BD'!B:B,A83)=0,"NÃO APARECEU AINDA",_xlfn.MINIFS('E-Mail BD'!D:D,'E-Mail BD'!B:B,A83)))</f>
        <v>NÃO APARECEU AINDA</v>
      </c>
      <c r="D83" t="str">
        <f>IFERROR(_xlfn.XLOOKUP(A83,'E-Mail BD'!B:B,'E-Mail BD'!A:A),"-")</f>
        <v>-</v>
      </c>
      <c r="E83" s="2" t="str">
        <f t="shared" si="1"/>
        <v>-</v>
      </c>
    </row>
    <row r="84" spans="1:5" x14ac:dyDescent="0.25">
      <c r="A84" t="s">
        <v>548</v>
      </c>
      <c r="B84" t="s">
        <v>635</v>
      </c>
      <c r="C84" s="12" t="str">
        <f>IF(A84=""," ",IF(_xlfn.MINIFS('E-Mail BD'!D:D,'E-Mail BD'!B:B,A84)=0,"NÃO APARECEU AINDA",_xlfn.MINIFS('E-Mail BD'!D:D,'E-Mail BD'!B:B,A84)))</f>
        <v>NÃO APARECEU AINDA</v>
      </c>
      <c r="D84" t="str">
        <f>IFERROR(_xlfn.XLOOKUP(A84,'E-Mail BD'!B:B,'E-Mail BD'!A:A),"-")</f>
        <v>-</v>
      </c>
      <c r="E84" s="2" t="str">
        <f t="shared" si="1"/>
        <v>-</v>
      </c>
    </row>
    <row r="85" spans="1:5" x14ac:dyDescent="0.25">
      <c r="A85" t="s">
        <v>142</v>
      </c>
      <c r="B85" t="s">
        <v>25</v>
      </c>
      <c r="C85" s="12">
        <f>IF(A85=""," ",IF(_xlfn.MINIFS('E-Mail BD'!D:D,'E-Mail BD'!B:B,A85)=0,"NÃO APARECEU AINDA",_xlfn.MINIFS('E-Mail BD'!D:D,'E-Mail BD'!B:B,A85)))</f>
        <v>45551</v>
      </c>
      <c r="D85" t="str">
        <f>IFERROR(_xlfn.XLOOKUP(A85,'E-Mail BD'!B:B,'E-Mail BD'!A:A),"-")</f>
        <v>018.581.853/0001-20</v>
      </c>
      <c r="E85" s="2" t="str">
        <f t="shared" si="1"/>
        <v>18581853000120</v>
      </c>
    </row>
    <row r="86" spans="1:5" x14ac:dyDescent="0.25">
      <c r="A86" t="s">
        <v>74</v>
      </c>
      <c r="B86" t="s">
        <v>25</v>
      </c>
      <c r="C86" s="12">
        <f>IF(A86=""," ",IF(_xlfn.MINIFS('E-Mail BD'!D:D,'E-Mail BD'!B:B,A86)=0,"NÃO APARECEU AINDA",_xlfn.MINIFS('E-Mail BD'!D:D,'E-Mail BD'!B:B,A86)))</f>
        <v>45737</v>
      </c>
      <c r="D86" t="str">
        <f>IFERROR(_xlfn.XLOOKUP(A86,'E-Mail BD'!B:B,'E-Mail BD'!A:A),"-")</f>
        <v>028.650.970/0001-51</v>
      </c>
      <c r="E86" s="2" t="str">
        <f t="shared" si="1"/>
        <v>28650970000151</v>
      </c>
    </row>
    <row r="87" spans="1:5" x14ac:dyDescent="0.25">
      <c r="A87" t="s">
        <v>554</v>
      </c>
      <c r="B87" t="s">
        <v>25</v>
      </c>
      <c r="C87" s="12" t="str">
        <f>IF(A87=""," ",IF(_xlfn.MINIFS('E-Mail BD'!D:D,'E-Mail BD'!B:B,A87)=0,"NÃO APARECEU AINDA",_xlfn.MINIFS('E-Mail BD'!D:D,'E-Mail BD'!B:B,A87)))</f>
        <v>NÃO APARECEU AINDA</v>
      </c>
      <c r="D87" t="str">
        <f>IFERROR(_xlfn.XLOOKUP(A87,'E-Mail BD'!B:B,'E-Mail BD'!A:A),"-")</f>
        <v>-</v>
      </c>
      <c r="E87" s="2" t="str">
        <f t="shared" si="1"/>
        <v>-</v>
      </c>
    </row>
    <row r="88" spans="1:5" x14ac:dyDescent="0.25">
      <c r="A88" t="s">
        <v>119</v>
      </c>
      <c r="B88" t="s">
        <v>5</v>
      </c>
      <c r="C88" s="12">
        <f>IF(A88=""," ",IF(_xlfn.MINIFS('E-Mail BD'!D:D,'E-Mail BD'!B:B,A88)=0,"NÃO APARECEU AINDA",_xlfn.MINIFS('E-Mail BD'!D:D,'E-Mail BD'!B:B,A88)))</f>
        <v>45544</v>
      </c>
      <c r="D88" t="str">
        <f>IFERROR(_xlfn.XLOOKUP(A88,'E-Mail BD'!B:B,'E-Mail BD'!A:A),"-")</f>
        <v>038.945.487/0001-58</v>
      </c>
      <c r="E88" s="2" t="str">
        <f t="shared" si="1"/>
        <v>38945487000158</v>
      </c>
    </row>
    <row r="89" spans="1:5" x14ac:dyDescent="0.25">
      <c r="A89" t="s">
        <v>99</v>
      </c>
      <c r="B89" t="s">
        <v>24</v>
      </c>
      <c r="C89" s="12">
        <f>IF(A89=""," ",IF(_xlfn.MINIFS('E-Mail BD'!D:D,'E-Mail BD'!B:B,A89)=0,"NÃO APARECEU AINDA",_xlfn.MINIFS('E-Mail BD'!D:D,'E-Mail BD'!B:B,A89)))</f>
        <v>45537</v>
      </c>
      <c r="D89" t="str">
        <f>IFERROR(_xlfn.XLOOKUP(A89,'E-Mail BD'!B:B,'E-Mail BD'!A:A),"-")</f>
        <v>008.785.522/0001-58</v>
      </c>
      <c r="E89" s="2" t="str">
        <f t="shared" si="1"/>
        <v>08785522000158</v>
      </c>
    </row>
    <row r="90" spans="1:5" x14ac:dyDescent="0.25">
      <c r="A90" t="s">
        <v>560</v>
      </c>
      <c r="B90" t="s">
        <v>31</v>
      </c>
      <c r="C90" s="12" t="str">
        <f>IF(A90=""," ",IF(_xlfn.MINIFS('E-Mail BD'!D:D,'E-Mail BD'!B:B,A90)=0,"NÃO APARECEU AINDA",_xlfn.MINIFS('E-Mail BD'!D:D,'E-Mail BD'!B:B,A90)))</f>
        <v>NÃO APARECEU AINDA</v>
      </c>
      <c r="D90" t="str">
        <f>IFERROR(_xlfn.XLOOKUP(A90,'E-Mail BD'!B:B,'E-Mail BD'!A:A),"-")</f>
        <v>-</v>
      </c>
      <c r="E90" s="2" t="str">
        <f t="shared" si="1"/>
        <v>-</v>
      </c>
    </row>
    <row r="91" spans="1:5" x14ac:dyDescent="0.25">
      <c r="A91" t="s">
        <v>288</v>
      </c>
      <c r="B91" t="s">
        <v>28</v>
      </c>
      <c r="C91" s="12">
        <f>IF(A91=""," ",IF(_xlfn.MINIFS('E-Mail BD'!D:D,'E-Mail BD'!B:B,A91)=0,"NÃO APARECEU AINDA",_xlfn.MINIFS('E-Mail BD'!D:D,'E-Mail BD'!B:B,A91)))</f>
        <v>45791</v>
      </c>
      <c r="D91" t="str">
        <f>IFERROR(_xlfn.XLOOKUP(A91,'E-Mail BD'!B:B,'E-Mail BD'!A:A),"-")</f>
        <v>014.202.427/0001-87</v>
      </c>
      <c r="E91" s="2" t="str">
        <f t="shared" si="1"/>
        <v>14202427000187</v>
      </c>
    </row>
    <row r="92" spans="1:5" x14ac:dyDescent="0.25">
      <c r="A92" t="s">
        <v>595</v>
      </c>
      <c r="B92" t="s">
        <v>6</v>
      </c>
      <c r="C92" s="12" t="str">
        <f>IF(A92=""," ",IF(_xlfn.MINIFS('E-Mail BD'!D:D,'E-Mail BD'!B:B,A92)=0,"NÃO APARECEU AINDA",_xlfn.MINIFS('E-Mail BD'!D:D,'E-Mail BD'!B:B,A92)))</f>
        <v>NÃO APARECEU AINDA</v>
      </c>
      <c r="D92" t="str">
        <f>IFERROR(_xlfn.XLOOKUP(A92,'E-Mail BD'!B:B,'E-Mail BD'!A:A),"-")</f>
        <v>-</v>
      </c>
      <c r="E92" s="2" t="str">
        <f t="shared" si="1"/>
        <v>-</v>
      </c>
    </row>
    <row r="93" spans="1:5" x14ac:dyDescent="0.25">
      <c r="A93" t="s">
        <v>108</v>
      </c>
      <c r="B93" t="s">
        <v>18</v>
      </c>
      <c r="C93" s="12">
        <f>IF(A93=""," ",IF(_xlfn.MINIFS('E-Mail BD'!D:D,'E-Mail BD'!B:B,A93)=0,"NÃO APARECEU AINDA",_xlfn.MINIFS('E-Mail BD'!D:D,'E-Mail BD'!B:B,A93)))</f>
        <v>45539</v>
      </c>
      <c r="D93" t="str">
        <f>IFERROR(_xlfn.XLOOKUP(A93,'E-Mail BD'!B:B,'E-Mail BD'!A:A),"-")</f>
        <v>011.091.574/0001-39</v>
      </c>
      <c r="E93" s="2" t="str">
        <f t="shared" si="1"/>
        <v>11091574000139</v>
      </c>
    </row>
    <row r="94" spans="1:5" x14ac:dyDescent="0.25">
      <c r="A94" t="s">
        <v>178</v>
      </c>
      <c r="B94" t="s">
        <v>24</v>
      </c>
      <c r="C94" s="12">
        <f>IF(A94=""," ",IF(_xlfn.MINIFS('E-Mail BD'!D:D,'E-Mail BD'!B:B,A94)=0,"NÃO APARECEU AINDA",_xlfn.MINIFS('E-Mail BD'!D:D,'E-Mail BD'!B:B,A94)))</f>
        <v>45583</v>
      </c>
      <c r="D94" t="str">
        <f>IFERROR(_xlfn.XLOOKUP(A94,'E-Mail BD'!B:B,'E-Mail BD'!A:A),"-")</f>
        <v>005.881.441/0001-63</v>
      </c>
      <c r="E94" s="2" t="str">
        <f t="shared" si="1"/>
        <v>05881441000163</v>
      </c>
    </row>
    <row r="95" spans="1:5" x14ac:dyDescent="0.25">
      <c r="A95" t="s">
        <v>197</v>
      </c>
      <c r="B95" t="s">
        <v>5</v>
      </c>
      <c r="C95" s="12">
        <f>IF(A95=""," ",IF(_xlfn.MINIFS('E-Mail BD'!D:D,'E-Mail BD'!B:B,A95)=0,"NÃO APARECEU AINDA",_xlfn.MINIFS('E-Mail BD'!D:D,'E-Mail BD'!B:B,A95)))</f>
        <v>45633</v>
      </c>
      <c r="D95" t="str">
        <f>IFERROR(_xlfn.XLOOKUP(A95,'E-Mail BD'!B:B,'E-Mail BD'!A:A),"-")</f>
        <v>035.475.312/0001-36</v>
      </c>
      <c r="E95" s="2" t="str">
        <f t="shared" si="1"/>
        <v>35475312000136</v>
      </c>
    </row>
    <row r="96" spans="1:5" x14ac:dyDescent="0.25">
      <c r="A96" t="s">
        <v>236</v>
      </c>
      <c r="B96" t="s">
        <v>10</v>
      </c>
      <c r="C96" s="12">
        <f>IF(A96=""," ",IF(_xlfn.MINIFS('E-Mail BD'!D:D,'E-Mail BD'!B:B,A96)=0,"NÃO APARECEU AINDA",_xlfn.MINIFS('E-Mail BD'!D:D,'E-Mail BD'!B:B,A96)))</f>
        <v>45694</v>
      </c>
      <c r="D96" t="str">
        <f>IFERROR(_xlfn.XLOOKUP(A96,'E-Mail BD'!B:B,'E-Mail BD'!A:A),"-")</f>
        <v>001.181.263/0001-07</v>
      </c>
      <c r="E96" s="2" t="str">
        <f t="shared" si="1"/>
        <v>01181263000107</v>
      </c>
    </row>
    <row r="97" spans="1:5" x14ac:dyDescent="0.25">
      <c r="A97" t="s">
        <v>585</v>
      </c>
      <c r="B97" t="s">
        <v>5</v>
      </c>
      <c r="C97" s="12" t="str">
        <f>IF(A97=""," ",IF(_xlfn.MINIFS('E-Mail BD'!D:D,'E-Mail BD'!B:B,A97)=0,"NÃO APARECEU AINDA",_xlfn.MINIFS('E-Mail BD'!D:D,'E-Mail BD'!B:B,A97)))</f>
        <v>NÃO APARECEU AINDA</v>
      </c>
      <c r="D97" t="str">
        <f>IFERROR(_xlfn.XLOOKUP(A97,'E-Mail BD'!B:B,'E-Mail BD'!A:A),"-")</f>
        <v>-</v>
      </c>
      <c r="E97" s="2" t="str">
        <f t="shared" si="1"/>
        <v>-</v>
      </c>
    </row>
    <row r="98" spans="1:5" x14ac:dyDescent="0.25">
      <c r="A98" t="s">
        <v>187</v>
      </c>
      <c r="B98" t="s">
        <v>25</v>
      </c>
      <c r="C98" s="12">
        <f>IF(A98=""," ",IF(_xlfn.MINIFS('E-Mail BD'!D:D,'E-Mail BD'!B:B,A98)=0,"NÃO APARECEU AINDA",_xlfn.MINIFS('E-Mail BD'!D:D,'E-Mail BD'!B:B,A98)))</f>
        <v>45587</v>
      </c>
      <c r="D98" t="str">
        <f>IFERROR(_xlfn.XLOOKUP(A98,'E-Mail BD'!B:B,'E-Mail BD'!A:A),"-")</f>
        <v>002.534.653/0001-86</v>
      </c>
      <c r="E98" s="2" t="str">
        <f t="shared" si="1"/>
        <v>02534653000186</v>
      </c>
    </row>
    <row r="99" spans="1:5" x14ac:dyDescent="0.25">
      <c r="A99" t="s">
        <v>592</v>
      </c>
      <c r="B99" t="s">
        <v>26</v>
      </c>
      <c r="C99" s="12" t="str">
        <f>IF(A99=""," ",IF(_xlfn.MINIFS('E-Mail BD'!D:D,'E-Mail BD'!B:B,A99)=0,"NÃO APARECEU AINDA",_xlfn.MINIFS('E-Mail BD'!D:D,'E-Mail BD'!B:B,A99)))</f>
        <v>NÃO APARECEU AINDA</v>
      </c>
      <c r="D99" t="str">
        <f>IFERROR(_xlfn.XLOOKUP(A99,'E-Mail BD'!B:B,'E-Mail BD'!A:A),"-")</f>
        <v>-</v>
      </c>
      <c r="E99" s="2" t="str">
        <f t="shared" si="1"/>
        <v>-</v>
      </c>
    </row>
    <row r="100" spans="1:5" x14ac:dyDescent="0.25">
      <c r="A100" t="s">
        <v>267</v>
      </c>
      <c r="B100" t="s">
        <v>21</v>
      </c>
      <c r="C100" s="12">
        <f>IF(A100=""," ",IF(_xlfn.MINIFS('E-Mail BD'!D:D,'E-Mail BD'!B:B,A100)=0,"NÃO APARECEU AINDA",_xlfn.MINIFS('E-Mail BD'!D:D,'E-Mail BD'!B:B,A100)))</f>
        <v>45765</v>
      </c>
      <c r="D100" t="str">
        <f>IFERROR(_xlfn.XLOOKUP(A100,'E-Mail BD'!B:B,'E-Mail BD'!A:A),"-")</f>
        <v>020.309.962/0001-34</v>
      </c>
      <c r="E100" s="2" t="str">
        <f t="shared" si="1"/>
        <v>20309962000134</v>
      </c>
    </row>
    <row r="101" spans="1:5" x14ac:dyDescent="0.25">
      <c r="A101" t="s">
        <v>133</v>
      </c>
      <c r="B101" t="s">
        <v>5</v>
      </c>
      <c r="C101" s="12">
        <f>IF(A101=""," ",IF(_xlfn.MINIFS('E-Mail BD'!D:D,'E-Mail BD'!B:B,A101)=0,"NÃO APARECEU AINDA",_xlfn.MINIFS('E-Mail BD'!D:D,'E-Mail BD'!B:B,A101)))</f>
        <v>45551</v>
      </c>
      <c r="D101" t="str">
        <f>IFERROR(_xlfn.XLOOKUP(A101,'E-Mail BD'!B:B,'E-Mail BD'!A:A),"-")</f>
        <v>050.164.951/0001-74</v>
      </c>
      <c r="E101" s="2" t="str">
        <f t="shared" si="1"/>
        <v>50164951000174</v>
      </c>
    </row>
    <row r="102" spans="1:5" x14ac:dyDescent="0.25">
      <c r="A102" t="s">
        <v>167</v>
      </c>
      <c r="B102" t="s">
        <v>10</v>
      </c>
      <c r="C102" s="12">
        <f>IF(A102=""," ",IF(_xlfn.MINIFS('E-Mail BD'!D:D,'E-Mail BD'!B:B,A102)=0,"NÃO APARECEU AINDA",_xlfn.MINIFS('E-Mail BD'!D:D,'E-Mail BD'!B:B,A102)))</f>
        <v>45575</v>
      </c>
      <c r="D102" t="str">
        <f>IFERROR(_xlfn.XLOOKUP(A102,'E-Mail BD'!B:B,'E-Mail BD'!A:A),"-")</f>
        <v>002.377.675/0001-80</v>
      </c>
      <c r="E102" s="2" t="str">
        <f t="shared" si="1"/>
        <v>02377675000180</v>
      </c>
    </row>
    <row r="103" spans="1:5" x14ac:dyDescent="0.25">
      <c r="A103" t="s">
        <v>168</v>
      </c>
      <c r="B103" t="s">
        <v>10</v>
      </c>
      <c r="C103" s="12">
        <f>IF(A103=""," ",IF(_xlfn.MINIFS('E-Mail BD'!D:D,'E-Mail BD'!B:B,A103)=0,"NÃO APARECEU AINDA",_xlfn.MINIFS('E-Mail BD'!D:D,'E-Mail BD'!B:B,A103)))</f>
        <v>45575</v>
      </c>
      <c r="D103" t="str">
        <f>IFERROR(_xlfn.XLOOKUP(A103,'E-Mail BD'!B:B,'E-Mail BD'!A:A),"-")</f>
        <v>001.165.357/0001-92</v>
      </c>
      <c r="E103" s="2" t="str">
        <f t="shared" si="1"/>
        <v>01165357000192</v>
      </c>
    </row>
    <row r="104" spans="1:5" x14ac:dyDescent="0.25">
      <c r="A104" t="s">
        <v>122</v>
      </c>
      <c r="B104" t="s">
        <v>5</v>
      </c>
      <c r="C104" s="12">
        <f>IF(A104=""," ",IF(_xlfn.MINIFS('E-Mail BD'!D:D,'E-Mail BD'!B:B,A104)=0,"NÃO APARECEU AINDA",_xlfn.MINIFS('E-Mail BD'!D:D,'E-Mail BD'!B:B,A104)))</f>
        <v>45545</v>
      </c>
      <c r="D104" t="str">
        <f>IFERROR(_xlfn.XLOOKUP(A104,'E-Mail BD'!B:B,'E-Mail BD'!A:A),"-")</f>
        <v>035.345.406/0001-90</v>
      </c>
      <c r="E104" s="2" t="str">
        <f t="shared" si="1"/>
        <v>35345406000190</v>
      </c>
    </row>
    <row r="105" spans="1:5" x14ac:dyDescent="0.25">
      <c r="A105" t="s">
        <v>103</v>
      </c>
      <c r="B105" t="s">
        <v>19</v>
      </c>
      <c r="C105" s="12">
        <f>IF(A105=""," ",IF(_xlfn.MINIFS('E-Mail BD'!D:D,'E-Mail BD'!B:B,A105)=0,"NÃO APARECEU AINDA",_xlfn.MINIFS('E-Mail BD'!D:D,'E-Mail BD'!B:B,A105)))</f>
        <v>45538</v>
      </c>
      <c r="D105" t="str">
        <f>IFERROR(_xlfn.XLOOKUP(A105,'E-Mail BD'!B:B,'E-Mail BD'!A:A),"-")</f>
        <v>023.605.544/0001-82</v>
      </c>
      <c r="E105" s="2" t="str">
        <f t="shared" si="1"/>
        <v>23605544000182</v>
      </c>
    </row>
    <row r="106" spans="1:5" x14ac:dyDescent="0.25">
      <c r="A106" t="s">
        <v>114</v>
      </c>
      <c r="B106" t="s">
        <v>25</v>
      </c>
      <c r="C106" s="12">
        <f>IF(A106=""," ",IF(_xlfn.MINIFS('E-Mail BD'!D:D,'E-Mail BD'!B:B,A106)=0,"NÃO APARECEU AINDA",_xlfn.MINIFS('E-Mail BD'!D:D,'E-Mail BD'!B:B,A106)))</f>
        <v>45540</v>
      </c>
      <c r="D106" t="str">
        <f>IFERROR(_xlfn.XLOOKUP(A106,'E-Mail BD'!B:B,'E-Mail BD'!A:A),"-")</f>
        <v>051.107.672/0001-31</v>
      </c>
      <c r="E106" s="2" t="str">
        <f t="shared" si="1"/>
        <v>51107672000131</v>
      </c>
    </row>
    <row r="107" spans="1:5" x14ac:dyDescent="0.25">
      <c r="A107" t="s">
        <v>181</v>
      </c>
      <c r="B107" t="s">
        <v>18</v>
      </c>
      <c r="C107" s="12">
        <f>IF(A107=""," ",IF(_xlfn.MINIFS('E-Mail BD'!D:D,'E-Mail BD'!B:B,A107)=0,"NÃO APARECEU AINDA",_xlfn.MINIFS('E-Mail BD'!D:D,'E-Mail BD'!B:B,A107)))</f>
        <v>45586</v>
      </c>
      <c r="D107" t="str">
        <f>IFERROR(_xlfn.XLOOKUP(A107,'E-Mail BD'!B:B,'E-Mail BD'!A:A),"-")</f>
        <v>029.470.692/0001-13</v>
      </c>
      <c r="E107" s="2" t="str">
        <f t="shared" si="1"/>
        <v>29470692000113</v>
      </c>
    </row>
    <row r="108" spans="1:5" x14ac:dyDescent="0.25">
      <c r="A108" t="s">
        <v>277</v>
      </c>
      <c r="B108" t="s">
        <v>21</v>
      </c>
      <c r="C108" s="12">
        <f>IF(A108=""," ",IF(_xlfn.MINIFS('E-Mail BD'!D:D,'E-Mail BD'!B:B,A108)=0,"NÃO APARECEU AINDA",_xlfn.MINIFS('E-Mail BD'!D:D,'E-Mail BD'!B:B,A108)))</f>
        <v>45780</v>
      </c>
      <c r="D108" t="str">
        <f>IFERROR(_xlfn.XLOOKUP(A108,'E-Mail BD'!B:B,'E-Mail BD'!A:A),"-")</f>
        <v>038.405.720/0001-00</v>
      </c>
      <c r="E108" s="2" t="str">
        <f t="shared" si="1"/>
        <v>38405720000100</v>
      </c>
    </row>
    <row r="109" spans="1:5" x14ac:dyDescent="0.25">
      <c r="A109" t="s">
        <v>204</v>
      </c>
      <c r="B109" t="s">
        <v>5</v>
      </c>
      <c r="C109" s="12">
        <f>IF(A109=""," ",IF(_xlfn.MINIFS('E-Mail BD'!D:D,'E-Mail BD'!B:B,A109)=0,"NÃO APARECEU AINDA",_xlfn.MINIFS('E-Mail BD'!D:D,'E-Mail BD'!B:B,A109)))</f>
        <v>45651</v>
      </c>
      <c r="D109" t="str">
        <f>IFERROR(_xlfn.XLOOKUP(A109,'E-Mail BD'!B:B,'E-Mail BD'!A:A),"-")</f>
        <v>045.123.456/0001-87</v>
      </c>
      <c r="E109" s="2" t="str">
        <f t="shared" si="1"/>
        <v>45123456000187</v>
      </c>
    </row>
    <row r="110" spans="1:5" x14ac:dyDescent="0.25">
      <c r="A110" t="s">
        <v>127</v>
      </c>
      <c r="B110" t="s">
        <v>15</v>
      </c>
      <c r="C110" s="12">
        <f>IF(A110=""," ",IF(_xlfn.MINIFS('E-Mail BD'!D:D,'E-Mail BD'!B:B,A110)=0,"NÃO APARECEU AINDA",_xlfn.MINIFS('E-Mail BD'!D:D,'E-Mail BD'!B:B,A110)))</f>
        <v>45545</v>
      </c>
      <c r="D110" t="str">
        <f>IFERROR(_xlfn.XLOOKUP(A110,'E-Mail BD'!B:B,'E-Mail BD'!A:A),"-")</f>
        <v>000.803.044/0001-50</v>
      </c>
      <c r="E110" s="2" t="str">
        <f t="shared" si="1"/>
        <v>00803044000150</v>
      </c>
    </row>
    <row r="111" spans="1:5" x14ac:dyDescent="0.25">
      <c r="A111" t="s">
        <v>552</v>
      </c>
      <c r="B111" t="s">
        <v>20</v>
      </c>
      <c r="C111" s="12" t="str">
        <f>IF(A111=""," ",IF(_xlfn.MINIFS('E-Mail BD'!D:D,'E-Mail BD'!B:B,A111)=0,"NÃO APARECEU AINDA",_xlfn.MINIFS('E-Mail BD'!D:D,'E-Mail BD'!B:B,A111)))</f>
        <v>NÃO APARECEU AINDA</v>
      </c>
      <c r="D111" t="str">
        <f>IFERROR(_xlfn.XLOOKUP(A111,'E-Mail BD'!B:B,'E-Mail BD'!A:A),"-")</f>
        <v>-</v>
      </c>
      <c r="E111" s="2" t="str">
        <f t="shared" si="1"/>
        <v>-</v>
      </c>
    </row>
    <row r="112" spans="1:5" x14ac:dyDescent="0.25">
      <c r="A112" t="s">
        <v>283</v>
      </c>
      <c r="B112" t="s">
        <v>5</v>
      </c>
      <c r="C112" s="12">
        <f>IF(A112=""," ",IF(_xlfn.MINIFS('E-Mail BD'!D:D,'E-Mail BD'!B:B,A112)=0,"NÃO APARECEU AINDA",_xlfn.MINIFS('E-Mail BD'!D:D,'E-Mail BD'!B:B,A112)))</f>
        <v>45787</v>
      </c>
      <c r="D112" t="str">
        <f>IFERROR(_xlfn.XLOOKUP(A112,'E-Mail BD'!B:B,'E-Mail BD'!A:A),"-")</f>
        <v>039.572.608/0001-26</v>
      </c>
      <c r="E112" s="2" t="str">
        <f t="shared" si="1"/>
        <v>39572608000126</v>
      </c>
    </row>
    <row r="113" spans="1:5" x14ac:dyDescent="0.25">
      <c r="A113" t="s">
        <v>556</v>
      </c>
      <c r="B113" t="s">
        <v>16</v>
      </c>
      <c r="C113" s="12" t="str">
        <f>IF(A113=""," ",IF(_xlfn.MINIFS('E-Mail BD'!D:D,'E-Mail BD'!B:B,A113)=0,"NÃO APARECEU AINDA",_xlfn.MINIFS('E-Mail BD'!D:D,'E-Mail BD'!B:B,A113)))</f>
        <v>NÃO APARECEU AINDA</v>
      </c>
      <c r="D113" t="str">
        <f>IFERROR(_xlfn.XLOOKUP(A113,'E-Mail BD'!B:B,'E-Mail BD'!A:A),"-")</f>
        <v>-</v>
      </c>
      <c r="E113" s="2" t="str">
        <f t="shared" si="1"/>
        <v>-</v>
      </c>
    </row>
    <row r="114" spans="1:5" x14ac:dyDescent="0.25">
      <c r="A114" t="s">
        <v>296</v>
      </c>
      <c r="B114" t="s">
        <v>31</v>
      </c>
      <c r="C114" s="12">
        <f>IF(A114=""," ",IF(_xlfn.MINIFS('E-Mail BD'!D:D,'E-Mail BD'!B:B,A114)=0,"NÃO APARECEU AINDA",_xlfn.MINIFS('E-Mail BD'!D:D,'E-Mail BD'!B:B,A114)))</f>
        <v>45797</v>
      </c>
      <c r="D114" t="str">
        <f>IFERROR(_xlfn.XLOOKUP(A114,'E-Mail BD'!B:B,'E-Mail BD'!A:A),"-")</f>
        <v>005.374.432/0001-86</v>
      </c>
      <c r="E114" s="2" t="str">
        <f t="shared" si="1"/>
        <v>05374432000186</v>
      </c>
    </row>
    <row r="115" spans="1:5" x14ac:dyDescent="0.25">
      <c r="A115" t="s">
        <v>191</v>
      </c>
      <c r="B115" t="s">
        <v>19</v>
      </c>
      <c r="C115" s="12">
        <f>IF(A115=""," ",IF(_xlfn.MINIFS('E-Mail BD'!D:D,'E-Mail BD'!B:B,A115)=0,"NÃO APARECEU AINDA",_xlfn.MINIFS('E-Mail BD'!D:D,'E-Mail BD'!B:B,A115)))</f>
        <v>45601</v>
      </c>
      <c r="D115" t="str">
        <f>IFERROR(_xlfn.XLOOKUP(A115,'E-Mail BD'!B:B,'E-Mail BD'!A:A),"-")</f>
        <v>050.721.360/0001-50</v>
      </c>
      <c r="E115" s="2" t="str">
        <f t="shared" si="1"/>
        <v>50721360000150</v>
      </c>
    </row>
    <row r="116" spans="1:5" x14ac:dyDescent="0.25">
      <c r="A116" t="s">
        <v>594</v>
      </c>
      <c r="B116" t="s">
        <v>633</v>
      </c>
      <c r="C116" s="12" t="str">
        <f>IF(A116=""," ",IF(_xlfn.MINIFS('E-Mail BD'!D:D,'E-Mail BD'!B:B,A116)=0,"NÃO APARECEU AINDA",_xlfn.MINIFS('E-Mail BD'!D:D,'E-Mail BD'!B:B,A116)))</f>
        <v>NÃO APARECEU AINDA</v>
      </c>
      <c r="D116" t="str">
        <f>IFERROR(_xlfn.XLOOKUP(A116,'E-Mail BD'!B:B,'E-Mail BD'!A:A),"-")</f>
        <v>-</v>
      </c>
      <c r="E116" s="2" t="str">
        <f t="shared" si="1"/>
        <v>-</v>
      </c>
    </row>
    <row r="117" spans="1:5" x14ac:dyDescent="0.25">
      <c r="A117" t="s">
        <v>199</v>
      </c>
      <c r="B117" t="s">
        <v>25</v>
      </c>
      <c r="C117" s="12">
        <f>IF(A117=""," ",IF(_xlfn.MINIFS('E-Mail BD'!D:D,'E-Mail BD'!B:B,A117)=0,"NÃO APARECEU AINDA",_xlfn.MINIFS('E-Mail BD'!D:D,'E-Mail BD'!B:B,A117)))</f>
        <v>45638</v>
      </c>
      <c r="D117" t="str">
        <f>IFERROR(_xlfn.XLOOKUP(A117,'E-Mail BD'!B:B,'E-Mail BD'!A:A),"-")</f>
        <v>045.694.996/0001-10</v>
      </c>
      <c r="E117" s="2" t="str">
        <f t="shared" si="1"/>
        <v>45694996000110</v>
      </c>
    </row>
    <row r="118" spans="1:5" x14ac:dyDescent="0.25">
      <c r="A118" t="s">
        <v>573</v>
      </c>
      <c r="B118" t="s">
        <v>28</v>
      </c>
      <c r="C118" s="12" t="str">
        <f>IF(A118=""," ",IF(_xlfn.MINIFS('E-Mail BD'!D:D,'E-Mail BD'!B:B,A118)=0,"NÃO APARECEU AINDA",_xlfn.MINIFS('E-Mail BD'!D:D,'E-Mail BD'!B:B,A118)))</f>
        <v>NÃO APARECEU AINDA</v>
      </c>
      <c r="D118" t="str">
        <f>IFERROR(_xlfn.XLOOKUP(A118,'E-Mail BD'!B:B,'E-Mail BD'!A:A),"-")</f>
        <v>-</v>
      </c>
      <c r="E118" s="2" t="str">
        <f t="shared" si="1"/>
        <v>-</v>
      </c>
    </row>
    <row r="119" spans="1:5" x14ac:dyDescent="0.25">
      <c r="A119" t="s">
        <v>209</v>
      </c>
      <c r="B119" t="s">
        <v>20</v>
      </c>
      <c r="C119" s="12">
        <f>IF(A119=""," ",IF(_xlfn.MINIFS('E-Mail BD'!D:D,'E-Mail BD'!B:B,A119)=0,"NÃO APARECEU AINDA",_xlfn.MINIFS('E-Mail BD'!D:D,'E-Mail BD'!B:B,A119)))</f>
        <v>45672</v>
      </c>
      <c r="D119" t="str">
        <f>IFERROR(_xlfn.XLOOKUP(A119,'E-Mail BD'!B:B,'E-Mail BD'!A:A),"-")</f>
        <v>026.438.913/0001-88</v>
      </c>
      <c r="E119" s="2" t="str">
        <f t="shared" si="1"/>
        <v>26438913000188</v>
      </c>
    </row>
    <row r="120" spans="1:5" x14ac:dyDescent="0.25">
      <c r="A120" t="s">
        <v>241</v>
      </c>
      <c r="B120" t="s">
        <v>39</v>
      </c>
      <c r="C120" s="12">
        <f>IF(A120=""," ",IF(_xlfn.MINIFS('E-Mail BD'!D:D,'E-Mail BD'!B:B,A120)=0,"NÃO APARECEU AINDA",_xlfn.MINIFS('E-Mail BD'!D:D,'E-Mail BD'!B:B,A120)))</f>
        <v>45737</v>
      </c>
      <c r="D120" t="str">
        <f>IFERROR(_xlfn.XLOOKUP(A120,'E-Mail BD'!B:B,'E-Mail BD'!A:A),"-")</f>
        <v>003.596.757/0001-88</v>
      </c>
      <c r="E120" s="2" t="str">
        <f t="shared" si="1"/>
        <v>03596757000188</v>
      </c>
    </row>
    <row r="121" spans="1:5" x14ac:dyDescent="0.25">
      <c r="A121" t="s">
        <v>210</v>
      </c>
      <c r="B121" t="s">
        <v>11</v>
      </c>
      <c r="C121" s="12">
        <f>IF(A121=""," ",IF(_xlfn.MINIFS('E-Mail BD'!D:D,'E-Mail BD'!B:B,A121)=0,"NÃO APARECEU AINDA",_xlfn.MINIFS('E-Mail BD'!D:D,'E-Mail BD'!B:B,A121)))</f>
        <v>45675</v>
      </c>
      <c r="D121" t="str">
        <f>IFERROR(_xlfn.XLOOKUP(A121,'E-Mail BD'!B:B,'E-Mail BD'!A:A),"-")</f>
        <v>021.420.856/0001-96</v>
      </c>
      <c r="E121" s="2" t="str">
        <f t="shared" si="1"/>
        <v>21420856000196</v>
      </c>
    </row>
    <row r="122" spans="1:5" x14ac:dyDescent="0.25">
      <c r="A122" t="s">
        <v>299</v>
      </c>
      <c r="B122" t="s">
        <v>29</v>
      </c>
      <c r="C122" s="12">
        <f>IF(A122=""," ",IF(_xlfn.MINIFS('E-Mail BD'!D:D,'E-Mail BD'!B:B,A122)=0,"NÃO APARECEU AINDA",_xlfn.MINIFS('E-Mail BD'!D:D,'E-Mail BD'!B:B,A122)))</f>
        <v>45799</v>
      </c>
      <c r="D122" t="str">
        <f>IFERROR(_xlfn.XLOOKUP(A122,'E-Mail BD'!B:B,'E-Mail BD'!A:A),"-")</f>
        <v>010.354.613/0001-80</v>
      </c>
      <c r="E122" s="2" t="str">
        <f t="shared" si="1"/>
        <v>10354613000180</v>
      </c>
    </row>
    <row r="123" spans="1:5" x14ac:dyDescent="0.25">
      <c r="A123" t="s">
        <v>306</v>
      </c>
      <c r="B123" t="s">
        <v>20</v>
      </c>
      <c r="C123" s="12">
        <f>IF(A123=""," ",IF(_xlfn.MINIFS('E-Mail BD'!D:D,'E-Mail BD'!B:B,A123)=0,"NÃO APARECEU AINDA",_xlfn.MINIFS('E-Mail BD'!D:D,'E-Mail BD'!B:B,A123)))</f>
        <v>45808</v>
      </c>
      <c r="D123" t="str">
        <f>IFERROR(_xlfn.XLOOKUP(A123,'E-Mail BD'!B:B,'E-Mail BD'!A:A),"-")</f>
        <v>007.645.213/0001-10</v>
      </c>
      <c r="E123" s="2" t="str">
        <f t="shared" si="1"/>
        <v>07645213000110</v>
      </c>
    </row>
    <row r="124" spans="1:5" x14ac:dyDescent="0.25">
      <c r="A124" t="s">
        <v>202</v>
      </c>
      <c r="B124" t="s">
        <v>20</v>
      </c>
      <c r="C124" s="12">
        <f>IF(A124=""," ",IF(_xlfn.MINIFS('E-Mail BD'!D:D,'E-Mail BD'!B:B,A124)=0,"NÃO APARECEU AINDA",_xlfn.MINIFS('E-Mail BD'!D:D,'E-Mail BD'!B:B,A124)))</f>
        <v>45650</v>
      </c>
      <c r="D124" t="str">
        <f>IFERROR(_xlfn.XLOOKUP(A124,'E-Mail BD'!B:B,'E-Mail BD'!A:A),"-")</f>
        <v>039.535.425/0001-30</v>
      </c>
      <c r="E124" s="2" t="str">
        <f t="shared" si="1"/>
        <v>39535425000130</v>
      </c>
    </row>
    <row r="125" spans="1:5" x14ac:dyDescent="0.25">
      <c r="A125" t="s">
        <v>206</v>
      </c>
      <c r="B125" t="s">
        <v>16</v>
      </c>
      <c r="C125" s="12">
        <f>IF(A125=""," ",IF(_xlfn.MINIFS('E-Mail BD'!D:D,'E-Mail BD'!B:B,A125)=0,"NÃO APARECEU AINDA",_xlfn.MINIFS('E-Mail BD'!D:D,'E-Mail BD'!B:B,A125)))</f>
        <v>45657</v>
      </c>
      <c r="D125" t="str">
        <f>IFERROR(_xlfn.XLOOKUP(A125,'E-Mail BD'!B:B,'E-Mail BD'!A:A),"-")</f>
        <v>007.906.793/0001-51</v>
      </c>
      <c r="E125" s="2" t="str">
        <f t="shared" si="1"/>
        <v>07906793000151</v>
      </c>
    </row>
    <row r="126" spans="1:5" x14ac:dyDescent="0.25">
      <c r="A126" t="s">
        <v>176</v>
      </c>
      <c r="B126" t="s">
        <v>16</v>
      </c>
      <c r="C126" s="12">
        <f>IF(A126=""," ",IF(_xlfn.MINIFS('E-Mail BD'!D:D,'E-Mail BD'!B:B,A126)=0,"NÃO APARECEU AINDA",_xlfn.MINIFS('E-Mail BD'!D:D,'E-Mail BD'!B:B,A126)))</f>
        <v>45582</v>
      </c>
      <c r="D126" t="str">
        <f>IFERROR(_xlfn.XLOOKUP(A126,'E-Mail BD'!B:B,'E-Mail BD'!A:A),"-")</f>
        <v>007.906.793/0001-51</v>
      </c>
      <c r="E126" s="2" t="str">
        <f t="shared" si="1"/>
        <v>07906793000151</v>
      </c>
    </row>
    <row r="127" spans="1:5" x14ac:dyDescent="0.25">
      <c r="A127" t="s">
        <v>291</v>
      </c>
      <c r="B127" t="s">
        <v>28</v>
      </c>
      <c r="C127" s="12">
        <f>IF(A127=""," ",IF(_xlfn.MINIFS('E-Mail BD'!D:D,'E-Mail BD'!B:B,A127)=0,"NÃO APARECEU AINDA",_xlfn.MINIFS('E-Mail BD'!D:D,'E-Mail BD'!B:B,A127)))</f>
        <v>45793</v>
      </c>
      <c r="D127" t="str">
        <f>IFERROR(_xlfn.XLOOKUP(A127,'E-Mail BD'!B:B,'E-Mail BD'!A:A),"-")</f>
        <v>012.645.814/0001-62</v>
      </c>
      <c r="E127" s="2" t="str">
        <f t="shared" si="1"/>
        <v>12645814000162</v>
      </c>
    </row>
    <row r="128" spans="1:5" x14ac:dyDescent="0.25">
      <c r="A128" t="s">
        <v>249</v>
      </c>
      <c r="B128" t="s">
        <v>10</v>
      </c>
      <c r="C128" s="12">
        <f>IF(A128=""," ",IF(_xlfn.MINIFS('E-Mail BD'!D:D,'E-Mail BD'!B:B,A128)=0,"NÃO APARECEU AINDA",_xlfn.MINIFS('E-Mail BD'!D:D,'E-Mail BD'!B:B,A128)))</f>
        <v>45741</v>
      </c>
      <c r="D128" t="str">
        <f>IFERROR(_xlfn.XLOOKUP(A128,'E-Mail BD'!B:B,'E-Mail BD'!A:A),"-")</f>
        <v>001.535.822/0001-30</v>
      </c>
      <c r="E128" s="2" t="str">
        <f t="shared" si="1"/>
        <v>01535822000130</v>
      </c>
    </row>
    <row r="129" spans="1:5" x14ac:dyDescent="0.25">
      <c r="A129" t="s">
        <v>310</v>
      </c>
      <c r="B129" t="s">
        <v>14</v>
      </c>
      <c r="C129" s="12">
        <f>IF(A129=""," ",IF(_xlfn.MINIFS('E-Mail BD'!D:D,'E-Mail BD'!B:B,A129)=0,"NÃO APARECEU AINDA",_xlfn.MINIFS('E-Mail BD'!D:D,'E-Mail BD'!B:B,A129)))</f>
        <v>45818</v>
      </c>
      <c r="D129" t="str">
        <f>IFERROR(_xlfn.XLOOKUP(A129,'E-Mail BD'!B:B,'E-Mail BD'!A:A),"-")</f>
        <v>052.755.043/0001-80</v>
      </c>
      <c r="E129" s="2" t="str">
        <f t="shared" si="1"/>
        <v>52755043000180</v>
      </c>
    </row>
    <row r="130" spans="1:5" x14ac:dyDescent="0.25">
      <c r="A130" t="s">
        <v>238</v>
      </c>
      <c r="B130" t="s">
        <v>21</v>
      </c>
      <c r="C130" s="12">
        <f>IF(A130=""," ",IF(_xlfn.MINIFS('E-Mail BD'!D:D,'E-Mail BD'!B:B,A130)=0,"NÃO APARECEU AINDA",_xlfn.MINIFS('E-Mail BD'!D:D,'E-Mail BD'!B:B,A130)))</f>
        <v>45694</v>
      </c>
      <c r="D130" t="str">
        <f>IFERROR(_xlfn.XLOOKUP(A130,'E-Mail BD'!B:B,'E-Mail BD'!A:A),"-")</f>
        <v>007.509.304/0001-28</v>
      </c>
      <c r="E130" s="2" t="str">
        <f t="shared" ref="E130:E193" si="2">IF(RIGHT(SUBSTITUTE(SUBSTITUTE(SUBSTITUTE(D130,".",""),"/",""),"-",""),14)="","-",RIGHT(SUBSTITUTE(SUBSTITUTE(SUBSTITUTE(D130,".",""),"/",""),"-",""),14))</f>
        <v>07509304000128</v>
      </c>
    </row>
    <row r="131" spans="1:5" x14ac:dyDescent="0.25">
      <c r="A131" t="s">
        <v>96</v>
      </c>
      <c r="B131" t="s">
        <v>18</v>
      </c>
      <c r="C131" s="12">
        <f>IF(A131=""," ",IF(_xlfn.MINIFS('E-Mail BD'!D:D,'E-Mail BD'!B:B,A131)=0,"NÃO APARECEU AINDA",_xlfn.MINIFS('E-Mail BD'!D:D,'E-Mail BD'!B:B,A131)))</f>
        <v>45537</v>
      </c>
      <c r="D131" t="str">
        <f>IFERROR(_xlfn.XLOOKUP(A131,'E-Mail BD'!B:B,'E-Mail BD'!A:A),"-")</f>
        <v>031.509.494/0001-68</v>
      </c>
      <c r="E131" s="2" t="str">
        <f t="shared" si="2"/>
        <v>31509494000168</v>
      </c>
    </row>
    <row r="132" spans="1:5" x14ac:dyDescent="0.25">
      <c r="A132" t="s">
        <v>203</v>
      </c>
      <c r="B132" t="s">
        <v>25</v>
      </c>
      <c r="C132" s="12">
        <f>IF(A132=""," ",IF(_xlfn.MINIFS('E-Mail BD'!D:D,'E-Mail BD'!B:B,A132)=0,"NÃO APARECEU AINDA",_xlfn.MINIFS('E-Mail BD'!D:D,'E-Mail BD'!B:B,A132)))</f>
        <v>45650</v>
      </c>
      <c r="D132" t="str">
        <f>IFERROR(_xlfn.XLOOKUP(A132,'E-Mail BD'!B:B,'E-Mail BD'!A:A),"-")</f>
        <v>042.276.517/0001-58</v>
      </c>
      <c r="E132" s="2" t="str">
        <f t="shared" si="2"/>
        <v>42276517000158</v>
      </c>
    </row>
    <row r="133" spans="1:5" x14ac:dyDescent="0.25">
      <c r="A133" t="s">
        <v>189</v>
      </c>
      <c r="B133" t="s">
        <v>25</v>
      </c>
      <c r="C133" s="12">
        <f>IF(A133=""," ",IF(_xlfn.MINIFS('E-Mail BD'!D:D,'E-Mail BD'!B:B,A133)=0,"NÃO APARECEU AINDA",_xlfn.MINIFS('E-Mail BD'!D:D,'E-Mail BD'!B:B,A133)))</f>
        <v>45597</v>
      </c>
      <c r="D133" t="str">
        <f>IFERROR(_xlfn.XLOOKUP(A133,'E-Mail BD'!B:B,'E-Mail BD'!A:A),"-")</f>
        <v>042.276.517/0001-58</v>
      </c>
      <c r="E133" s="2" t="str">
        <f t="shared" si="2"/>
        <v>42276517000158</v>
      </c>
    </row>
    <row r="134" spans="1:5" x14ac:dyDescent="0.25">
      <c r="A134" t="s">
        <v>549</v>
      </c>
      <c r="B134" t="s">
        <v>5</v>
      </c>
      <c r="C134" s="12">
        <f>IF(A134=""," ",IF(_xlfn.MINIFS('E-Mail BD'!D:D,'E-Mail BD'!B:B,A134)=0,"NÃO APARECEU AINDA",_xlfn.MINIFS('E-Mail BD'!D:D,'E-Mail BD'!B:B,A134)))</f>
        <v>45834</v>
      </c>
      <c r="D134" t="str">
        <f>IFERROR(_xlfn.XLOOKUP(A134,'E-Mail BD'!B:B,'E-Mail BD'!A:A),"-")</f>
        <v>044.921.612/0001-92</v>
      </c>
      <c r="E134" s="2" t="str">
        <f t="shared" si="2"/>
        <v>44921612000192</v>
      </c>
    </row>
    <row r="135" spans="1:5" x14ac:dyDescent="0.25">
      <c r="A135" t="s">
        <v>576</v>
      </c>
      <c r="B135" t="s">
        <v>5</v>
      </c>
      <c r="C135" s="12" t="str">
        <f>IF(A135=""," ",IF(_xlfn.MINIFS('E-Mail BD'!D:D,'E-Mail BD'!B:B,A135)=0,"NÃO APARECEU AINDA",_xlfn.MINIFS('E-Mail BD'!D:D,'E-Mail BD'!B:B,A135)))</f>
        <v>NÃO APARECEU AINDA</v>
      </c>
      <c r="D135" t="str">
        <f>IFERROR(_xlfn.XLOOKUP(A135,'E-Mail BD'!B:B,'E-Mail BD'!A:A),"-")</f>
        <v>-</v>
      </c>
      <c r="E135" s="2" t="str">
        <f t="shared" si="2"/>
        <v>-</v>
      </c>
    </row>
    <row r="136" spans="1:5" x14ac:dyDescent="0.25">
      <c r="A136" t="s">
        <v>113</v>
      </c>
      <c r="B136" t="s">
        <v>19</v>
      </c>
      <c r="C136" s="12">
        <f>IF(A136=""," ",IF(_xlfn.MINIFS('E-Mail BD'!D:D,'E-Mail BD'!B:B,A136)=0,"NÃO APARECEU AINDA",_xlfn.MINIFS('E-Mail BD'!D:D,'E-Mail BD'!B:B,A136)))</f>
        <v>45540</v>
      </c>
      <c r="D136" t="str">
        <f>IFERROR(_xlfn.XLOOKUP(A136,'E-Mail BD'!B:B,'E-Mail BD'!A:A),"-")</f>
        <v>014.829.598/0001-30</v>
      </c>
      <c r="E136" s="2" t="str">
        <f t="shared" si="2"/>
        <v>14829598000130</v>
      </c>
    </row>
    <row r="137" spans="1:5" x14ac:dyDescent="0.25">
      <c r="A137" t="s">
        <v>583</v>
      </c>
      <c r="B137" t="s">
        <v>633</v>
      </c>
      <c r="C137" s="12" t="str">
        <f>IF(A137=""," ",IF(_xlfn.MINIFS('E-Mail BD'!D:D,'E-Mail BD'!B:B,A137)=0,"NÃO APARECEU AINDA",_xlfn.MINIFS('E-Mail BD'!D:D,'E-Mail BD'!B:B,A137)))</f>
        <v>NÃO APARECEU AINDA</v>
      </c>
      <c r="D137" t="str">
        <f>IFERROR(_xlfn.XLOOKUP(A137,'E-Mail BD'!B:B,'E-Mail BD'!A:A),"-")</f>
        <v>-</v>
      </c>
      <c r="E137" s="2" t="str">
        <f t="shared" si="2"/>
        <v>-</v>
      </c>
    </row>
    <row r="138" spans="1:5" x14ac:dyDescent="0.25">
      <c r="A138" t="s">
        <v>140</v>
      </c>
      <c r="B138" t="s">
        <v>18</v>
      </c>
      <c r="C138" s="12">
        <f>IF(A138=""," ",IF(_xlfn.MINIFS('E-Mail BD'!D:D,'E-Mail BD'!B:B,A138)=0,"NÃO APARECEU AINDA",_xlfn.MINIFS('E-Mail BD'!D:D,'E-Mail BD'!B:B,A138)))</f>
        <v>45551</v>
      </c>
      <c r="D138" t="str">
        <f>IFERROR(_xlfn.XLOOKUP(A138,'E-Mail BD'!B:B,'E-Mail BD'!A:A),"-")</f>
        <v>017.274.123/0001-13</v>
      </c>
      <c r="E138" s="2" t="str">
        <f t="shared" si="2"/>
        <v>17274123000113</v>
      </c>
    </row>
    <row r="139" spans="1:5" x14ac:dyDescent="0.25">
      <c r="A139" t="s">
        <v>259</v>
      </c>
      <c r="B139" t="s">
        <v>5</v>
      </c>
      <c r="C139" s="12">
        <f>IF(A139=""," ",IF(_xlfn.MINIFS('E-Mail BD'!D:D,'E-Mail BD'!B:B,A139)=0,"NÃO APARECEU AINDA",_xlfn.MINIFS('E-Mail BD'!D:D,'E-Mail BD'!B:B,A139)))</f>
        <v>45752</v>
      </c>
      <c r="D139" t="str">
        <f>IFERROR(_xlfn.XLOOKUP(A139,'E-Mail BD'!B:B,'E-Mail BD'!A:A),"-")</f>
        <v>030.233.156/0001-83</v>
      </c>
      <c r="E139" s="2" t="str">
        <f t="shared" si="2"/>
        <v>30233156000183</v>
      </c>
    </row>
    <row r="140" spans="1:5" x14ac:dyDescent="0.25">
      <c r="A140" t="s">
        <v>86</v>
      </c>
      <c r="B140" t="s">
        <v>8</v>
      </c>
      <c r="C140" s="12">
        <f>IF(A140=""," ",IF(_xlfn.MINIFS('E-Mail BD'!D:D,'E-Mail BD'!B:B,A140)=0,"NÃO APARECEU AINDA",_xlfn.MINIFS('E-Mail BD'!D:D,'E-Mail BD'!B:B,A140)))</f>
        <v>45537</v>
      </c>
      <c r="D140" t="str">
        <f>IFERROR(_xlfn.XLOOKUP(A140,'E-Mail BD'!B:B,'E-Mail BD'!A:A),"-")</f>
        <v>020.066.300/0001-80</v>
      </c>
      <c r="E140" s="2" t="str">
        <f t="shared" si="2"/>
        <v>20066300000180</v>
      </c>
    </row>
    <row r="141" spans="1:5" x14ac:dyDescent="0.25">
      <c r="A141" t="s">
        <v>111</v>
      </c>
      <c r="B141" t="s">
        <v>9</v>
      </c>
      <c r="C141" s="12">
        <f>IF(A141=""," ",IF(_xlfn.MINIFS('E-Mail BD'!D:D,'E-Mail BD'!B:B,A141)=0,"NÃO APARECEU AINDA",_xlfn.MINIFS('E-Mail BD'!D:D,'E-Mail BD'!B:B,A141)))</f>
        <v>45540</v>
      </c>
      <c r="D141" t="str">
        <f>IFERROR(_xlfn.XLOOKUP(A141,'E-Mail BD'!B:B,'E-Mail BD'!A:A),"-")</f>
        <v>016.757.535/0001-41</v>
      </c>
      <c r="E141" s="2" t="str">
        <f t="shared" si="2"/>
        <v>16757535000141</v>
      </c>
    </row>
    <row r="142" spans="1:5" x14ac:dyDescent="0.25">
      <c r="A142" t="s">
        <v>211</v>
      </c>
      <c r="B142" t="s">
        <v>14</v>
      </c>
      <c r="C142" s="12">
        <f>IF(A142=""," ",IF(_xlfn.MINIFS('E-Mail BD'!D:D,'E-Mail BD'!B:B,A142)=0,"NÃO APARECEU AINDA",_xlfn.MINIFS('E-Mail BD'!D:D,'E-Mail BD'!B:B,A142)))</f>
        <v>45675</v>
      </c>
      <c r="D142" t="str">
        <f>IFERROR(_xlfn.XLOOKUP(A142,'E-Mail BD'!B:B,'E-Mail BD'!A:A),"-")</f>
        <v>026.416.177/0001-67</v>
      </c>
      <c r="E142" s="2" t="str">
        <f t="shared" si="2"/>
        <v>26416177000167</v>
      </c>
    </row>
    <row r="143" spans="1:5" x14ac:dyDescent="0.25">
      <c r="A143" t="s">
        <v>120</v>
      </c>
      <c r="B143" t="s">
        <v>14</v>
      </c>
      <c r="C143" s="12">
        <f>IF(A143=""," ",IF(_xlfn.MINIFS('E-Mail BD'!D:D,'E-Mail BD'!B:B,A143)=0,"NÃO APARECEU AINDA",_xlfn.MINIFS('E-Mail BD'!D:D,'E-Mail BD'!B:B,A143)))</f>
        <v>45544</v>
      </c>
      <c r="D143" t="str">
        <f>IFERROR(_xlfn.XLOOKUP(A143,'E-Mail BD'!B:B,'E-Mail BD'!A:A),"-")</f>
        <v>034.821.586/0001-77</v>
      </c>
      <c r="E143" s="2" t="str">
        <f t="shared" si="2"/>
        <v>34821586000177</v>
      </c>
    </row>
    <row r="144" spans="1:5" x14ac:dyDescent="0.25">
      <c r="A144" t="s">
        <v>320</v>
      </c>
      <c r="B144" t="s">
        <v>29</v>
      </c>
      <c r="C144" s="12">
        <f>IF(A144=""," ",IF(_xlfn.MINIFS('E-Mail BD'!D:D,'E-Mail BD'!B:B,A144)=0,"NÃO APARECEU AINDA",_xlfn.MINIFS('E-Mail BD'!D:D,'E-Mail BD'!B:B,A144)))</f>
        <v>45821</v>
      </c>
      <c r="D144" t="str">
        <f>IFERROR(_xlfn.XLOOKUP(A144,'E-Mail BD'!B:B,'E-Mail BD'!A:A),"-")</f>
        <v>049.915.471/0001-19</v>
      </c>
      <c r="E144" s="2" t="str">
        <f t="shared" si="2"/>
        <v>49915471000119</v>
      </c>
    </row>
    <row r="145" spans="1:5" x14ac:dyDescent="0.25">
      <c r="A145" t="s">
        <v>245</v>
      </c>
      <c r="B145" t="s">
        <v>20</v>
      </c>
      <c r="C145" s="12">
        <f>IF(A145=""," ",IF(_xlfn.MINIFS('E-Mail BD'!D:D,'E-Mail BD'!B:B,A145)=0,"NÃO APARECEU AINDA",_xlfn.MINIFS('E-Mail BD'!D:D,'E-Mail BD'!B:B,A145)))</f>
        <v>45737</v>
      </c>
      <c r="D145" t="str">
        <f>IFERROR(_xlfn.XLOOKUP(A145,'E-Mail BD'!B:B,'E-Mail BD'!A:A),"-")</f>
        <v>030.104.393/0001-44</v>
      </c>
      <c r="E145" s="2" t="str">
        <f t="shared" si="2"/>
        <v>30104393000144</v>
      </c>
    </row>
    <row r="146" spans="1:5" x14ac:dyDescent="0.25">
      <c r="A146" t="s">
        <v>223</v>
      </c>
      <c r="B146" t="s">
        <v>5</v>
      </c>
      <c r="C146" s="12">
        <f>IF(A146=""," ",IF(_xlfn.MINIFS('E-Mail BD'!D:D,'E-Mail BD'!B:B,A146)=0,"NÃO APARECEU AINDA",_xlfn.MINIFS('E-Mail BD'!D:D,'E-Mail BD'!B:B,A146)))</f>
        <v>45682</v>
      </c>
      <c r="D146" t="str">
        <f>IFERROR(_xlfn.XLOOKUP(A146,'E-Mail BD'!B:B,'E-Mail BD'!A:A),"-")</f>
        <v>024.271.279/0001-06</v>
      </c>
      <c r="E146" s="2" t="str">
        <f t="shared" si="2"/>
        <v>24271279000106</v>
      </c>
    </row>
    <row r="147" spans="1:5" x14ac:dyDescent="0.25">
      <c r="A147" t="s">
        <v>258</v>
      </c>
      <c r="B147" t="s">
        <v>26</v>
      </c>
      <c r="C147" s="12">
        <f>IF(A147=""," ",IF(_xlfn.MINIFS('E-Mail BD'!D:D,'E-Mail BD'!B:B,A147)=0,"NÃO APARECEU AINDA",_xlfn.MINIFS('E-Mail BD'!D:D,'E-Mail BD'!B:B,A147)))</f>
        <v>45751</v>
      </c>
      <c r="D147" t="str">
        <f>IFERROR(_xlfn.XLOOKUP(A147,'E-Mail BD'!B:B,'E-Mail BD'!A:A),"-")</f>
        <v>055.466.241/0001-12</v>
      </c>
      <c r="E147" s="2" t="str">
        <f t="shared" si="2"/>
        <v>55466241000112</v>
      </c>
    </row>
    <row r="148" spans="1:5" x14ac:dyDescent="0.25">
      <c r="A148" t="s">
        <v>155</v>
      </c>
      <c r="B148" t="s">
        <v>19</v>
      </c>
      <c r="C148" s="12">
        <f>IF(A148=""," ",IF(_xlfn.MINIFS('E-Mail BD'!D:D,'E-Mail BD'!B:B,A148)=0,"NÃO APARECEU AINDA",_xlfn.MINIFS('E-Mail BD'!D:D,'E-Mail BD'!B:B,A148)))</f>
        <v>45563</v>
      </c>
      <c r="D148" t="str">
        <f>IFERROR(_xlfn.XLOOKUP(A148,'E-Mail BD'!B:B,'E-Mail BD'!A:A),"-")</f>
        <v>014.514.481/0001-68</v>
      </c>
      <c r="E148" s="2" t="str">
        <f t="shared" si="2"/>
        <v>14514481000168</v>
      </c>
    </row>
    <row r="149" spans="1:5" x14ac:dyDescent="0.25">
      <c r="A149" t="s">
        <v>184</v>
      </c>
      <c r="B149" t="s">
        <v>24</v>
      </c>
      <c r="C149" s="12">
        <f>IF(A149=""," ",IF(_xlfn.MINIFS('E-Mail BD'!D:D,'E-Mail BD'!B:B,A149)=0,"NÃO APARECEU AINDA",_xlfn.MINIFS('E-Mail BD'!D:D,'E-Mail BD'!B:B,A149)))</f>
        <v>45586</v>
      </c>
      <c r="D149" t="str">
        <f>IFERROR(_xlfn.XLOOKUP(A149,'E-Mail BD'!B:B,'E-Mail BD'!A:A),"-")</f>
        <v>023.909.177/0001-00</v>
      </c>
      <c r="E149" s="2" t="str">
        <f t="shared" si="2"/>
        <v>23909177000100</v>
      </c>
    </row>
    <row r="150" spans="1:5" x14ac:dyDescent="0.25">
      <c r="A150" t="s">
        <v>602</v>
      </c>
      <c r="B150" t="s">
        <v>24</v>
      </c>
      <c r="C150" s="12" t="str">
        <f>IF(A150=""," ",IF(_xlfn.MINIFS('E-Mail BD'!D:D,'E-Mail BD'!B:B,A150)=0,"NÃO APARECEU AINDA",_xlfn.MINIFS('E-Mail BD'!D:D,'E-Mail BD'!B:B,A150)))</f>
        <v>NÃO APARECEU AINDA</v>
      </c>
      <c r="D150" t="str">
        <f>IFERROR(_xlfn.XLOOKUP(A150,'E-Mail BD'!B:B,'E-Mail BD'!A:A),"-")</f>
        <v>-</v>
      </c>
      <c r="E150" s="2" t="str">
        <f t="shared" si="2"/>
        <v>-</v>
      </c>
    </row>
    <row r="151" spans="1:5" x14ac:dyDescent="0.25">
      <c r="A151" t="s">
        <v>148</v>
      </c>
      <c r="B151" t="s">
        <v>16</v>
      </c>
      <c r="C151" s="12">
        <f>IF(A151=""," ",IF(_xlfn.MINIFS('E-Mail BD'!D:D,'E-Mail BD'!B:B,A151)=0,"NÃO APARECEU AINDA",_xlfn.MINIFS('E-Mail BD'!D:D,'E-Mail BD'!B:B,A151)))</f>
        <v>45555</v>
      </c>
      <c r="D151" t="str">
        <f>IFERROR(_xlfn.XLOOKUP(A151,'E-Mail BD'!B:B,'E-Mail BD'!A:A),"-")</f>
        <v>004.622.554/0001-81</v>
      </c>
      <c r="E151" s="2" t="str">
        <f t="shared" si="2"/>
        <v>04622554000181</v>
      </c>
    </row>
    <row r="152" spans="1:5" x14ac:dyDescent="0.25">
      <c r="A152" t="s">
        <v>137</v>
      </c>
      <c r="B152" t="s">
        <v>8</v>
      </c>
      <c r="C152" s="12">
        <f>IF(A152=""," ",IF(_xlfn.MINIFS('E-Mail BD'!D:D,'E-Mail BD'!B:B,A152)=0,"NÃO APARECEU AINDA",_xlfn.MINIFS('E-Mail BD'!D:D,'E-Mail BD'!B:B,A152)))</f>
        <v>45551</v>
      </c>
      <c r="D152" t="str">
        <f>IFERROR(_xlfn.XLOOKUP(A152,'E-Mail BD'!B:B,'E-Mail BD'!A:A),"-")</f>
        <v>002.038.227/0001-51</v>
      </c>
      <c r="E152" s="2" t="str">
        <f t="shared" si="2"/>
        <v>02038227000151</v>
      </c>
    </row>
    <row r="153" spans="1:5" x14ac:dyDescent="0.25">
      <c r="A153" t="s">
        <v>569</v>
      </c>
      <c r="B153" t="s">
        <v>29</v>
      </c>
      <c r="C153" s="12" t="str">
        <f>IF(A153=""," ",IF(_xlfn.MINIFS('E-Mail BD'!D:D,'E-Mail BD'!B:B,A153)=0,"NÃO APARECEU AINDA",_xlfn.MINIFS('E-Mail BD'!D:D,'E-Mail BD'!B:B,A153)))</f>
        <v>NÃO APARECEU AINDA</v>
      </c>
      <c r="D153" t="str">
        <f>IFERROR(_xlfn.XLOOKUP(A153,'E-Mail BD'!B:B,'E-Mail BD'!A:A),"-")</f>
        <v>-</v>
      </c>
      <c r="E153" s="2" t="str">
        <f t="shared" si="2"/>
        <v>-</v>
      </c>
    </row>
    <row r="154" spans="1:5" x14ac:dyDescent="0.25">
      <c r="A154" t="s">
        <v>568</v>
      </c>
      <c r="B154" t="s">
        <v>29</v>
      </c>
      <c r="C154" s="12" t="str">
        <f>IF(A154=""," ",IF(_xlfn.MINIFS('E-Mail BD'!D:D,'E-Mail BD'!B:B,A154)=0,"NÃO APARECEU AINDA",_xlfn.MINIFS('E-Mail BD'!D:D,'E-Mail BD'!B:B,A154)))</f>
        <v>NÃO APARECEU AINDA</v>
      </c>
      <c r="D154" t="str">
        <f>IFERROR(_xlfn.XLOOKUP(A154,'E-Mail BD'!B:B,'E-Mail BD'!A:A),"-")</f>
        <v>-</v>
      </c>
      <c r="E154" s="2" t="str">
        <f t="shared" si="2"/>
        <v>-</v>
      </c>
    </row>
    <row r="155" spans="1:5" x14ac:dyDescent="0.25">
      <c r="A155" t="s">
        <v>546</v>
      </c>
      <c r="B155" t="s">
        <v>14</v>
      </c>
      <c r="C155" s="12" t="str">
        <f>IF(A155=""," ",IF(_xlfn.MINIFS('E-Mail BD'!D:D,'E-Mail BD'!B:B,A155)=0,"NÃO APARECEU AINDA",_xlfn.MINIFS('E-Mail BD'!D:D,'E-Mail BD'!B:B,A155)))</f>
        <v>NÃO APARECEU AINDA</v>
      </c>
      <c r="D155" t="str">
        <f>IFERROR(_xlfn.XLOOKUP(A155,'E-Mail BD'!B:B,'E-Mail BD'!A:A),"-")</f>
        <v>-</v>
      </c>
      <c r="E155" s="2" t="str">
        <f t="shared" si="2"/>
        <v>-</v>
      </c>
    </row>
    <row r="156" spans="1:5" x14ac:dyDescent="0.25">
      <c r="A156" t="s">
        <v>550</v>
      </c>
      <c r="B156" t="s">
        <v>14</v>
      </c>
      <c r="C156" s="12">
        <f>IF(A156=""," ",IF(_xlfn.MINIFS('E-Mail BD'!D:D,'E-Mail BD'!B:B,A156)=0,"NÃO APARECEU AINDA",_xlfn.MINIFS('E-Mail BD'!D:D,'E-Mail BD'!B:B,A156)))</f>
        <v>45822</v>
      </c>
      <c r="D156" t="str">
        <f>IFERROR(_xlfn.XLOOKUP(A156,'E-Mail BD'!B:B,'E-Mail BD'!A:A),"-")</f>
        <v>038.479.255/0001-51</v>
      </c>
      <c r="E156" s="2" t="str">
        <f t="shared" si="2"/>
        <v>38479255000151</v>
      </c>
    </row>
    <row r="157" spans="1:5" x14ac:dyDescent="0.25">
      <c r="A157" t="s">
        <v>563</v>
      </c>
      <c r="B157" t="s">
        <v>8</v>
      </c>
      <c r="C157" s="12" t="str">
        <f>IF(A157=""," ",IF(_xlfn.MINIFS('E-Mail BD'!D:D,'E-Mail BD'!B:B,A157)=0,"NÃO APARECEU AINDA",_xlfn.MINIFS('E-Mail BD'!D:D,'E-Mail BD'!B:B,A157)))</f>
        <v>NÃO APARECEU AINDA</v>
      </c>
      <c r="D157" t="str">
        <f>IFERROR(_xlfn.XLOOKUP(A157,'E-Mail BD'!B:B,'E-Mail BD'!A:A),"-")</f>
        <v>-</v>
      </c>
      <c r="E157" s="2" t="str">
        <f t="shared" si="2"/>
        <v>-</v>
      </c>
    </row>
    <row r="158" spans="1:5" x14ac:dyDescent="0.25">
      <c r="A158" t="s">
        <v>239</v>
      </c>
      <c r="B158" t="s">
        <v>18</v>
      </c>
      <c r="C158" s="12">
        <f>IF(A158=""," ",IF(_xlfn.MINIFS('E-Mail BD'!D:D,'E-Mail BD'!B:B,A158)=0,"NÃO APARECEU AINDA",_xlfn.MINIFS('E-Mail BD'!D:D,'E-Mail BD'!B:B,A158)))</f>
        <v>45697</v>
      </c>
      <c r="D158" t="str">
        <f>IFERROR(_xlfn.XLOOKUP(A158,'E-Mail BD'!B:B,'E-Mail BD'!A:A),"-")</f>
        <v>025.383.640/0001-59</v>
      </c>
      <c r="E158" s="2" t="str">
        <f t="shared" si="2"/>
        <v>25383640000159</v>
      </c>
    </row>
    <row r="159" spans="1:5" x14ac:dyDescent="0.25">
      <c r="A159" t="s">
        <v>225</v>
      </c>
      <c r="B159" t="s">
        <v>21</v>
      </c>
      <c r="C159" s="12">
        <f>IF(A159=""," ",IF(_xlfn.MINIFS('E-Mail BD'!D:D,'E-Mail BD'!B:B,A159)=0,"NÃO APARECEU AINDA",_xlfn.MINIFS('E-Mail BD'!D:D,'E-Mail BD'!B:B,A159)))</f>
        <v>45682</v>
      </c>
      <c r="D159" t="str">
        <f>IFERROR(_xlfn.XLOOKUP(A159,'E-Mail BD'!B:B,'E-Mail BD'!A:A),"-")</f>
        <v>040.582.798/0001-41</v>
      </c>
      <c r="E159" s="2" t="str">
        <f t="shared" si="2"/>
        <v>40582798000141</v>
      </c>
    </row>
    <row r="160" spans="1:5" x14ac:dyDescent="0.25">
      <c r="A160" t="s">
        <v>607</v>
      </c>
      <c r="B160" t="s">
        <v>5</v>
      </c>
      <c r="C160" s="12" t="str">
        <f>IF(A160=""," ",IF(_xlfn.MINIFS('E-Mail BD'!D:D,'E-Mail BD'!B:B,A160)=0,"NÃO APARECEU AINDA",_xlfn.MINIFS('E-Mail BD'!D:D,'E-Mail BD'!B:B,A160)))</f>
        <v>NÃO APARECEU AINDA</v>
      </c>
      <c r="D160" t="str">
        <f>IFERROR(_xlfn.XLOOKUP(A160,'E-Mail BD'!B:B,'E-Mail BD'!A:A),"-")</f>
        <v>-</v>
      </c>
      <c r="E160" s="2" t="str">
        <f t="shared" si="2"/>
        <v>-</v>
      </c>
    </row>
    <row r="161" spans="1:5" x14ac:dyDescent="0.25">
      <c r="A161" t="s">
        <v>186</v>
      </c>
      <c r="B161" t="s">
        <v>14</v>
      </c>
      <c r="C161" s="12">
        <f>IF(A161=""," ",IF(_xlfn.MINIFS('E-Mail BD'!D:D,'E-Mail BD'!B:B,A161)=0,"NÃO APARECEU AINDA",_xlfn.MINIFS('E-Mail BD'!D:D,'E-Mail BD'!B:B,A161)))</f>
        <v>45587</v>
      </c>
      <c r="D161" t="str">
        <f>IFERROR(_xlfn.XLOOKUP(A161,'E-Mail BD'!B:B,'E-Mail BD'!A:A),"-")</f>
        <v>035.165.246/0001-06</v>
      </c>
      <c r="E161" s="2" t="str">
        <f t="shared" si="2"/>
        <v>35165246000106</v>
      </c>
    </row>
    <row r="162" spans="1:5" x14ac:dyDescent="0.25">
      <c r="A162" t="s">
        <v>301</v>
      </c>
      <c r="B162" t="s">
        <v>28</v>
      </c>
      <c r="C162" s="12">
        <f>IF(A162=""," ",IF(_xlfn.MINIFS('E-Mail BD'!D:D,'E-Mail BD'!B:B,A162)=0,"NÃO APARECEU AINDA",_xlfn.MINIFS('E-Mail BD'!D:D,'E-Mail BD'!B:B,A162)))</f>
        <v>45800</v>
      </c>
      <c r="D162" t="str">
        <f>IFERROR(_xlfn.XLOOKUP(A162,'E-Mail BD'!B:B,'E-Mail BD'!A:A),"-")</f>
        <v>011.173.099/0001-40</v>
      </c>
      <c r="E162" s="2" t="str">
        <f t="shared" si="2"/>
        <v>11173099000140</v>
      </c>
    </row>
    <row r="163" spans="1:5" x14ac:dyDescent="0.25">
      <c r="A163" t="s">
        <v>214</v>
      </c>
      <c r="B163" t="s">
        <v>8</v>
      </c>
      <c r="C163" s="12">
        <f>IF(A163=""," ",IF(_xlfn.MINIFS('E-Mail BD'!D:D,'E-Mail BD'!B:B,A163)=0,"NÃO APARECEU AINDA",_xlfn.MINIFS('E-Mail BD'!D:D,'E-Mail BD'!B:B,A163)))</f>
        <v>45679</v>
      </c>
      <c r="D163" t="str">
        <f>IFERROR(_xlfn.XLOOKUP(A163,'E-Mail BD'!B:B,'E-Mail BD'!A:A),"-")</f>
        <v>036.726.274/0001-00</v>
      </c>
      <c r="E163" s="2" t="str">
        <f t="shared" si="2"/>
        <v>36726274000100</v>
      </c>
    </row>
    <row r="164" spans="1:5" x14ac:dyDescent="0.25">
      <c r="A164" t="s">
        <v>578</v>
      </c>
      <c r="B164" t="s">
        <v>19</v>
      </c>
      <c r="C164" s="12" t="str">
        <f>IF(A164=""," ",IF(_xlfn.MINIFS('E-Mail BD'!D:D,'E-Mail BD'!B:B,A164)=0,"NÃO APARECEU AINDA",_xlfn.MINIFS('E-Mail BD'!D:D,'E-Mail BD'!B:B,A164)))</f>
        <v>NÃO APARECEU AINDA</v>
      </c>
      <c r="D164" t="str">
        <f>IFERROR(_xlfn.XLOOKUP(A164,'E-Mail BD'!B:B,'E-Mail BD'!A:A),"-")</f>
        <v>-</v>
      </c>
      <c r="E164" s="2" t="str">
        <f t="shared" si="2"/>
        <v>-</v>
      </c>
    </row>
    <row r="165" spans="1:5" x14ac:dyDescent="0.25">
      <c r="A165" t="s">
        <v>308</v>
      </c>
      <c r="B165" t="s">
        <v>14</v>
      </c>
      <c r="C165" s="12">
        <f>IF(A165=""," ",IF(_xlfn.MINIFS('E-Mail BD'!D:D,'E-Mail BD'!B:B,A165)=0,"NÃO APARECEU AINDA",_xlfn.MINIFS('E-Mail BD'!D:D,'E-Mail BD'!B:B,A165)))</f>
        <v>45812</v>
      </c>
      <c r="D165" t="str">
        <f>IFERROR(_xlfn.XLOOKUP(A165,'E-Mail BD'!B:B,'E-Mail BD'!A:A),"-")</f>
        <v>015.638.029/0001-70</v>
      </c>
      <c r="E165" s="2" t="str">
        <f t="shared" si="2"/>
        <v>15638029000170</v>
      </c>
    </row>
    <row r="166" spans="1:5" x14ac:dyDescent="0.25">
      <c r="A166" t="s">
        <v>293</v>
      </c>
      <c r="B166" t="s">
        <v>8</v>
      </c>
      <c r="C166" s="12">
        <f>IF(A166=""," ",IF(_xlfn.MINIFS('E-Mail BD'!D:D,'E-Mail BD'!B:B,A166)=0,"NÃO APARECEU AINDA",_xlfn.MINIFS('E-Mail BD'!D:D,'E-Mail BD'!B:B,A166)))</f>
        <v>45794</v>
      </c>
      <c r="D166" t="str">
        <f>IFERROR(_xlfn.XLOOKUP(A166,'E-Mail BD'!B:B,'E-Mail BD'!A:A),"-")</f>
        <v>057.696.093/0001-58</v>
      </c>
      <c r="E166" s="2" t="str">
        <f t="shared" si="2"/>
        <v>57696093000158</v>
      </c>
    </row>
    <row r="167" spans="1:5" x14ac:dyDescent="0.25">
      <c r="A167" t="s">
        <v>185</v>
      </c>
      <c r="B167" t="s">
        <v>5</v>
      </c>
      <c r="C167" s="12">
        <f>IF(A167=""," ",IF(_xlfn.MINIFS('E-Mail BD'!D:D,'E-Mail BD'!B:B,A167)=0,"NÃO APARECEU AINDA",_xlfn.MINIFS('E-Mail BD'!D:D,'E-Mail BD'!B:B,A167)))</f>
        <v>45587</v>
      </c>
      <c r="D167" t="str">
        <f>IFERROR(_xlfn.XLOOKUP(A167,'E-Mail BD'!B:B,'E-Mail BD'!A:A),"-")</f>
        <v>033.803.691/0001-10</v>
      </c>
      <c r="E167" s="2" t="str">
        <f t="shared" si="2"/>
        <v>33803691000110</v>
      </c>
    </row>
    <row r="168" spans="1:5" x14ac:dyDescent="0.25">
      <c r="A168" t="s">
        <v>566</v>
      </c>
      <c r="B168" t="s">
        <v>8</v>
      </c>
      <c r="C168" s="12" t="str">
        <f>IF(A168=""," ",IF(_xlfn.MINIFS('E-Mail BD'!D:D,'E-Mail BD'!B:B,A168)=0,"NÃO APARECEU AINDA",_xlfn.MINIFS('E-Mail BD'!D:D,'E-Mail BD'!B:B,A168)))</f>
        <v>NÃO APARECEU AINDA</v>
      </c>
      <c r="D168" t="str">
        <f>IFERROR(_xlfn.XLOOKUP(A168,'E-Mail BD'!B:B,'E-Mail BD'!A:A),"-")</f>
        <v>-</v>
      </c>
      <c r="E168" s="2" t="str">
        <f t="shared" si="2"/>
        <v>-</v>
      </c>
    </row>
    <row r="169" spans="1:5" x14ac:dyDescent="0.25">
      <c r="A169" t="s">
        <v>309</v>
      </c>
      <c r="B169" t="s">
        <v>8</v>
      </c>
      <c r="C169" s="12">
        <f>IF(A169=""," ",IF(_xlfn.MINIFS('E-Mail BD'!D:D,'E-Mail BD'!B:B,A169)=0,"NÃO APARECEU AINDA",_xlfn.MINIFS('E-Mail BD'!D:D,'E-Mail BD'!B:B,A169)))</f>
        <v>45818</v>
      </c>
      <c r="D169" t="str">
        <f>IFERROR(_xlfn.XLOOKUP(A169,'E-Mail BD'!B:B,'E-Mail BD'!A:A),"-")</f>
        <v>032.925.977/0001-06</v>
      </c>
      <c r="E169" s="2" t="str">
        <f t="shared" si="2"/>
        <v>32925977000106</v>
      </c>
    </row>
    <row r="170" spans="1:5" x14ac:dyDescent="0.25">
      <c r="A170" t="s">
        <v>290</v>
      </c>
      <c r="B170" t="s">
        <v>31</v>
      </c>
      <c r="C170" s="12">
        <f>IF(A170=""," ",IF(_xlfn.MINIFS('E-Mail BD'!D:D,'E-Mail BD'!B:B,A170)=0,"NÃO APARECEU AINDA",_xlfn.MINIFS('E-Mail BD'!D:D,'E-Mail BD'!B:B,A170)))</f>
        <v>45793</v>
      </c>
      <c r="D170" t="str">
        <f>IFERROR(_xlfn.XLOOKUP(A170,'E-Mail BD'!B:B,'E-Mail BD'!A:A),"-")</f>
        <v>027.508.008/0001-10</v>
      </c>
      <c r="E170" s="2" t="str">
        <f t="shared" si="2"/>
        <v>27508008000110</v>
      </c>
    </row>
    <row r="171" spans="1:5" x14ac:dyDescent="0.25">
      <c r="A171" t="s">
        <v>564</v>
      </c>
      <c r="B171" t="s">
        <v>26</v>
      </c>
      <c r="C171" s="12" t="str">
        <f>IF(A171=""," ",IF(_xlfn.MINIFS('E-Mail BD'!D:D,'E-Mail BD'!B:B,A171)=0,"NÃO APARECEU AINDA",_xlfn.MINIFS('E-Mail BD'!D:D,'E-Mail BD'!B:B,A171)))</f>
        <v>NÃO APARECEU AINDA</v>
      </c>
      <c r="D171" t="str">
        <f>IFERROR(_xlfn.XLOOKUP(A171,'E-Mail BD'!B:B,'E-Mail BD'!A:A),"-")</f>
        <v>-</v>
      </c>
      <c r="E171" s="2" t="str">
        <f t="shared" si="2"/>
        <v>-</v>
      </c>
    </row>
    <row r="172" spans="1:5" x14ac:dyDescent="0.25">
      <c r="A172" t="s">
        <v>173</v>
      </c>
      <c r="B172" t="s">
        <v>25</v>
      </c>
      <c r="C172" s="12">
        <f>IF(A172=""," ",IF(_xlfn.MINIFS('E-Mail BD'!D:D,'E-Mail BD'!B:B,A172)=0,"NÃO APARECEU AINDA",_xlfn.MINIFS('E-Mail BD'!D:D,'E-Mail BD'!B:B,A172)))</f>
        <v>45580</v>
      </c>
      <c r="D172" t="str">
        <f>IFERROR(_xlfn.XLOOKUP(A172,'E-Mail BD'!B:B,'E-Mail BD'!A:A),"-")</f>
        <v>038.634.242/0001-00</v>
      </c>
      <c r="E172" s="2" t="str">
        <f t="shared" si="2"/>
        <v>38634242000100</v>
      </c>
    </row>
    <row r="173" spans="1:5" x14ac:dyDescent="0.25">
      <c r="A173" t="s">
        <v>208</v>
      </c>
      <c r="B173" t="s">
        <v>19</v>
      </c>
      <c r="C173" s="12">
        <f>IF(A173=""," ",IF(_xlfn.MINIFS('E-Mail BD'!D:D,'E-Mail BD'!B:B,A173)=0,"NÃO APARECEU AINDA",_xlfn.MINIFS('E-Mail BD'!D:D,'E-Mail BD'!B:B,A173)))</f>
        <v>45672</v>
      </c>
      <c r="D173" t="str">
        <f>IFERROR(_xlfn.XLOOKUP(A173,'E-Mail BD'!B:B,'E-Mail BD'!A:A),"-")</f>
        <v>029.246.128/0001-11</v>
      </c>
      <c r="E173" s="2" t="str">
        <f t="shared" si="2"/>
        <v>29246128000111</v>
      </c>
    </row>
    <row r="174" spans="1:5" x14ac:dyDescent="0.25">
      <c r="A174" t="s">
        <v>175</v>
      </c>
      <c r="B174" t="s">
        <v>15</v>
      </c>
      <c r="C174" s="12">
        <f>IF(A174=""," ",IF(_xlfn.MINIFS('E-Mail BD'!D:D,'E-Mail BD'!B:B,A174)=0,"NÃO APARECEU AINDA",_xlfn.MINIFS('E-Mail BD'!D:D,'E-Mail BD'!B:B,A174)))</f>
        <v>45582</v>
      </c>
      <c r="D174" t="str">
        <f>IFERROR(_xlfn.XLOOKUP(A174,'E-Mail BD'!B:B,'E-Mail BD'!A:A),"-")</f>
        <v>035.665.211/0001-28</v>
      </c>
      <c r="E174" s="2" t="str">
        <f t="shared" si="2"/>
        <v>35665211000128</v>
      </c>
    </row>
    <row r="175" spans="1:5" x14ac:dyDescent="0.25">
      <c r="A175" t="s">
        <v>141</v>
      </c>
      <c r="B175" t="s">
        <v>20</v>
      </c>
      <c r="C175" s="12">
        <f>IF(A175=""," ",IF(_xlfn.MINIFS('E-Mail BD'!D:D,'E-Mail BD'!B:B,A175)=0,"NÃO APARECEU AINDA",_xlfn.MINIFS('E-Mail BD'!D:D,'E-Mail BD'!B:B,A175)))</f>
        <v>45551</v>
      </c>
      <c r="D175" t="str">
        <f>IFERROR(_xlfn.XLOOKUP(A175,'E-Mail BD'!B:B,'E-Mail BD'!A:A),"-")</f>
        <v>011.122.552/0001-99</v>
      </c>
      <c r="E175" s="2" t="str">
        <f t="shared" si="2"/>
        <v>11122552000199</v>
      </c>
    </row>
    <row r="176" spans="1:5" x14ac:dyDescent="0.25">
      <c r="A176" t="s">
        <v>219</v>
      </c>
      <c r="B176" t="s">
        <v>5</v>
      </c>
      <c r="C176" s="12">
        <f>IF(A176=""," ",IF(_xlfn.MINIFS('E-Mail BD'!D:D,'E-Mail BD'!B:B,A176)=0,"NÃO APARECEU AINDA",_xlfn.MINIFS('E-Mail BD'!D:D,'E-Mail BD'!B:B,A176)))</f>
        <v>45680</v>
      </c>
      <c r="D176" t="str">
        <f>IFERROR(_xlfn.XLOOKUP(A176,'E-Mail BD'!B:B,'E-Mail BD'!A:A),"-")</f>
        <v>029.795.190/0001-62</v>
      </c>
      <c r="E176" s="2" t="str">
        <f t="shared" si="2"/>
        <v>29795190000162</v>
      </c>
    </row>
    <row r="177" spans="1:5" x14ac:dyDescent="0.25">
      <c r="A177" t="s">
        <v>285</v>
      </c>
      <c r="B177" t="s">
        <v>30</v>
      </c>
      <c r="C177" s="12">
        <f>IF(A177=""," ",IF(_xlfn.MINIFS('E-Mail BD'!D:D,'E-Mail BD'!B:B,A177)=0,"NÃO APARECEU AINDA",_xlfn.MINIFS('E-Mail BD'!D:D,'E-Mail BD'!B:B,A177)))</f>
        <v>45790</v>
      </c>
      <c r="D177" t="str">
        <f>IFERROR(_xlfn.XLOOKUP(A177,'E-Mail BD'!B:B,'E-Mail BD'!A:A),"-")</f>
        <v>046.778.324/0001-56</v>
      </c>
      <c r="E177" s="2" t="str">
        <f t="shared" si="2"/>
        <v>46778324000156</v>
      </c>
    </row>
    <row r="178" spans="1:5" x14ac:dyDescent="0.25">
      <c r="A178" t="s">
        <v>109</v>
      </c>
      <c r="B178" t="s">
        <v>5</v>
      </c>
      <c r="C178" s="12">
        <f>IF(A178=""," ",IF(_xlfn.MINIFS('E-Mail BD'!D:D,'E-Mail BD'!B:B,A178)=0,"NÃO APARECEU AINDA",_xlfn.MINIFS('E-Mail BD'!D:D,'E-Mail BD'!B:B,A178)))</f>
        <v>45540</v>
      </c>
      <c r="D178" t="str">
        <f>IFERROR(_xlfn.XLOOKUP(A178,'E-Mail BD'!B:B,'E-Mail BD'!A:A),"-")</f>
        <v>031.584.294/0001-70</v>
      </c>
      <c r="E178" s="2" t="str">
        <f t="shared" si="2"/>
        <v>31584294000170</v>
      </c>
    </row>
    <row r="179" spans="1:5" x14ac:dyDescent="0.25">
      <c r="A179" t="s">
        <v>69</v>
      </c>
      <c r="B179" t="s">
        <v>10</v>
      </c>
      <c r="C179" s="12">
        <f>IF(A179=""," ",IF(_xlfn.MINIFS('E-Mail BD'!D:D,'E-Mail BD'!B:B,A179)=0,"NÃO APARECEU AINDA",_xlfn.MINIFS('E-Mail BD'!D:D,'E-Mail BD'!B:B,A179)))</f>
        <v>45738</v>
      </c>
      <c r="D179" t="str">
        <f>IFERROR(_xlfn.XLOOKUP(A179,'E-Mail BD'!B:B,'E-Mail BD'!A:A),"-")</f>
        <v>028.393.466/0001-13</v>
      </c>
      <c r="E179" s="2" t="str">
        <f t="shared" si="2"/>
        <v>28393466000113</v>
      </c>
    </row>
    <row r="180" spans="1:5" x14ac:dyDescent="0.25">
      <c r="A180" t="s">
        <v>192</v>
      </c>
      <c r="B180" t="s">
        <v>20</v>
      </c>
      <c r="C180" s="12">
        <f>IF(A180=""," ",IF(_xlfn.MINIFS('E-Mail BD'!D:D,'E-Mail BD'!B:B,A180)=0,"NÃO APARECEU AINDA",_xlfn.MINIFS('E-Mail BD'!D:D,'E-Mail BD'!B:B,A180)))</f>
        <v>45601</v>
      </c>
      <c r="D180" t="str">
        <f>IFERROR(_xlfn.XLOOKUP(A180,'E-Mail BD'!B:B,'E-Mail BD'!A:A),"-")</f>
        <v>014.385.825/0001-86</v>
      </c>
      <c r="E180" s="2" t="str">
        <f t="shared" si="2"/>
        <v>14385825000186</v>
      </c>
    </row>
    <row r="181" spans="1:5" x14ac:dyDescent="0.25">
      <c r="A181" t="s">
        <v>91</v>
      </c>
      <c r="B181" t="s">
        <v>16</v>
      </c>
      <c r="C181" s="12">
        <f>IF(A181=""," ",IF(_xlfn.MINIFS('E-Mail BD'!D:D,'E-Mail BD'!B:B,A181)=0,"NÃO APARECEU AINDA",_xlfn.MINIFS('E-Mail BD'!D:D,'E-Mail BD'!B:B,A181)))</f>
        <v>45537</v>
      </c>
      <c r="D181" t="str">
        <f>IFERROR(_xlfn.XLOOKUP(A181,'E-Mail BD'!B:B,'E-Mail BD'!A:A),"-")</f>
        <v>010.220.445/0001-30</v>
      </c>
      <c r="E181" s="2" t="str">
        <f t="shared" si="2"/>
        <v>10220445000130</v>
      </c>
    </row>
    <row r="182" spans="1:5" x14ac:dyDescent="0.25">
      <c r="A182" t="s">
        <v>87</v>
      </c>
      <c r="B182" t="s">
        <v>8</v>
      </c>
      <c r="C182" s="12">
        <f>IF(A182=""," ",IF(_xlfn.MINIFS('E-Mail BD'!D:D,'E-Mail BD'!B:B,A182)=0,"NÃO APARECEU AINDA",_xlfn.MINIFS('E-Mail BD'!D:D,'E-Mail BD'!B:B,A182)))</f>
        <v>45537</v>
      </c>
      <c r="D182" t="str">
        <f>IFERROR(_xlfn.XLOOKUP(A182,'E-Mail BD'!B:B,'E-Mail BD'!A:A),"-")</f>
        <v>003.590.360/0001-89</v>
      </c>
      <c r="E182" s="2" t="str">
        <f t="shared" si="2"/>
        <v>03590360000189</v>
      </c>
    </row>
    <row r="183" spans="1:5" x14ac:dyDescent="0.25">
      <c r="A183" t="s">
        <v>273</v>
      </c>
      <c r="B183" t="s">
        <v>28</v>
      </c>
      <c r="C183" s="12">
        <f>IF(A183=""," ",IF(_xlfn.MINIFS('E-Mail BD'!D:D,'E-Mail BD'!B:B,A183)=0,"NÃO APARECEU AINDA",_xlfn.MINIFS('E-Mail BD'!D:D,'E-Mail BD'!B:B,A183)))</f>
        <v>45777</v>
      </c>
      <c r="D183" t="str">
        <f>IFERROR(_xlfn.XLOOKUP(A183,'E-Mail BD'!B:B,'E-Mail BD'!A:A),"-")</f>
        <v>005.774.638/0001-01</v>
      </c>
      <c r="E183" s="2" t="str">
        <f t="shared" si="2"/>
        <v>05774638000101</v>
      </c>
    </row>
    <row r="184" spans="1:5" x14ac:dyDescent="0.25">
      <c r="A184" t="s">
        <v>152</v>
      </c>
      <c r="B184" t="s">
        <v>13</v>
      </c>
      <c r="C184" s="12">
        <f>IF(A184=""," ",IF(_xlfn.MINIFS('E-Mail BD'!D:D,'E-Mail BD'!B:B,A184)=0,"NÃO APARECEU AINDA",_xlfn.MINIFS('E-Mail BD'!D:D,'E-Mail BD'!B:B,A184)))</f>
        <v>45560</v>
      </c>
      <c r="D184" t="str">
        <f>IFERROR(_xlfn.XLOOKUP(A184,'E-Mail BD'!B:B,'E-Mail BD'!A:A),"-")</f>
        <v>019.450.138/0001-10</v>
      </c>
      <c r="E184" s="2" t="str">
        <f t="shared" si="2"/>
        <v>19450138000110</v>
      </c>
    </row>
    <row r="185" spans="1:5" x14ac:dyDescent="0.25">
      <c r="A185" t="s">
        <v>92</v>
      </c>
      <c r="B185" t="s">
        <v>16</v>
      </c>
      <c r="C185" s="12">
        <f>IF(A185=""," ",IF(_xlfn.MINIFS('E-Mail BD'!D:D,'E-Mail BD'!B:B,A185)=0,"NÃO APARECEU AINDA",_xlfn.MINIFS('E-Mail BD'!D:D,'E-Mail BD'!B:B,A185)))</f>
        <v>45537</v>
      </c>
      <c r="D185" t="str">
        <f>IFERROR(_xlfn.XLOOKUP(A185,'E-Mail BD'!B:B,'E-Mail BD'!A:A),"-")</f>
        <v>019.709.129/0001-00</v>
      </c>
      <c r="E185" s="2" t="str">
        <f t="shared" si="2"/>
        <v>19709129000100</v>
      </c>
    </row>
    <row r="186" spans="1:5" x14ac:dyDescent="0.25">
      <c r="A186" t="s">
        <v>100</v>
      </c>
      <c r="B186" t="s">
        <v>5</v>
      </c>
      <c r="C186" s="12">
        <f>IF(A186=""," ",IF(_xlfn.MINIFS('E-Mail BD'!D:D,'E-Mail BD'!B:B,A186)=0,"NÃO APARECEU AINDA",_xlfn.MINIFS('E-Mail BD'!D:D,'E-Mail BD'!B:B,A186)))</f>
        <v>45538</v>
      </c>
      <c r="D186" t="str">
        <f>IFERROR(_xlfn.XLOOKUP(A186,'E-Mail BD'!B:B,'E-Mail BD'!A:A),"-")</f>
        <v>007.786.648/0001-84</v>
      </c>
      <c r="E186" s="2" t="str">
        <f t="shared" si="2"/>
        <v>07786648000184</v>
      </c>
    </row>
    <row r="187" spans="1:5" x14ac:dyDescent="0.25">
      <c r="A187" t="s">
        <v>544</v>
      </c>
      <c r="B187" t="s">
        <v>29</v>
      </c>
      <c r="C187" s="12" t="str">
        <f>IF(A187=""," ",IF(_xlfn.MINIFS('E-Mail BD'!D:D,'E-Mail BD'!B:B,A187)=0,"NÃO APARECEU AINDA",_xlfn.MINIFS('E-Mail BD'!D:D,'E-Mail BD'!B:B,A187)))</f>
        <v>NÃO APARECEU AINDA</v>
      </c>
      <c r="D187" t="str">
        <f>IFERROR(_xlfn.XLOOKUP(A187,'E-Mail BD'!B:B,'E-Mail BD'!A:A),"-")</f>
        <v>-</v>
      </c>
      <c r="E187" s="2" t="str">
        <f t="shared" si="2"/>
        <v>-</v>
      </c>
    </row>
    <row r="188" spans="1:5" x14ac:dyDescent="0.25">
      <c r="A188" t="s">
        <v>221</v>
      </c>
      <c r="B188" t="s">
        <v>25</v>
      </c>
      <c r="C188" s="12">
        <f>IF(A188=""," ",IF(_xlfn.MINIFS('E-Mail BD'!D:D,'E-Mail BD'!B:B,A188)=0,"NÃO APARECEU AINDA",_xlfn.MINIFS('E-Mail BD'!D:D,'E-Mail BD'!B:B,A188)))</f>
        <v>45680</v>
      </c>
      <c r="D188" t="str">
        <f>IFERROR(_xlfn.XLOOKUP(A188,'E-Mail BD'!B:B,'E-Mail BD'!A:A),"-")</f>
        <v>046.674.060/0001-90</v>
      </c>
      <c r="E188" s="2" t="str">
        <f t="shared" si="2"/>
        <v>46674060000190</v>
      </c>
    </row>
    <row r="189" spans="1:5" x14ac:dyDescent="0.25">
      <c r="A189" t="s">
        <v>606</v>
      </c>
      <c r="B189" t="s">
        <v>25</v>
      </c>
      <c r="C189" s="12">
        <f>IF(A189=""," ",IF(_xlfn.MINIFS('E-Mail BD'!D:D,'E-Mail BD'!B:B,A189)=0,"NÃO APARECEU AINDA",_xlfn.MINIFS('E-Mail BD'!D:D,'E-Mail BD'!B:B,A189)))</f>
        <v>45826</v>
      </c>
      <c r="D189" t="str">
        <f>IFERROR(_xlfn.XLOOKUP(A189,'E-Mail BD'!B:B,'E-Mail BD'!A:A),"-")</f>
        <v>041.397.377/0001-03</v>
      </c>
      <c r="E189" s="2" t="str">
        <f t="shared" si="2"/>
        <v>41397377000103</v>
      </c>
    </row>
    <row r="190" spans="1:5" x14ac:dyDescent="0.25">
      <c r="A190" t="s">
        <v>271</v>
      </c>
      <c r="B190" t="s">
        <v>20</v>
      </c>
      <c r="C190" s="12">
        <f>IF(A190=""," ",IF(_xlfn.MINIFS('E-Mail BD'!D:D,'E-Mail BD'!B:B,A190)=0,"NÃO APARECEU AINDA",_xlfn.MINIFS('E-Mail BD'!D:D,'E-Mail BD'!B:B,A190)))</f>
        <v>45772</v>
      </c>
      <c r="D190" t="str">
        <f>IFERROR(_xlfn.XLOOKUP(A190,'E-Mail BD'!B:B,'E-Mail BD'!A:A),"-")</f>
        <v>013.749.701/0001-70</v>
      </c>
      <c r="E190" s="2" t="str">
        <f t="shared" si="2"/>
        <v>13749701000170</v>
      </c>
    </row>
    <row r="191" spans="1:5" x14ac:dyDescent="0.25">
      <c r="A191" t="s">
        <v>134</v>
      </c>
      <c r="B191" t="s">
        <v>5</v>
      </c>
      <c r="C191" s="12">
        <f>IF(A191=""," ",IF(_xlfn.MINIFS('E-Mail BD'!D:D,'E-Mail BD'!B:B,A191)=0,"NÃO APARECEU AINDA",_xlfn.MINIFS('E-Mail BD'!D:D,'E-Mail BD'!B:B,A191)))</f>
        <v>45551</v>
      </c>
      <c r="D191" t="str">
        <f>IFERROR(_xlfn.XLOOKUP(A191,'E-Mail BD'!B:B,'E-Mail BD'!A:A),"-")</f>
        <v>048.144.853/0001-23</v>
      </c>
      <c r="E191" s="2" t="str">
        <f t="shared" si="2"/>
        <v>48144853000123</v>
      </c>
    </row>
    <row r="192" spans="1:5" x14ac:dyDescent="0.25">
      <c r="A192" t="s">
        <v>575</v>
      </c>
      <c r="B192" t="s">
        <v>9</v>
      </c>
      <c r="C192" s="12" t="str">
        <f>IF(A192=""," ",IF(_xlfn.MINIFS('E-Mail BD'!D:D,'E-Mail BD'!B:B,A192)=0,"NÃO APARECEU AINDA",_xlfn.MINIFS('E-Mail BD'!D:D,'E-Mail BD'!B:B,A192)))</f>
        <v>NÃO APARECEU AINDA</v>
      </c>
      <c r="D192" t="str">
        <f>IFERROR(_xlfn.XLOOKUP(A192,'E-Mail BD'!B:B,'E-Mail BD'!A:A),"-")</f>
        <v>-</v>
      </c>
      <c r="E192" s="2" t="str">
        <f t="shared" si="2"/>
        <v>-</v>
      </c>
    </row>
    <row r="193" spans="1:5" x14ac:dyDescent="0.25">
      <c r="A193" t="s">
        <v>125</v>
      </c>
      <c r="B193" t="s">
        <v>8</v>
      </c>
      <c r="C193" s="12">
        <f>IF(A193=""," ",IF(_xlfn.MINIFS('E-Mail BD'!D:D,'E-Mail BD'!B:B,A193)=0,"NÃO APARECEU AINDA",_xlfn.MINIFS('E-Mail BD'!D:D,'E-Mail BD'!B:B,A193)))</f>
        <v>45545</v>
      </c>
      <c r="D193" t="str">
        <f>IFERROR(_xlfn.XLOOKUP(A193,'E-Mail BD'!B:B,'E-Mail BD'!A:A),"-")</f>
        <v>029.030.307/0001-17</v>
      </c>
      <c r="E193" s="2" t="str">
        <f t="shared" si="2"/>
        <v>29030307000117</v>
      </c>
    </row>
    <row r="194" spans="1:5" x14ac:dyDescent="0.25">
      <c r="A194" t="s">
        <v>582</v>
      </c>
      <c r="B194" t="s">
        <v>633</v>
      </c>
      <c r="C194" s="12" t="str">
        <f>IF(A194=""," ",IF(_xlfn.MINIFS('E-Mail BD'!D:D,'E-Mail BD'!B:B,A194)=0,"NÃO APARECEU AINDA",_xlfn.MINIFS('E-Mail BD'!D:D,'E-Mail BD'!B:B,A194)))</f>
        <v>NÃO APARECEU AINDA</v>
      </c>
      <c r="D194" t="str">
        <f>IFERROR(_xlfn.XLOOKUP(A194,'E-Mail BD'!B:B,'E-Mail BD'!A:A),"-")</f>
        <v>-</v>
      </c>
      <c r="E194" s="2" t="str">
        <f t="shared" ref="E194:E257" si="3">IF(RIGHT(SUBSTITUTE(SUBSTITUTE(SUBSTITUTE(D194,".",""),"/",""),"-",""),14)="","-",RIGHT(SUBSTITUTE(SUBSTITUTE(SUBSTITUTE(D194,".",""),"/",""),"-",""),14))</f>
        <v>-</v>
      </c>
    </row>
    <row r="195" spans="1:5" x14ac:dyDescent="0.25">
      <c r="A195" t="s">
        <v>224</v>
      </c>
      <c r="B195" t="s">
        <v>8</v>
      </c>
      <c r="C195" s="12">
        <f>IF(A195=""," ",IF(_xlfn.MINIFS('E-Mail BD'!D:D,'E-Mail BD'!B:B,A195)=0,"NÃO APARECEU AINDA",_xlfn.MINIFS('E-Mail BD'!D:D,'E-Mail BD'!B:B,A195)))</f>
        <v>45682</v>
      </c>
      <c r="D195" t="str">
        <f>IFERROR(_xlfn.XLOOKUP(A195,'E-Mail BD'!B:B,'E-Mail BD'!A:A),"-")</f>
        <v>047.635.671/0001-92</v>
      </c>
      <c r="E195" s="2" t="str">
        <f t="shared" si="3"/>
        <v>47635671000192</v>
      </c>
    </row>
    <row r="196" spans="1:5" x14ac:dyDescent="0.25">
      <c r="A196" t="s">
        <v>605</v>
      </c>
      <c r="B196" t="s">
        <v>31</v>
      </c>
      <c r="C196" s="12" t="str">
        <f>IF(A196=""," ",IF(_xlfn.MINIFS('E-Mail BD'!D:D,'E-Mail BD'!B:B,A196)=0,"NÃO APARECEU AINDA",_xlfn.MINIFS('E-Mail BD'!D:D,'E-Mail BD'!B:B,A196)))</f>
        <v>NÃO APARECEU AINDA</v>
      </c>
      <c r="D196" t="str">
        <f>IFERROR(_xlfn.XLOOKUP(A196,'E-Mail BD'!B:B,'E-Mail BD'!A:A),"-")</f>
        <v>-</v>
      </c>
      <c r="E196" s="2" t="str">
        <f t="shared" si="3"/>
        <v>-</v>
      </c>
    </row>
    <row r="197" spans="1:5" x14ac:dyDescent="0.25">
      <c r="A197" t="s">
        <v>307</v>
      </c>
      <c r="B197" t="s">
        <v>20</v>
      </c>
      <c r="C197" s="12">
        <f>IF(A197=""," ",IF(_xlfn.MINIFS('E-Mail BD'!D:D,'E-Mail BD'!B:B,A197)=0,"NÃO APARECEU AINDA",_xlfn.MINIFS('E-Mail BD'!D:D,'E-Mail BD'!B:B,A197)))</f>
        <v>45811</v>
      </c>
      <c r="D197" t="str">
        <f>IFERROR(_xlfn.XLOOKUP(A197,'E-Mail BD'!B:B,'E-Mail BD'!A:A),"-")</f>
        <v>009.674.456/0001-01</v>
      </c>
      <c r="E197" s="2" t="str">
        <f t="shared" si="3"/>
        <v>09674456000101</v>
      </c>
    </row>
    <row r="198" spans="1:5" x14ac:dyDescent="0.25">
      <c r="A198" t="s">
        <v>159</v>
      </c>
      <c r="B198" t="s">
        <v>10</v>
      </c>
      <c r="C198" s="12">
        <f>IF(A198=""," ",IF(_xlfn.MINIFS('E-Mail BD'!D:D,'E-Mail BD'!B:B,A198)=0,"NÃO APARECEU AINDA",_xlfn.MINIFS('E-Mail BD'!D:D,'E-Mail BD'!B:B,A198)))</f>
        <v>45567</v>
      </c>
      <c r="D198" t="str">
        <f>IFERROR(_xlfn.XLOOKUP(A198,'E-Mail BD'!B:B,'E-Mail BD'!A:A),"-")</f>
        <v>001.636.335/0001-63</v>
      </c>
      <c r="E198" s="2" t="str">
        <f t="shared" si="3"/>
        <v>01636335000163</v>
      </c>
    </row>
    <row r="199" spans="1:5" x14ac:dyDescent="0.25">
      <c r="A199" t="s">
        <v>135</v>
      </c>
      <c r="B199" t="s">
        <v>5</v>
      </c>
      <c r="C199" s="12">
        <f>IF(A199=""," ",IF(_xlfn.MINIFS('E-Mail BD'!D:D,'E-Mail BD'!B:B,A199)=0,"NÃO APARECEU AINDA",_xlfn.MINIFS('E-Mail BD'!D:D,'E-Mail BD'!B:B,A199)))</f>
        <v>45551</v>
      </c>
      <c r="D199" t="str">
        <f>IFERROR(_xlfn.XLOOKUP(A199,'E-Mail BD'!B:B,'E-Mail BD'!A:A),"-")</f>
        <v>010.497.973/0001-31</v>
      </c>
      <c r="E199" s="2" t="str">
        <f t="shared" si="3"/>
        <v>10497973000131</v>
      </c>
    </row>
    <row r="200" spans="1:5" x14ac:dyDescent="0.25">
      <c r="A200" t="s">
        <v>149</v>
      </c>
      <c r="B200" t="s">
        <v>23</v>
      </c>
      <c r="C200" s="12">
        <f>IF(A200=""," ",IF(_xlfn.MINIFS('E-Mail BD'!D:D,'E-Mail BD'!B:B,A200)=0,"NÃO APARECEU AINDA",_xlfn.MINIFS('E-Mail BD'!D:D,'E-Mail BD'!B:B,A200)))</f>
        <v>45556</v>
      </c>
      <c r="D200" t="str">
        <f>IFERROR(_xlfn.XLOOKUP(A200,'E-Mail BD'!B:B,'E-Mail BD'!A:A),"-")</f>
        <v>012.804.762/0001-20</v>
      </c>
      <c r="E200" s="2" t="str">
        <f t="shared" si="3"/>
        <v>12804762000120</v>
      </c>
    </row>
    <row r="201" spans="1:5" x14ac:dyDescent="0.25">
      <c r="A201" t="s">
        <v>169</v>
      </c>
      <c r="B201" t="s">
        <v>10</v>
      </c>
      <c r="C201" s="12">
        <f>IF(A201=""," ",IF(_xlfn.MINIFS('E-Mail BD'!D:D,'E-Mail BD'!B:B,A201)=0,"NÃO APARECEU AINDA",_xlfn.MINIFS('E-Mail BD'!D:D,'E-Mail BD'!B:B,A201)))</f>
        <v>45575</v>
      </c>
      <c r="D201" t="str">
        <f>IFERROR(_xlfn.XLOOKUP(A201,'E-Mail BD'!B:B,'E-Mail BD'!A:A),"-")</f>
        <v>024.331.138/0001-31</v>
      </c>
      <c r="E201" s="2" t="str">
        <f t="shared" si="3"/>
        <v>24331138000131</v>
      </c>
    </row>
    <row r="202" spans="1:5" x14ac:dyDescent="0.25">
      <c r="A202" t="s">
        <v>251</v>
      </c>
      <c r="B202" t="s">
        <v>25</v>
      </c>
      <c r="C202" s="12">
        <f>IF(A202=""," ",IF(_xlfn.MINIFS('E-Mail BD'!D:D,'E-Mail BD'!B:B,A202)=0,"NÃO APARECEU AINDA",_xlfn.MINIFS('E-Mail BD'!D:D,'E-Mail BD'!B:B,A202)))</f>
        <v>45741</v>
      </c>
      <c r="D202" t="str">
        <f>IFERROR(_xlfn.XLOOKUP(A202,'E-Mail BD'!B:B,'E-Mail BD'!A:A),"-")</f>
        <v>051.980.425/0001-45</v>
      </c>
      <c r="E202" s="2" t="str">
        <f t="shared" si="3"/>
        <v>51980425000145</v>
      </c>
    </row>
    <row r="203" spans="1:5" x14ac:dyDescent="0.25">
      <c r="A203" t="s">
        <v>286</v>
      </c>
      <c r="B203" t="s">
        <v>25</v>
      </c>
      <c r="C203" s="12">
        <f>IF(A203=""," ",IF(_xlfn.MINIFS('E-Mail BD'!D:D,'E-Mail BD'!B:B,A203)=0,"NÃO APARECEU AINDA",_xlfn.MINIFS('E-Mail BD'!D:D,'E-Mail BD'!B:B,A203)))</f>
        <v>45791</v>
      </c>
      <c r="D203" t="str">
        <f>IFERROR(_xlfn.XLOOKUP(A203,'E-Mail BD'!B:B,'E-Mail BD'!A:A),"-")</f>
        <v>033.611.837/0001-26</v>
      </c>
      <c r="E203" s="2" t="str">
        <f t="shared" si="3"/>
        <v>33611837000126</v>
      </c>
    </row>
    <row r="204" spans="1:5" x14ac:dyDescent="0.25">
      <c r="A204" t="s">
        <v>253</v>
      </c>
      <c r="B204" t="s">
        <v>22</v>
      </c>
      <c r="C204" s="12">
        <f>IF(A204=""," ",IF(_xlfn.MINIFS('E-Mail BD'!D:D,'E-Mail BD'!B:B,A204)=0,"NÃO APARECEU AINDA",_xlfn.MINIFS('E-Mail BD'!D:D,'E-Mail BD'!B:B,A204)))</f>
        <v>45743</v>
      </c>
      <c r="D204" t="str">
        <f>IFERROR(_xlfn.XLOOKUP(A204,'E-Mail BD'!B:B,'E-Mail BD'!A:A),"-")</f>
        <v>043.515.558/0001-12</v>
      </c>
      <c r="E204" s="2" t="str">
        <f t="shared" si="3"/>
        <v>43515558000112</v>
      </c>
    </row>
    <row r="205" spans="1:5" x14ac:dyDescent="0.25">
      <c r="A205" t="s">
        <v>104</v>
      </c>
      <c r="B205" t="s">
        <v>22</v>
      </c>
      <c r="C205" s="12">
        <f>IF(A205=""," ",IF(_xlfn.MINIFS('E-Mail BD'!D:D,'E-Mail BD'!B:B,A205)=0,"NÃO APARECEU AINDA",_xlfn.MINIFS('E-Mail BD'!D:D,'E-Mail BD'!B:B,A205)))</f>
        <v>45538</v>
      </c>
      <c r="D205" t="str">
        <f>IFERROR(_xlfn.XLOOKUP(A205,'E-Mail BD'!B:B,'E-Mail BD'!A:A),"-")</f>
        <v>043.515.558/0001-12</v>
      </c>
      <c r="E205" s="2" t="str">
        <f t="shared" si="3"/>
        <v>43515558000112</v>
      </c>
    </row>
    <row r="206" spans="1:5" x14ac:dyDescent="0.25">
      <c r="A206" t="s">
        <v>580</v>
      </c>
      <c r="B206" t="s">
        <v>20</v>
      </c>
      <c r="C206" s="12" t="str">
        <f>IF(A206=""," ",IF(_xlfn.MINIFS('E-Mail BD'!D:D,'E-Mail BD'!B:B,A206)=0,"NÃO APARECEU AINDA",_xlfn.MINIFS('E-Mail BD'!D:D,'E-Mail BD'!B:B,A206)))</f>
        <v>NÃO APARECEU AINDA</v>
      </c>
      <c r="D206" t="str">
        <f>IFERROR(_xlfn.XLOOKUP(A206,'E-Mail BD'!B:B,'E-Mail BD'!A:A),"-")</f>
        <v>-</v>
      </c>
      <c r="E206" s="2" t="str">
        <f t="shared" si="3"/>
        <v>-</v>
      </c>
    </row>
    <row r="207" spans="1:5" x14ac:dyDescent="0.25">
      <c r="A207" t="s">
        <v>561</v>
      </c>
      <c r="B207" t="s">
        <v>31</v>
      </c>
      <c r="C207" s="12">
        <f>IF(A207=""," ",IF(_xlfn.MINIFS('E-Mail BD'!D:D,'E-Mail BD'!B:B,A207)=0,"NÃO APARECEU AINDA",_xlfn.MINIFS('E-Mail BD'!D:D,'E-Mail BD'!B:B,A207)))</f>
        <v>45827</v>
      </c>
      <c r="D207" t="str">
        <f>IFERROR(_xlfn.XLOOKUP(A207,'E-Mail BD'!B:B,'E-Mail BD'!A:A),"-")</f>
        <v>033.281.410/0001-07</v>
      </c>
      <c r="E207" s="2" t="str">
        <f t="shared" si="3"/>
        <v>33281410000107</v>
      </c>
    </row>
    <row r="208" spans="1:5" x14ac:dyDescent="0.25">
      <c r="A208" t="s">
        <v>128</v>
      </c>
      <c r="B208" t="s">
        <v>19</v>
      </c>
      <c r="C208" s="12">
        <f>IF(A208=""," ",IF(_xlfn.MINIFS('E-Mail BD'!D:D,'E-Mail BD'!B:B,A208)=0,"NÃO APARECEU AINDA",_xlfn.MINIFS('E-Mail BD'!D:D,'E-Mail BD'!B:B,A208)))</f>
        <v>45545</v>
      </c>
      <c r="D208" t="str">
        <f>IFERROR(_xlfn.XLOOKUP(A208,'E-Mail BD'!B:B,'E-Mail BD'!A:A),"-")</f>
        <v>046.700.220/0001-29</v>
      </c>
      <c r="E208" s="2" t="str">
        <f t="shared" si="3"/>
        <v>46700220000129</v>
      </c>
    </row>
    <row r="209" spans="1:5" x14ac:dyDescent="0.25">
      <c r="A209" t="s">
        <v>292</v>
      </c>
      <c r="B209" t="s">
        <v>26</v>
      </c>
      <c r="C209" s="12">
        <f>IF(A209=""," ",IF(_xlfn.MINIFS('E-Mail BD'!D:D,'E-Mail BD'!B:B,A209)=0,"NÃO APARECEU AINDA",_xlfn.MINIFS('E-Mail BD'!D:D,'E-Mail BD'!B:B,A209)))</f>
        <v>45793</v>
      </c>
      <c r="D209" t="str">
        <f>IFERROR(_xlfn.XLOOKUP(A209,'E-Mail BD'!B:B,'E-Mail BD'!A:A),"-")</f>
        <v>041.921.772/0001-43</v>
      </c>
      <c r="E209" s="2" t="str">
        <f t="shared" si="3"/>
        <v>41921772000143</v>
      </c>
    </row>
    <row r="210" spans="1:5" x14ac:dyDescent="0.25">
      <c r="A210" t="s">
        <v>242</v>
      </c>
      <c r="B210" t="s">
        <v>10</v>
      </c>
      <c r="C210" s="12">
        <f>IF(A210=""," ",IF(_xlfn.MINIFS('E-Mail BD'!D:D,'E-Mail BD'!B:B,A210)=0,"NÃO APARECEU AINDA",_xlfn.MINIFS('E-Mail BD'!D:D,'E-Mail BD'!B:B,A210)))</f>
        <v>45737</v>
      </c>
      <c r="D210" t="str">
        <f>IFERROR(_xlfn.XLOOKUP(A210,'E-Mail BD'!B:B,'E-Mail BD'!A:A),"-")</f>
        <v>040.938.741/0001-32</v>
      </c>
      <c r="E210" s="2" t="str">
        <f t="shared" si="3"/>
        <v>40938741000132</v>
      </c>
    </row>
    <row r="211" spans="1:5" x14ac:dyDescent="0.25">
      <c r="A211" t="s">
        <v>195</v>
      </c>
      <c r="B211" t="s">
        <v>25</v>
      </c>
      <c r="C211" s="12">
        <f>IF(A211=""," ",IF(_xlfn.MINIFS('E-Mail BD'!D:D,'E-Mail BD'!B:B,A211)=0,"NÃO APARECEU AINDA",_xlfn.MINIFS('E-Mail BD'!D:D,'E-Mail BD'!B:B,A211)))</f>
        <v>45612</v>
      </c>
      <c r="D211" t="str">
        <f>IFERROR(_xlfn.XLOOKUP(A211,'E-Mail BD'!B:B,'E-Mail BD'!A:A),"-")</f>
        <v>005.355.135/0001-93</v>
      </c>
      <c r="E211" s="2" t="str">
        <f t="shared" si="3"/>
        <v>05355135000193</v>
      </c>
    </row>
    <row r="212" spans="1:5" x14ac:dyDescent="0.25">
      <c r="A212" t="s">
        <v>153</v>
      </c>
      <c r="B212" t="s">
        <v>14</v>
      </c>
      <c r="C212" s="12">
        <f>IF(A212=""," ",IF(_xlfn.MINIFS('E-Mail BD'!D:D,'E-Mail BD'!B:B,A212)=0,"NÃO APARECEU AINDA",_xlfn.MINIFS('E-Mail BD'!D:D,'E-Mail BD'!B:B,A212)))</f>
        <v>45562</v>
      </c>
      <c r="D212" t="str">
        <f>IFERROR(_xlfn.XLOOKUP(A212,'E-Mail BD'!B:B,'E-Mail BD'!A:A),"-")</f>
        <v>045.871.536/0001-10</v>
      </c>
      <c r="E212" s="2" t="str">
        <f t="shared" si="3"/>
        <v>45871536000110</v>
      </c>
    </row>
    <row r="213" spans="1:5" x14ac:dyDescent="0.25">
      <c r="A213" t="s">
        <v>264</v>
      </c>
      <c r="B213" t="s">
        <v>21</v>
      </c>
      <c r="C213" s="12">
        <f>IF(A213=""," ",IF(_xlfn.MINIFS('E-Mail BD'!D:D,'E-Mail BD'!B:B,A213)=0,"NÃO APARECEU AINDA",_xlfn.MINIFS('E-Mail BD'!D:D,'E-Mail BD'!B:B,A213)))</f>
        <v>45762</v>
      </c>
      <c r="D213" t="str">
        <f>IFERROR(_xlfn.XLOOKUP(A213,'E-Mail BD'!B:B,'E-Mail BD'!A:A),"-")</f>
        <v>040.828.273/0001-43</v>
      </c>
      <c r="E213" s="2" t="str">
        <f t="shared" si="3"/>
        <v>40828273000143</v>
      </c>
    </row>
    <row r="214" spans="1:5" x14ac:dyDescent="0.25">
      <c r="A214" t="s">
        <v>243</v>
      </c>
      <c r="B214" t="s">
        <v>10</v>
      </c>
      <c r="C214" s="12">
        <f>IF(A214=""," ",IF(_xlfn.MINIFS('E-Mail BD'!D:D,'E-Mail BD'!B:B,A214)=0,"NÃO APARECEU AINDA",_xlfn.MINIFS('E-Mail BD'!D:D,'E-Mail BD'!B:B,A214)))</f>
        <v>45737</v>
      </c>
      <c r="D214" t="str">
        <f>IFERROR(_xlfn.XLOOKUP(A214,'E-Mail BD'!B:B,'E-Mail BD'!A:A),"-")</f>
        <v>045.501.529/0001-27</v>
      </c>
      <c r="E214" s="2" t="str">
        <f t="shared" si="3"/>
        <v>45501529000127</v>
      </c>
    </row>
    <row r="215" spans="1:5" x14ac:dyDescent="0.25">
      <c r="A215" t="s">
        <v>220</v>
      </c>
      <c r="B215" t="s">
        <v>20</v>
      </c>
      <c r="C215" s="12">
        <f>IF(A215=""," ",IF(_xlfn.MINIFS('E-Mail BD'!D:D,'E-Mail BD'!B:B,A215)=0,"NÃO APARECEU AINDA",_xlfn.MINIFS('E-Mail BD'!D:D,'E-Mail BD'!B:B,A215)))</f>
        <v>45680</v>
      </c>
      <c r="D215" t="str">
        <f>IFERROR(_xlfn.XLOOKUP(A215,'E-Mail BD'!B:B,'E-Mail BD'!A:A),"-")</f>
        <v>050.850.666/0001-07</v>
      </c>
      <c r="E215" s="2" t="str">
        <f t="shared" si="3"/>
        <v>50850666000107</v>
      </c>
    </row>
    <row r="216" spans="1:5" x14ac:dyDescent="0.25">
      <c r="A216" t="s">
        <v>235</v>
      </c>
      <c r="B216" t="s">
        <v>20</v>
      </c>
      <c r="C216" s="12">
        <f>IF(A216=""," ",IF(_xlfn.MINIFS('E-Mail BD'!D:D,'E-Mail BD'!B:B,A216)=0,"NÃO APARECEU AINDA",_xlfn.MINIFS('E-Mail BD'!D:D,'E-Mail BD'!B:B,A216)))</f>
        <v>45693</v>
      </c>
      <c r="D216" t="str">
        <f>IFERROR(_xlfn.XLOOKUP(A216,'E-Mail BD'!B:B,'E-Mail BD'!A:A),"-")</f>
        <v>039.822.835/0001-62</v>
      </c>
      <c r="E216" s="2" t="str">
        <f t="shared" si="3"/>
        <v>39822835000162</v>
      </c>
    </row>
    <row r="217" spans="1:5" x14ac:dyDescent="0.25">
      <c r="A217" t="s">
        <v>207</v>
      </c>
      <c r="B217" t="s">
        <v>25</v>
      </c>
      <c r="C217" s="12">
        <f>IF(A217=""," ",IF(_xlfn.MINIFS('E-Mail BD'!D:D,'E-Mail BD'!B:B,A217)=0,"NÃO APARECEU AINDA",_xlfn.MINIFS('E-Mail BD'!D:D,'E-Mail BD'!B:B,A217)))</f>
        <v>45669</v>
      </c>
      <c r="D217" t="str">
        <f>IFERROR(_xlfn.XLOOKUP(A217,'E-Mail BD'!B:B,'E-Mail BD'!A:A),"-")</f>
        <v>050.901.671/0001-00</v>
      </c>
      <c r="E217" s="2" t="str">
        <f t="shared" si="3"/>
        <v>50901671000100</v>
      </c>
    </row>
    <row r="218" spans="1:5" x14ac:dyDescent="0.25">
      <c r="A218" t="s">
        <v>166</v>
      </c>
      <c r="B218" t="s">
        <v>20</v>
      </c>
      <c r="C218" s="12">
        <f>IF(A218=""," ",IF(_xlfn.MINIFS('E-Mail BD'!D:D,'E-Mail BD'!B:B,A218)=0,"NÃO APARECEU AINDA",_xlfn.MINIFS('E-Mail BD'!D:D,'E-Mail BD'!B:B,A218)))</f>
        <v>45574</v>
      </c>
      <c r="D218" t="str">
        <f>IFERROR(_xlfn.XLOOKUP(A218,'E-Mail BD'!B:B,'E-Mail BD'!A:A),"-")</f>
        <v>000.810.852/0001-44</v>
      </c>
      <c r="E218" s="2" t="str">
        <f t="shared" si="3"/>
        <v>00810852000144</v>
      </c>
    </row>
    <row r="219" spans="1:5" x14ac:dyDescent="0.25">
      <c r="A219" t="s">
        <v>213</v>
      </c>
      <c r="B219" t="s">
        <v>7</v>
      </c>
      <c r="C219" s="12">
        <f>IF(A219=""," ",IF(_xlfn.MINIFS('E-Mail BD'!D:D,'E-Mail BD'!B:B,A219)=0,"NÃO APARECEU AINDA",_xlfn.MINIFS('E-Mail BD'!D:D,'E-Mail BD'!B:B,A219)))</f>
        <v>45679</v>
      </c>
      <c r="D219" t="str">
        <f>IFERROR(_xlfn.XLOOKUP(A219,'E-Mail BD'!B:B,'E-Mail BD'!A:A),"-")</f>
        <v>001.831.532/0001-33</v>
      </c>
      <c r="E219" s="2" t="str">
        <f t="shared" si="3"/>
        <v>01831532000133</v>
      </c>
    </row>
    <row r="220" spans="1:5" x14ac:dyDescent="0.25">
      <c r="A220" t="s">
        <v>138</v>
      </c>
      <c r="B220" t="s">
        <v>14</v>
      </c>
      <c r="C220" s="12">
        <f>IF(A220=""," ",IF(_xlfn.MINIFS('E-Mail BD'!D:D,'E-Mail BD'!B:B,A220)=0,"NÃO APARECEU AINDA",_xlfn.MINIFS('E-Mail BD'!D:D,'E-Mail BD'!B:B,A220)))</f>
        <v>45551</v>
      </c>
      <c r="D220" t="str">
        <f>IFERROR(_xlfn.XLOOKUP(A220,'E-Mail BD'!B:B,'E-Mail BD'!A:A),"-")</f>
        <v>002.246.382/0001-63</v>
      </c>
      <c r="E220" s="2" t="str">
        <f t="shared" si="3"/>
        <v>02246382000163</v>
      </c>
    </row>
    <row r="221" spans="1:5" x14ac:dyDescent="0.25">
      <c r="A221" t="s">
        <v>244</v>
      </c>
      <c r="B221" t="s">
        <v>18</v>
      </c>
      <c r="C221" s="12">
        <f>IF(A221=""," ",IF(_xlfn.MINIFS('E-Mail BD'!D:D,'E-Mail BD'!B:B,A221)=0,"NÃO APARECEU AINDA",_xlfn.MINIFS('E-Mail BD'!D:D,'E-Mail BD'!B:B,A221)))</f>
        <v>45737</v>
      </c>
      <c r="D221" t="str">
        <f>IFERROR(_xlfn.XLOOKUP(A221,'E-Mail BD'!B:B,'E-Mail BD'!A:A),"-")</f>
        <v>018.868.117/0001-57</v>
      </c>
      <c r="E221" s="2" t="str">
        <f t="shared" si="3"/>
        <v>18868117000157</v>
      </c>
    </row>
    <row r="222" spans="1:5" x14ac:dyDescent="0.25">
      <c r="A222" t="s">
        <v>558</v>
      </c>
      <c r="B222" t="s">
        <v>5</v>
      </c>
      <c r="C222" s="12" t="str">
        <f>IF(A222=""," ",IF(_xlfn.MINIFS('E-Mail BD'!D:D,'E-Mail BD'!B:B,A222)=0,"NÃO APARECEU AINDA",_xlfn.MINIFS('E-Mail BD'!D:D,'E-Mail BD'!B:B,A222)))</f>
        <v>NÃO APARECEU AINDA</v>
      </c>
      <c r="D222" t="str">
        <f>IFERROR(_xlfn.XLOOKUP(A222,'E-Mail BD'!B:B,'E-Mail BD'!A:A),"-")</f>
        <v>-</v>
      </c>
      <c r="E222" s="2" t="str">
        <f t="shared" si="3"/>
        <v>-</v>
      </c>
    </row>
    <row r="223" spans="1:5" x14ac:dyDescent="0.25">
      <c r="A223" t="s">
        <v>162</v>
      </c>
      <c r="B223" t="s">
        <v>45</v>
      </c>
      <c r="C223" s="12">
        <f>IF(A223=""," ",IF(_xlfn.MINIFS('E-Mail BD'!D:D,'E-Mail BD'!B:B,A223)=0,"NÃO APARECEU AINDA",_xlfn.MINIFS('E-Mail BD'!D:D,'E-Mail BD'!B:B,A223)))</f>
        <v>45573</v>
      </c>
      <c r="D223" t="str">
        <f>IFERROR(_xlfn.XLOOKUP(A223,'E-Mail BD'!B:B,'E-Mail BD'!A:A),"-")</f>
        <v>012.817.803/0001-12</v>
      </c>
      <c r="E223" s="2" t="str">
        <f t="shared" si="3"/>
        <v>12817803000112</v>
      </c>
    </row>
    <row r="224" spans="1:5" x14ac:dyDescent="0.25">
      <c r="A224" t="s">
        <v>205</v>
      </c>
      <c r="B224" t="s">
        <v>5</v>
      </c>
      <c r="C224" s="12">
        <f>IF(A224=""," ",IF(_xlfn.MINIFS('E-Mail BD'!D:D,'E-Mail BD'!B:B,A224)=0,"NÃO APARECEU AINDA",_xlfn.MINIFS('E-Mail BD'!D:D,'E-Mail BD'!B:B,A224)))</f>
        <v>45651</v>
      </c>
      <c r="D224" t="str">
        <f>IFERROR(_xlfn.XLOOKUP(A224,'E-Mail BD'!B:B,'E-Mail BD'!A:A),"-")</f>
        <v>023.083.383/0001-04</v>
      </c>
      <c r="E224" s="2" t="str">
        <f t="shared" si="3"/>
        <v>23083383000104</v>
      </c>
    </row>
    <row r="225" spans="1:5" x14ac:dyDescent="0.25">
      <c r="A225" t="s">
        <v>581</v>
      </c>
      <c r="B225" t="s">
        <v>633</v>
      </c>
      <c r="C225" s="12" t="str">
        <f>IF(A225=""," ",IF(_xlfn.MINIFS('E-Mail BD'!D:D,'E-Mail BD'!B:B,A225)=0,"NÃO APARECEU AINDA",_xlfn.MINIFS('E-Mail BD'!D:D,'E-Mail BD'!B:B,A225)))</f>
        <v>NÃO APARECEU AINDA</v>
      </c>
      <c r="D225" t="str">
        <f>IFERROR(_xlfn.XLOOKUP(A225,'E-Mail BD'!B:B,'E-Mail BD'!A:A),"-")</f>
        <v>-</v>
      </c>
      <c r="E225" s="2" t="str">
        <f t="shared" si="3"/>
        <v>-</v>
      </c>
    </row>
    <row r="226" spans="1:5" x14ac:dyDescent="0.25">
      <c r="A226" t="s">
        <v>132</v>
      </c>
      <c r="B226" t="s">
        <v>8</v>
      </c>
      <c r="C226" s="12">
        <f>IF(A226=""," ",IF(_xlfn.MINIFS('E-Mail BD'!D:D,'E-Mail BD'!B:B,A226)=0,"NÃO APARECEU AINDA",_xlfn.MINIFS('E-Mail BD'!D:D,'E-Mail BD'!B:B,A226)))</f>
        <v>45548</v>
      </c>
      <c r="D226" t="str">
        <f>IFERROR(_xlfn.XLOOKUP(A226,'E-Mail BD'!B:B,'E-Mail BD'!A:A),"-")</f>
        <v>025.236.865/0001-82</v>
      </c>
      <c r="E226" s="2" t="str">
        <f t="shared" si="3"/>
        <v>25236865000182</v>
      </c>
    </row>
    <row r="227" spans="1:5" x14ac:dyDescent="0.25">
      <c r="A227" t="s">
        <v>587</v>
      </c>
      <c r="B227" t="s">
        <v>8</v>
      </c>
      <c r="C227" s="12" t="str">
        <f>IF(A227=""," ",IF(_xlfn.MINIFS('E-Mail BD'!D:D,'E-Mail BD'!B:B,A227)=0,"NÃO APARECEU AINDA",_xlfn.MINIFS('E-Mail BD'!D:D,'E-Mail BD'!B:B,A227)))</f>
        <v>NÃO APARECEU AINDA</v>
      </c>
      <c r="D227" t="str">
        <f>IFERROR(_xlfn.XLOOKUP(A227,'E-Mail BD'!B:B,'E-Mail BD'!A:A),"-")</f>
        <v>-</v>
      </c>
      <c r="E227" s="2" t="str">
        <f t="shared" si="3"/>
        <v>-</v>
      </c>
    </row>
    <row r="228" spans="1:5" x14ac:dyDescent="0.25">
      <c r="A228" t="s">
        <v>265</v>
      </c>
      <c r="B228" t="s">
        <v>21</v>
      </c>
      <c r="C228" s="12">
        <f>IF(A228=""," ",IF(_xlfn.MINIFS('E-Mail BD'!D:D,'E-Mail BD'!B:B,A228)=0,"NÃO APARECEU AINDA",_xlfn.MINIFS('E-Mail BD'!D:D,'E-Mail BD'!B:B,A228)))</f>
        <v>45763</v>
      </c>
      <c r="D228" t="str">
        <f>IFERROR(_xlfn.XLOOKUP(A228,'E-Mail BD'!B:B,'E-Mail BD'!A:A),"-")</f>
        <v>027.180.131/0001-54</v>
      </c>
      <c r="E228" s="2" t="str">
        <f t="shared" si="3"/>
        <v>27180131000154</v>
      </c>
    </row>
    <row r="229" spans="1:5" x14ac:dyDescent="0.25">
      <c r="A229" t="s">
        <v>101</v>
      </c>
      <c r="B229" t="s">
        <v>41</v>
      </c>
      <c r="C229" s="12">
        <f>IF(A229=""," ",IF(_xlfn.MINIFS('E-Mail BD'!D:D,'E-Mail BD'!B:B,A229)=0,"NÃO APARECEU AINDA",_xlfn.MINIFS('E-Mail BD'!D:D,'E-Mail BD'!B:B,A229)))</f>
        <v>45538</v>
      </c>
      <c r="D229" t="str">
        <f>IFERROR(_xlfn.XLOOKUP(A229,'E-Mail BD'!B:B,'E-Mail BD'!A:A),"-")</f>
        <v>015.414.962/0001-64</v>
      </c>
      <c r="E229" s="2" t="str">
        <f t="shared" si="3"/>
        <v>15414962000164</v>
      </c>
    </row>
    <row r="230" spans="1:5" x14ac:dyDescent="0.25">
      <c r="A230" t="s">
        <v>157</v>
      </c>
      <c r="B230" t="s">
        <v>16</v>
      </c>
      <c r="C230" s="12">
        <f>IF(A230=""," ",IF(_xlfn.MINIFS('E-Mail BD'!D:D,'E-Mail BD'!B:B,A230)=0,"NÃO APARECEU AINDA",_xlfn.MINIFS('E-Mail BD'!D:D,'E-Mail BD'!B:B,A230)))</f>
        <v>45566</v>
      </c>
      <c r="D230" t="str">
        <f>IFERROR(_xlfn.XLOOKUP(A230,'E-Mail BD'!B:B,'E-Mail BD'!A:A),"-")</f>
        <v>036.906.058/0001-46</v>
      </c>
      <c r="E230" s="2" t="str">
        <f t="shared" si="3"/>
        <v>36906058000146</v>
      </c>
    </row>
    <row r="231" spans="1:5" x14ac:dyDescent="0.25">
      <c r="A231" t="s">
        <v>280</v>
      </c>
      <c r="B231" t="s">
        <v>8</v>
      </c>
      <c r="C231" s="12">
        <f>IF(A231=""," ",IF(_xlfn.MINIFS('E-Mail BD'!D:D,'E-Mail BD'!B:B,A231)=0,"NÃO APARECEU AINDA",_xlfn.MINIFS('E-Mail BD'!D:D,'E-Mail BD'!B:B,A231)))</f>
        <v>45784</v>
      </c>
      <c r="D231" t="str">
        <f>IFERROR(_xlfn.XLOOKUP(A231,'E-Mail BD'!B:B,'E-Mail BD'!A:A),"-")</f>
        <v>057.698.087/0001-30</v>
      </c>
      <c r="E231" s="2" t="str">
        <f t="shared" si="3"/>
        <v>57698087000130</v>
      </c>
    </row>
    <row r="232" spans="1:5" x14ac:dyDescent="0.25">
      <c r="A232" t="s">
        <v>146</v>
      </c>
      <c r="B232" t="s">
        <v>25</v>
      </c>
      <c r="C232" s="12">
        <f>IF(A232=""," ",IF(_xlfn.MINIFS('E-Mail BD'!D:D,'E-Mail BD'!B:B,A232)=0,"NÃO APARECEU AINDA",_xlfn.MINIFS('E-Mail BD'!D:D,'E-Mail BD'!B:B,A232)))</f>
        <v>45554</v>
      </c>
      <c r="D232" t="str">
        <f>IFERROR(_xlfn.XLOOKUP(A232,'E-Mail BD'!B:B,'E-Mail BD'!A:A),"-")</f>
        <v>032.621.233/0001-06</v>
      </c>
      <c r="E232" s="2" t="str">
        <f t="shared" si="3"/>
        <v>32621233000106</v>
      </c>
    </row>
    <row r="233" spans="1:5" x14ac:dyDescent="0.25">
      <c r="A233" t="s">
        <v>123</v>
      </c>
      <c r="B233" t="s">
        <v>7</v>
      </c>
      <c r="C233" s="12">
        <f>IF(A233=""," ",IF(_xlfn.MINIFS('E-Mail BD'!D:D,'E-Mail BD'!B:B,A233)=0,"NÃO APARECEU AINDA",_xlfn.MINIFS('E-Mail BD'!D:D,'E-Mail BD'!B:B,A233)))</f>
        <v>45545</v>
      </c>
      <c r="D233" t="str">
        <f>IFERROR(_xlfn.XLOOKUP(A233,'E-Mail BD'!B:B,'E-Mail BD'!A:A),"-")</f>
        <v>021.734.108/0001-88</v>
      </c>
      <c r="E233" s="2" t="str">
        <f t="shared" si="3"/>
        <v>21734108000188</v>
      </c>
    </row>
    <row r="234" spans="1:5" x14ac:dyDescent="0.25">
      <c r="A234" t="s">
        <v>596</v>
      </c>
      <c r="B234" t="s">
        <v>5</v>
      </c>
      <c r="C234" s="12" t="str">
        <f>IF(A234=""," ",IF(_xlfn.MINIFS('E-Mail BD'!D:D,'E-Mail BD'!B:B,A234)=0,"NÃO APARECEU AINDA",_xlfn.MINIFS('E-Mail BD'!D:D,'E-Mail BD'!B:B,A234)))</f>
        <v>NÃO APARECEU AINDA</v>
      </c>
      <c r="D234" t="str">
        <f>IFERROR(_xlfn.XLOOKUP(A234,'E-Mail BD'!B:B,'E-Mail BD'!A:A),"-")</f>
        <v>-</v>
      </c>
      <c r="E234" s="2" t="str">
        <f t="shared" si="3"/>
        <v>-</v>
      </c>
    </row>
    <row r="235" spans="1:5" x14ac:dyDescent="0.25">
      <c r="A235" t="s">
        <v>161</v>
      </c>
      <c r="B235" t="s">
        <v>5</v>
      </c>
      <c r="C235" s="12">
        <f>IF(A235=""," ",IF(_xlfn.MINIFS('E-Mail BD'!D:D,'E-Mail BD'!B:B,A235)=0,"NÃO APARECEU AINDA",_xlfn.MINIFS('E-Mail BD'!D:D,'E-Mail BD'!B:B,A235)))</f>
        <v>45573</v>
      </c>
      <c r="D235" t="str">
        <f>IFERROR(_xlfn.XLOOKUP(A235,'E-Mail BD'!B:B,'E-Mail BD'!A:A),"-")</f>
        <v>038.082.538/0001-65</v>
      </c>
      <c r="E235" s="2" t="str">
        <f t="shared" si="3"/>
        <v>38082538000165</v>
      </c>
    </row>
    <row r="236" spans="1:5" x14ac:dyDescent="0.25">
      <c r="A236" t="s">
        <v>255</v>
      </c>
      <c r="B236" t="s">
        <v>26</v>
      </c>
      <c r="C236" s="12">
        <f>IF(A236=""," ",IF(_xlfn.MINIFS('E-Mail BD'!D:D,'E-Mail BD'!B:B,A236)=0,"NÃO APARECEU AINDA",_xlfn.MINIFS('E-Mail BD'!D:D,'E-Mail BD'!B:B,A236)))</f>
        <v>45745</v>
      </c>
      <c r="D236" t="str">
        <f>IFERROR(_xlfn.XLOOKUP(A236,'E-Mail BD'!B:B,'E-Mail BD'!A:A),"-")</f>
        <v>048.956.491/0001-75</v>
      </c>
      <c r="E236" s="2" t="str">
        <f t="shared" si="3"/>
        <v>48956491000175</v>
      </c>
    </row>
    <row r="237" spans="1:5" x14ac:dyDescent="0.25">
      <c r="A237" t="s">
        <v>55</v>
      </c>
      <c r="B237" t="s">
        <v>14</v>
      </c>
      <c r="C237" s="12">
        <f>IF(A237=""," ",IF(_xlfn.MINIFS('E-Mail BD'!D:D,'E-Mail BD'!B:B,A237)=0,"NÃO APARECEU AINDA",_xlfn.MINIFS('E-Mail BD'!D:D,'E-Mail BD'!B:B,A237)))</f>
        <v>45818</v>
      </c>
      <c r="D237" t="str">
        <f>IFERROR(_xlfn.XLOOKUP(A237,'E-Mail BD'!B:B,'E-Mail BD'!A:A),"-")</f>
        <v>003.603.516/0001-19</v>
      </c>
      <c r="E237" s="2" t="str">
        <f t="shared" si="3"/>
        <v>03603516000119</v>
      </c>
    </row>
    <row r="238" spans="1:5" x14ac:dyDescent="0.25">
      <c r="A238" t="s">
        <v>171</v>
      </c>
      <c r="B238" t="s">
        <v>5</v>
      </c>
      <c r="C238" s="12">
        <f>IF(A238=""," ",IF(_xlfn.MINIFS('E-Mail BD'!D:D,'E-Mail BD'!B:B,A238)=0,"NÃO APARECEU AINDA",_xlfn.MINIFS('E-Mail BD'!D:D,'E-Mail BD'!B:B,A238)))</f>
        <v>45580</v>
      </c>
      <c r="D238" t="str">
        <f>IFERROR(_xlfn.XLOOKUP(A238,'E-Mail BD'!B:B,'E-Mail BD'!A:A),"-")</f>
        <v>022.982.925/0001-18</v>
      </c>
      <c r="E238" s="2" t="str">
        <f t="shared" si="3"/>
        <v>22982925000118</v>
      </c>
    </row>
    <row r="239" spans="1:5" x14ac:dyDescent="0.25">
      <c r="A239" t="s">
        <v>222</v>
      </c>
      <c r="B239" t="s">
        <v>25</v>
      </c>
      <c r="C239" s="12">
        <f>IF(A239=""," ",IF(_xlfn.MINIFS('E-Mail BD'!D:D,'E-Mail BD'!B:B,A239)=0,"NÃO APARECEU AINDA",_xlfn.MINIFS('E-Mail BD'!D:D,'E-Mail BD'!B:B,A239)))</f>
        <v>45680</v>
      </c>
      <c r="D239" t="str">
        <f>IFERROR(_xlfn.XLOOKUP(A239,'E-Mail BD'!B:B,'E-Mail BD'!A:A),"-")</f>
        <v>051.362.368/0001-30</v>
      </c>
      <c r="E239" s="2" t="str">
        <f t="shared" si="3"/>
        <v>51362368000130</v>
      </c>
    </row>
    <row r="240" spans="1:5" x14ac:dyDescent="0.25">
      <c r="A240" t="s">
        <v>622</v>
      </c>
      <c r="B240" t="s">
        <v>14</v>
      </c>
      <c r="C240" s="12">
        <f>IF(A240=""," ",IF(_xlfn.MINIFS('E-Mail BD'!D:D,'E-Mail BD'!B:B,A240)=0,"NÃO APARECEU AINDA",_xlfn.MINIFS('E-Mail BD'!D:D,'E-Mail BD'!B:B,A240)))</f>
        <v>45827</v>
      </c>
      <c r="D240" t="str">
        <f>IFERROR(_xlfn.XLOOKUP(A240,'E-Mail BD'!B:B,'E-Mail BD'!A:A),"-")</f>
        <v>029.258.293/0001-93</v>
      </c>
      <c r="E240" s="2" t="str">
        <f t="shared" si="3"/>
        <v>29258293000193</v>
      </c>
    </row>
    <row r="241" spans="1:5" x14ac:dyDescent="0.25">
      <c r="A241" t="s">
        <v>274</v>
      </c>
      <c r="B241" t="s">
        <v>19</v>
      </c>
      <c r="C241" s="12">
        <f>IF(A241=""," ",IF(_xlfn.MINIFS('E-Mail BD'!D:D,'E-Mail BD'!B:B,A241)=0,"NÃO APARECEU AINDA",_xlfn.MINIFS('E-Mail BD'!D:D,'E-Mail BD'!B:B,A241)))</f>
        <v>45777</v>
      </c>
      <c r="D241" t="str">
        <f>IFERROR(_xlfn.XLOOKUP(A241,'E-Mail BD'!B:B,'E-Mail BD'!A:A),"-")</f>
        <v>032.213.847/0001-40</v>
      </c>
      <c r="E241" s="2" t="str">
        <f t="shared" si="3"/>
        <v>32213847000140</v>
      </c>
    </row>
    <row r="242" spans="1:5" x14ac:dyDescent="0.25">
      <c r="A242" t="s">
        <v>190</v>
      </c>
      <c r="B242" t="s">
        <v>21</v>
      </c>
      <c r="C242" s="12">
        <f>IF(A242=""," ",IF(_xlfn.MINIFS('E-Mail BD'!D:D,'E-Mail BD'!B:B,A242)=0,"NÃO APARECEU AINDA",_xlfn.MINIFS('E-Mail BD'!D:D,'E-Mail BD'!B:B,A242)))</f>
        <v>45597</v>
      </c>
      <c r="D242" t="str">
        <f>IFERROR(_xlfn.XLOOKUP(A242,'E-Mail BD'!B:B,'E-Mail BD'!A:A),"-")</f>
        <v>002.265.872/0001-07</v>
      </c>
      <c r="E242" s="2" t="str">
        <f t="shared" si="3"/>
        <v>02265872000107</v>
      </c>
    </row>
    <row r="243" spans="1:5" x14ac:dyDescent="0.25">
      <c r="A243" t="s">
        <v>252</v>
      </c>
      <c r="B243" t="s">
        <v>5</v>
      </c>
      <c r="C243" s="12">
        <f>IF(A243=""," ",IF(_xlfn.MINIFS('E-Mail BD'!D:D,'E-Mail BD'!B:B,A243)=0,"NÃO APARECEU AINDA",_xlfn.MINIFS('E-Mail BD'!D:D,'E-Mail BD'!B:B,A243)))</f>
        <v>45743</v>
      </c>
      <c r="D243" t="str">
        <f>IFERROR(_xlfn.XLOOKUP(A243,'E-Mail BD'!B:B,'E-Mail BD'!A:A),"-")</f>
        <v>004.962.112/0001-84</v>
      </c>
      <c r="E243" s="2" t="str">
        <f t="shared" si="3"/>
        <v>04962112000184</v>
      </c>
    </row>
    <row r="244" spans="1:5" x14ac:dyDescent="0.25">
      <c r="A244" t="s">
        <v>248</v>
      </c>
      <c r="B244" t="s">
        <v>5</v>
      </c>
      <c r="C244" s="12">
        <f>IF(A244=""," ",IF(_xlfn.MINIFS('E-Mail BD'!D:D,'E-Mail BD'!B:B,A244)=0,"NÃO APARECEU AINDA",_xlfn.MINIFS('E-Mail BD'!D:D,'E-Mail BD'!B:B,A244)))</f>
        <v>45741</v>
      </c>
      <c r="D244" t="str">
        <f>IFERROR(_xlfn.XLOOKUP(A244,'E-Mail BD'!B:B,'E-Mail BD'!A:A),"-")</f>
        <v>004.962.112/0001-84</v>
      </c>
      <c r="E244" s="2" t="str">
        <f t="shared" si="3"/>
        <v>04962112000184</v>
      </c>
    </row>
    <row r="245" spans="1:5" x14ac:dyDescent="0.25">
      <c r="A245" t="s">
        <v>158</v>
      </c>
      <c r="B245" t="s">
        <v>39</v>
      </c>
      <c r="C245" s="12">
        <f>IF(A245=""," ",IF(_xlfn.MINIFS('E-Mail BD'!D:D,'E-Mail BD'!B:B,A245)=0,"NÃO APARECEU AINDA",_xlfn.MINIFS('E-Mail BD'!D:D,'E-Mail BD'!B:B,A245)))</f>
        <v>45567</v>
      </c>
      <c r="D245" t="str">
        <f>IFERROR(_xlfn.XLOOKUP(A245,'E-Mail BD'!B:B,'E-Mail BD'!A:A),"-")</f>
        <v>032.090.744/0001-30</v>
      </c>
      <c r="E245" s="2" t="str">
        <f t="shared" si="3"/>
        <v>32090744000130</v>
      </c>
    </row>
    <row r="246" spans="1:5" x14ac:dyDescent="0.25">
      <c r="A246" t="s">
        <v>295</v>
      </c>
      <c r="B246" t="s">
        <v>5</v>
      </c>
      <c r="C246" s="12">
        <f>IF(A246=""," ",IF(_xlfn.MINIFS('E-Mail BD'!D:D,'E-Mail BD'!B:B,A246)=0,"NÃO APARECEU AINDA",_xlfn.MINIFS('E-Mail BD'!D:D,'E-Mail BD'!B:B,A246)))</f>
        <v>45797</v>
      </c>
      <c r="D246" t="str">
        <f>IFERROR(_xlfn.XLOOKUP(A246,'E-Mail BD'!B:B,'E-Mail BD'!A:A),"-")</f>
        <v>004.323.643/0001-27</v>
      </c>
      <c r="E246" s="2" t="str">
        <f t="shared" si="3"/>
        <v>04323643000127</v>
      </c>
    </row>
    <row r="247" spans="1:5" x14ac:dyDescent="0.25">
      <c r="A247" t="s">
        <v>160</v>
      </c>
      <c r="B247" t="s">
        <v>19</v>
      </c>
      <c r="C247" s="12">
        <f>IF(A247=""," ",IF(_xlfn.MINIFS('E-Mail BD'!D:D,'E-Mail BD'!B:B,A247)=0,"NÃO APARECEU AINDA",_xlfn.MINIFS('E-Mail BD'!D:D,'E-Mail BD'!B:B,A247)))</f>
        <v>45567</v>
      </c>
      <c r="D247" t="str">
        <f>IFERROR(_xlfn.XLOOKUP(A247,'E-Mail BD'!B:B,'E-Mail BD'!A:A),"-")</f>
        <v>043.729.125/0001-60</v>
      </c>
      <c r="E247" s="2" t="str">
        <f t="shared" si="3"/>
        <v>43729125000160</v>
      </c>
    </row>
    <row r="248" spans="1:5" x14ac:dyDescent="0.25">
      <c r="A248" t="s">
        <v>246</v>
      </c>
      <c r="B248" t="s">
        <v>20</v>
      </c>
      <c r="C248" s="12">
        <f>IF(A248=""," ",IF(_xlfn.MINIFS('E-Mail BD'!D:D,'E-Mail BD'!B:B,A248)=0,"NÃO APARECEU AINDA",_xlfn.MINIFS('E-Mail BD'!D:D,'E-Mail BD'!B:B,A248)))</f>
        <v>45737</v>
      </c>
      <c r="D248" t="str">
        <f>IFERROR(_xlfn.XLOOKUP(A248,'E-Mail BD'!B:B,'E-Mail BD'!A:A),"-")</f>
        <v>005.997.418/0001-39</v>
      </c>
      <c r="E248" s="2" t="str">
        <f t="shared" si="3"/>
        <v>05997418000139</v>
      </c>
    </row>
    <row r="249" spans="1:5" x14ac:dyDescent="0.25">
      <c r="A249" t="s">
        <v>183</v>
      </c>
      <c r="B249" t="s">
        <v>21</v>
      </c>
      <c r="C249" s="12">
        <f>IF(A249=""," ",IF(_xlfn.MINIFS('E-Mail BD'!D:D,'E-Mail BD'!B:B,A249)=0,"NÃO APARECEU AINDA",_xlfn.MINIFS('E-Mail BD'!D:D,'E-Mail BD'!B:B,A249)))</f>
        <v>45586</v>
      </c>
      <c r="D249" t="str">
        <f>IFERROR(_xlfn.XLOOKUP(A249,'E-Mail BD'!B:B,'E-Mail BD'!A:A),"-")</f>
        <v>014.619.667/0001-81</v>
      </c>
      <c r="E249" s="2" t="str">
        <f t="shared" si="3"/>
        <v>14619667000181</v>
      </c>
    </row>
    <row r="250" spans="1:5" x14ac:dyDescent="0.25">
      <c r="A250" t="s">
        <v>304</v>
      </c>
      <c r="B250" t="s">
        <v>32</v>
      </c>
      <c r="C250" s="12">
        <f>IF(A250=""," ",IF(_xlfn.MINIFS('E-Mail BD'!D:D,'E-Mail BD'!B:B,A250)=0,"NÃO APARECEU AINDA",_xlfn.MINIFS('E-Mail BD'!D:D,'E-Mail BD'!B:B,A250)))</f>
        <v>45804</v>
      </c>
      <c r="D250" t="str">
        <f>IFERROR(_xlfn.XLOOKUP(A250,'E-Mail BD'!B:B,'E-Mail BD'!A:A),"-")</f>
        <v>003.524.760/0001-96</v>
      </c>
      <c r="E250" s="2" t="str">
        <f t="shared" si="3"/>
        <v>03524760000196</v>
      </c>
    </row>
    <row r="251" spans="1:5" x14ac:dyDescent="0.25">
      <c r="A251" t="s">
        <v>547</v>
      </c>
      <c r="B251" t="s">
        <v>8</v>
      </c>
      <c r="C251" s="12" t="str">
        <f>IF(A251=""," ",IF(_xlfn.MINIFS('E-Mail BD'!D:D,'E-Mail BD'!B:B,A251)=0,"NÃO APARECEU AINDA",_xlfn.MINIFS('E-Mail BD'!D:D,'E-Mail BD'!B:B,A251)))</f>
        <v>NÃO APARECEU AINDA</v>
      </c>
      <c r="D251" t="str">
        <f>IFERROR(_xlfn.XLOOKUP(A251,'E-Mail BD'!B:B,'E-Mail BD'!A:A),"-")</f>
        <v>-</v>
      </c>
      <c r="E251" s="2" t="str">
        <f t="shared" si="3"/>
        <v>-</v>
      </c>
    </row>
    <row r="252" spans="1:5" x14ac:dyDescent="0.25">
      <c r="A252" t="s">
        <v>163</v>
      </c>
      <c r="B252" t="s">
        <v>5</v>
      </c>
      <c r="C252" s="12">
        <f>IF(A252=""," ",IF(_xlfn.MINIFS('E-Mail BD'!D:D,'E-Mail BD'!B:B,A252)=0,"NÃO APARECEU AINDA",_xlfn.MINIFS('E-Mail BD'!D:D,'E-Mail BD'!B:B,A252)))</f>
        <v>45574</v>
      </c>
      <c r="D252" t="str">
        <f>IFERROR(_xlfn.XLOOKUP(A252,'E-Mail BD'!B:B,'E-Mail BD'!A:A),"-")</f>
        <v>036.775.092/0001-29</v>
      </c>
      <c r="E252" s="2" t="str">
        <f t="shared" si="3"/>
        <v>36775092000129</v>
      </c>
    </row>
    <row r="253" spans="1:5" x14ac:dyDescent="0.25">
      <c r="A253" t="s">
        <v>555</v>
      </c>
      <c r="B253" t="s">
        <v>25</v>
      </c>
      <c r="C253" s="12" t="str">
        <f>IF(A253=""," ",IF(_xlfn.MINIFS('E-Mail BD'!D:D,'E-Mail BD'!B:B,A253)=0,"NÃO APARECEU AINDA",_xlfn.MINIFS('E-Mail BD'!D:D,'E-Mail BD'!B:B,A253)))</f>
        <v>NÃO APARECEU AINDA</v>
      </c>
      <c r="D253" t="str">
        <f>IFERROR(_xlfn.XLOOKUP(A253,'E-Mail BD'!B:B,'E-Mail BD'!A:A),"-")</f>
        <v>-</v>
      </c>
      <c r="E253" s="2" t="str">
        <f t="shared" si="3"/>
        <v>-</v>
      </c>
    </row>
    <row r="254" spans="1:5" x14ac:dyDescent="0.25">
      <c r="A254" t="s">
        <v>139</v>
      </c>
      <c r="B254" t="s">
        <v>14</v>
      </c>
      <c r="C254" s="12">
        <f>IF(A254=""," ",IF(_xlfn.MINIFS('E-Mail BD'!D:D,'E-Mail BD'!B:B,A254)=0,"NÃO APARECEU AINDA",_xlfn.MINIFS('E-Mail BD'!D:D,'E-Mail BD'!B:B,A254)))</f>
        <v>45551</v>
      </c>
      <c r="D254" t="str">
        <f>IFERROR(_xlfn.XLOOKUP(A254,'E-Mail BD'!B:B,'E-Mail BD'!A:A),"-")</f>
        <v>008.991.603/0001-04</v>
      </c>
      <c r="E254" s="2" t="str">
        <f t="shared" si="3"/>
        <v>08991603000104</v>
      </c>
    </row>
    <row r="255" spans="1:5" x14ac:dyDescent="0.25">
      <c r="A255" t="s">
        <v>93</v>
      </c>
      <c r="B255" t="s">
        <v>16</v>
      </c>
      <c r="C255" s="12">
        <f>IF(A255=""," ",IF(_xlfn.MINIFS('E-Mail BD'!D:D,'E-Mail BD'!B:B,A255)=0,"NÃO APARECEU AINDA",_xlfn.MINIFS('E-Mail BD'!D:D,'E-Mail BD'!B:B,A255)))</f>
        <v>45537</v>
      </c>
      <c r="D255" t="str">
        <f>IFERROR(_xlfn.XLOOKUP(A255,'E-Mail BD'!B:B,'E-Mail BD'!A:A),"-")</f>
        <v>014.763.606/0001-93</v>
      </c>
      <c r="E255" s="2" t="str">
        <f t="shared" si="3"/>
        <v>14763606000193</v>
      </c>
    </row>
    <row r="256" spans="1:5" x14ac:dyDescent="0.25">
      <c r="A256" t="s">
        <v>603</v>
      </c>
      <c r="B256" t="s">
        <v>18</v>
      </c>
      <c r="C256" s="12" t="str">
        <f>IF(A256=""," ",IF(_xlfn.MINIFS('E-Mail BD'!D:D,'E-Mail BD'!B:B,A256)=0,"NÃO APARECEU AINDA",_xlfn.MINIFS('E-Mail BD'!D:D,'E-Mail BD'!B:B,A256)))</f>
        <v>NÃO APARECEU AINDA</v>
      </c>
      <c r="D256" t="str">
        <f>IFERROR(_xlfn.XLOOKUP(A256,'E-Mail BD'!B:B,'E-Mail BD'!A:A),"-")</f>
        <v>-</v>
      </c>
      <c r="E256" s="2" t="str">
        <f t="shared" si="3"/>
        <v>-</v>
      </c>
    </row>
    <row r="257" spans="1:5" x14ac:dyDescent="0.25">
      <c r="A257" t="s">
        <v>63</v>
      </c>
      <c r="B257" t="s">
        <v>25</v>
      </c>
      <c r="C257" s="12">
        <f>IF(A257=""," ",IF(_xlfn.MINIFS('E-Mail BD'!D:D,'E-Mail BD'!B:B,A257)=0,"NÃO APARECEU AINDA",_xlfn.MINIFS('E-Mail BD'!D:D,'E-Mail BD'!B:B,A257)))</f>
        <v>45744</v>
      </c>
      <c r="D257" t="str">
        <f>IFERROR(_xlfn.XLOOKUP(A257,'E-Mail BD'!B:B,'E-Mail BD'!A:A),"-")</f>
        <v>020.024.081/0001-77</v>
      </c>
      <c r="E257" s="2" t="str">
        <f t="shared" si="3"/>
        <v>20024081000177</v>
      </c>
    </row>
    <row r="258" spans="1:5" x14ac:dyDescent="0.25">
      <c r="A258" t="s">
        <v>107</v>
      </c>
      <c r="B258" t="s">
        <v>7</v>
      </c>
      <c r="C258" s="12">
        <f>IF(A258=""," ",IF(_xlfn.MINIFS('E-Mail BD'!D:D,'E-Mail BD'!B:B,A258)=0,"NÃO APARECEU AINDA",_xlfn.MINIFS('E-Mail BD'!D:D,'E-Mail BD'!B:B,A258)))</f>
        <v>45539</v>
      </c>
      <c r="D258" t="str">
        <f>IFERROR(_xlfn.XLOOKUP(A258,'E-Mail BD'!B:B,'E-Mail BD'!A:A),"-")</f>
        <v>004.800.789/0001-16</v>
      </c>
      <c r="E258" s="2" t="str">
        <f t="shared" ref="E258:E317" si="4">IF(RIGHT(SUBSTITUTE(SUBSTITUTE(SUBSTITUTE(D258,".",""),"/",""),"-",""),14)="","-",RIGHT(SUBSTITUTE(SUBSTITUTE(SUBSTITUTE(D258,".",""),"/",""),"-",""),14))</f>
        <v>04800789000116</v>
      </c>
    </row>
    <row r="259" spans="1:5" x14ac:dyDescent="0.25">
      <c r="A259" t="s">
        <v>233</v>
      </c>
      <c r="B259" t="s">
        <v>21</v>
      </c>
      <c r="C259" s="12">
        <f>IF(A259=""," ",IF(_xlfn.MINIFS('E-Mail BD'!D:D,'E-Mail BD'!B:B,A259)=0,"NÃO APARECEU AINDA",_xlfn.MINIFS('E-Mail BD'!D:D,'E-Mail BD'!B:B,A259)))</f>
        <v>45690</v>
      </c>
      <c r="D259" t="str">
        <f>IFERROR(_xlfn.XLOOKUP(A259,'E-Mail BD'!B:B,'E-Mail BD'!A:A),"-")</f>
        <v>043.564.107/0001-75</v>
      </c>
      <c r="E259" s="2" t="str">
        <f t="shared" si="4"/>
        <v>43564107000175</v>
      </c>
    </row>
    <row r="260" spans="1:5" x14ac:dyDescent="0.25">
      <c r="A260" t="s">
        <v>599</v>
      </c>
      <c r="B260" t="s">
        <v>12</v>
      </c>
      <c r="C260" s="12" t="str">
        <f>IF(A260=""," ",IF(_xlfn.MINIFS('E-Mail BD'!D:D,'E-Mail BD'!B:B,A260)=0,"NÃO APARECEU AINDA",_xlfn.MINIFS('E-Mail BD'!D:D,'E-Mail BD'!B:B,A260)))</f>
        <v>NÃO APARECEU AINDA</v>
      </c>
      <c r="D260" t="str">
        <f>IFERROR(_xlfn.XLOOKUP(A260,'E-Mail BD'!B:B,'E-Mail BD'!A:A),"-")</f>
        <v>-</v>
      </c>
      <c r="E260" s="2" t="str">
        <f t="shared" si="4"/>
        <v>-</v>
      </c>
    </row>
    <row r="261" spans="1:5" x14ac:dyDescent="0.25">
      <c r="A261" t="s">
        <v>294</v>
      </c>
      <c r="B261" t="s">
        <v>26</v>
      </c>
      <c r="C261" s="12">
        <f>IF(A261=""," ",IF(_xlfn.MINIFS('E-Mail BD'!D:D,'E-Mail BD'!B:B,A261)=0,"NÃO APARECEU AINDA",_xlfn.MINIFS('E-Mail BD'!D:D,'E-Mail BD'!B:B,A261)))</f>
        <v>45796</v>
      </c>
      <c r="D261" t="str">
        <f>IFERROR(_xlfn.XLOOKUP(A261,'E-Mail BD'!B:B,'E-Mail BD'!A:A),"-")</f>
        <v>006.315.490/0001-00</v>
      </c>
      <c r="E261" s="2" t="str">
        <f t="shared" si="4"/>
        <v>06315490000100</v>
      </c>
    </row>
    <row r="262" spans="1:5" x14ac:dyDescent="0.25">
      <c r="A262" t="s">
        <v>256</v>
      </c>
      <c r="B262" t="s">
        <v>26</v>
      </c>
      <c r="C262" s="12">
        <f>IF(A262=""," ",IF(_xlfn.MINIFS('E-Mail BD'!D:D,'E-Mail BD'!B:B,A262)=0,"NÃO APARECEU AINDA",_xlfn.MINIFS('E-Mail BD'!D:D,'E-Mail BD'!B:B,A262)))</f>
        <v>45745</v>
      </c>
      <c r="D262" t="str">
        <f>IFERROR(_xlfn.XLOOKUP(A262,'E-Mail BD'!B:B,'E-Mail BD'!A:A),"-")</f>
        <v>006.315.490/0001-00</v>
      </c>
      <c r="E262" s="2" t="str">
        <f t="shared" si="4"/>
        <v>06315490000100</v>
      </c>
    </row>
    <row r="263" spans="1:5" x14ac:dyDescent="0.25">
      <c r="A263" t="s">
        <v>198</v>
      </c>
      <c r="B263" t="s">
        <v>10</v>
      </c>
      <c r="C263" s="12">
        <f>IF(A263=""," ",IF(_xlfn.MINIFS('E-Mail BD'!D:D,'E-Mail BD'!B:B,A263)=0,"NÃO APARECEU AINDA",_xlfn.MINIFS('E-Mail BD'!D:D,'E-Mail BD'!B:B,A263)))</f>
        <v>45636</v>
      </c>
      <c r="D263" t="str">
        <f>IFERROR(_xlfn.XLOOKUP(A263,'E-Mail BD'!B:B,'E-Mail BD'!A:A),"-")</f>
        <v>044.570.311/0001-61</v>
      </c>
      <c r="E263" s="2" t="str">
        <f t="shared" si="4"/>
        <v>44570311000161</v>
      </c>
    </row>
    <row r="264" spans="1:5" x14ac:dyDescent="0.25">
      <c r="A264" t="s">
        <v>630</v>
      </c>
      <c r="B264" t="s">
        <v>20</v>
      </c>
      <c r="C264" s="12">
        <f>IF(A264=""," ",IF(_xlfn.MINIFS('E-Mail BD'!D:D,'E-Mail BD'!B:B,A264)=0,"NÃO APARECEU AINDA",_xlfn.MINIFS('E-Mail BD'!D:D,'E-Mail BD'!B:B,A264)))</f>
        <v>45832</v>
      </c>
      <c r="D264" t="str">
        <f>IFERROR(_xlfn.XLOOKUP(A264,'E-Mail BD'!B:B,'E-Mail BD'!A:A),"-")</f>
        <v>028.514.938/0001-49</v>
      </c>
      <c r="E264" s="2" t="str">
        <f t="shared" si="4"/>
        <v>28514938000149</v>
      </c>
    </row>
    <row r="265" spans="1:5" x14ac:dyDescent="0.25">
      <c r="A265" t="s">
        <v>598</v>
      </c>
      <c r="B265" t="s">
        <v>26</v>
      </c>
      <c r="C265" s="12" t="str">
        <f>IF(A265=""," ",IF(_xlfn.MINIFS('E-Mail BD'!D:D,'E-Mail BD'!B:B,A265)=0,"NÃO APARECEU AINDA",_xlfn.MINIFS('E-Mail BD'!D:D,'E-Mail BD'!B:B,A265)))</f>
        <v>NÃO APARECEU AINDA</v>
      </c>
      <c r="D265" t="str">
        <f>IFERROR(_xlfn.XLOOKUP(A265,'E-Mail BD'!B:B,'E-Mail BD'!A:A),"-")</f>
        <v>-</v>
      </c>
      <c r="E265" s="2" t="str">
        <f t="shared" si="4"/>
        <v>-</v>
      </c>
    </row>
    <row r="266" spans="1:5" x14ac:dyDescent="0.25">
      <c r="A266" t="s">
        <v>624</v>
      </c>
      <c r="B266" t="s">
        <v>26</v>
      </c>
      <c r="C266" s="12">
        <f>IF(A266=""," ",IF(_xlfn.MINIFS('E-Mail BD'!D:D,'E-Mail BD'!B:B,A266)=0,"NÃO APARECEU AINDA",_xlfn.MINIFS('E-Mail BD'!D:D,'E-Mail BD'!B:B,A266)))</f>
        <v>45827</v>
      </c>
      <c r="D266" t="str">
        <f>IFERROR(_xlfn.XLOOKUP(A266,'E-Mail BD'!B:B,'E-Mail BD'!A:A),"-")</f>
        <v>052.432.693/0001-95</v>
      </c>
      <c r="E266" s="2" t="str">
        <f t="shared" si="4"/>
        <v>52432693000195</v>
      </c>
    </row>
    <row r="267" spans="1:5" x14ac:dyDescent="0.25">
      <c r="A267" t="s">
        <v>553</v>
      </c>
      <c r="B267" t="s">
        <v>26</v>
      </c>
      <c r="C267" s="12" t="str">
        <f>IF(A267=""," ",IF(_xlfn.MINIFS('E-Mail BD'!D:D,'E-Mail BD'!B:B,A267)=0,"NÃO APARECEU AINDA",_xlfn.MINIFS('E-Mail BD'!D:D,'E-Mail BD'!B:B,A267)))</f>
        <v>NÃO APARECEU AINDA</v>
      </c>
      <c r="D267" t="str">
        <f>IFERROR(_xlfn.XLOOKUP(A267,'E-Mail BD'!B:B,'E-Mail BD'!A:A),"-")</f>
        <v>-</v>
      </c>
      <c r="E267" s="2" t="str">
        <f t="shared" si="4"/>
        <v>-</v>
      </c>
    </row>
    <row r="268" spans="1:5" x14ac:dyDescent="0.25">
      <c r="A268" t="s">
        <v>177</v>
      </c>
      <c r="B268" t="s">
        <v>18</v>
      </c>
      <c r="C268" s="12">
        <f>IF(A268=""," ",IF(_xlfn.MINIFS('E-Mail BD'!D:D,'E-Mail BD'!B:B,A268)=0,"NÃO APARECEU AINDA",_xlfn.MINIFS('E-Mail BD'!D:D,'E-Mail BD'!B:B,A268)))</f>
        <v>45583</v>
      </c>
      <c r="D268" t="str">
        <f>IFERROR(_xlfn.XLOOKUP(A268,'E-Mail BD'!B:B,'E-Mail BD'!A:A),"-")</f>
        <v>028.477.685/0001-80</v>
      </c>
      <c r="E268" s="2" t="str">
        <f t="shared" si="4"/>
        <v>28477685000180</v>
      </c>
    </row>
    <row r="269" spans="1:5" x14ac:dyDescent="0.25">
      <c r="A269" t="s">
        <v>574</v>
      </c>
      <c r="B269" t="s">
        <v>31</v>
      </c>
      <c r="C269" s="12">
        <f>IF(A269=""," ",IF(_xlfn.MINIFS('E-Mail BD'!D:D,'E-Mail BD'!B:B,A269)=0,"NÃO APARECEU AINDA",_xlfn.MINIFS('E-Mail BD'!D:D,'E-Mail BD'!B:B,A269)))</f>
        <v>45832</v>
      </c>
      <c r="D269" t="str">
        <f>IFERROR(_xlfn.XLOOKUP(A269,'E-Mail BD'!B:B,'E-Mail BD'!A:A),"-")</f>
        <v>035.298.171/0001-23</v>
      </c>
      <c r="E269" s="2" t="str">
        <f t="shared" si="4"/>
        <v>35298171000123</v>
      </c>
    </row>
    <row r="270" spans="1:5" x14ac:dyDescent="0.25">
      <c r="A270" t="s">
        <v>263</v>
      </c>
      <c r="B270" t="s">
        <v>8</v>
      </c>
      <c r="C270" s="12">
        <f>IF(A270=""," ",IF(_xlfn.MINIFS('E-Mail BD'!D:D,'E-Mail BD'!B:B,A270)=0,"NÃO APARECEU AINDA",_xlfn.MINIFS('E-Mail BD'!D:D,'E-Mail BD'!B:B,A270)))</f>
        <v>45762</v>
      </c>
      <c r="D270" t="str">
        <f>IFERROR(_xlfn.XLOOKUP(A270,'E-Mail BD'!B:B,'E-Mail BD'!A:A),"-")</f>
        <v>044.126.379/0001-56</v>
      </c>
      <c r="E270" s="2" t="str">
        <f t="shared" si="4"/>
        <v>44126379000156</v>
      </c>
    </row>
    <row r="271" spans="1:5" x14ac:dyDescent="0.25">
      <c r="A271" t="s">
        <v>164</v>
      </c>
      <c r="B271" t="s">
        <v>16</v>
      </c>
      <c r="C271" s="12">
        <f>IF(A271=""," ",IF(_xlfn.MINIFS('E-Mail BD'!D:D,'E-Mail BD'!B:B,A271)=0,"NÃO APARECEU AINDA",_xlfn.MINIFS('E-Mail BD'!D:D,'E-Mail BD'!B:B,A271)))</f>
        <v>45574</v>
      </c>
      <c r="D271" t="str">
        <f>IFERROR(_xlfn.XLOOKUP(A271,'E-Mail BD'!B:B,'E-Mail BD'!A:A),"-")</f>
        <v>093.274.124/0001-46</v>
      </c>
      <c r="E271" s="2" t="str">
        <f t="shared" si="4"/>
        <v>93274124000146</v>
      </c>
    </row>
    <row r="272" spans="1:5" x14ac:dyDescent="0.25">
      <c r="A272" t="s">
        <v>234</v>
      </c>
      <c r="B272" t="s">
        <v>18</v>
      </c>
      <c r="C272" s="12">
        <f>IF(A272=""," ",IF(_xlfn.MINIFS('E-Mail BD'!D:D,'E-Mail BD'!B:B,A272)=0,"NÃO APARECEU AINDA",_xlfn.MINIFS('E-Mail BD'!D:D,'E-Mail BD'!B:B,A272)))</f>
        <v>45693</v>
      </c>
      <c r="D272" t="str">
        <f>IFERROR(_xlfn.XLOOKUP(A272,'E-Mail BD'!B:B,'E-Mail BD'!A:A),"-")</f>
        <v>041.757.407/0001-45</v>
      </c>
      <c r="E272" s="2" t="str">
        <f t="shared" si="4"/>
        <v>41757407000145</v>
      </c>
    </row>
    <row r="273" spans="1:5" x14ac:dyDescent="0.25">
      <c r="A273" t="s">
        <v>116</v>
      </c>
      <c r="B273" t="s">
        <v>10</v>
      </c>
      <c r="C273" s="12">
        <f>IF(A273=""," ",IF(_xlfn.MINIFS('E-Mail BD'!D:D,'E-Mail BD'!B:B,A273)=0,"NÃO APARECEU AINDA",_xlfn.MINIFS('E-Mail BD'!D:D,'E-Mail BD'!B:B,A273)))</f>
        <v>45541</v>
      </c>
      <c r="D273" t="str">
        <f>IFERROR(_xlfn.XLOOKUP(A273,'E-Mail BD'!B:B,'E-Mail BD'!A:A),"-")</f>
        <v>007.561.436/0001-07</v>
      </c>
      <c r="E273" s="2" t="str">
        <f t="shared" si="4"/>
        <v>07561436000107</v>
      </c>
    </row>
    <row r="274" spans="1:5" x14ac:dyDescent="0.25">
      <c r="A274" t="s">
        <v>188</v>
      </c>
      <c r="B274" t="s">
        <v>10</v>
      </c>
      <c r="C274" s="12">
        <f>IF(A274=""," ",IF(_xlfn.MINIFS('E-Mail BD'!D:D,'E-Mail BD'!B:B,A274)=0,"NÃO APARECEU AINDA",_xlfn.MINIFS('E-Mail BD'!D:D,'E-Mail BD'!B:B,A274)))</f>
        <v>45595</v>
      </c>
      <c r="D274" t="str">
        <f>IFERROR(_xlfn.XLOOKUP(A274,'E-Mail BD'!B:B,'E-Mail BD'!A:A),"-")</f>
        <v>044.888.871/0001-69</v>
      </c>
      <c r="E274" s="2" t="str">
        <f t="shared" si="4"/>
        <v>44888871000169</v>
      </c>
    </row>
    <row r="275" spans="1:5" x14ac:dyDescent="0.25">
      <c r="A275" t="s">
        <v>608</v>
      </c>
      <c r="B275" t="s">
        <v>31</v>
      </c>
      <c r="C275" s="12" t="str">
        <f>IF(A275=""," ",IF(_xlfn.MINIFS('E-Mail BD'!D:D,'E-Mail BD'!B:B,A275)=0,"NÃO APARECEU AINDA",_xlfn.MINIFS('E-Mail BD'!D:D,'E-Mail BD'!B:B,A275)))</f>
        <v>NÃO APARECEU AINDA</v>
      </c>
      <c r="D275" t="str">
        <f>IFERROR(_xlfn.XLOOKUP(A275,'E-Mail BD'!B:B,'E-Mail BD'!A:A),"-")</f>
        <v>-</v>
      </c>
      <c r="E275" s="2" t="str">
        <f t="shared" si="4"/>
        <v>-</v>
      </c>
    </row>
    <row r="276" spans="1:5" x14ac:dyDescent="0.25">
      <c r="A276" t="s">
        <v>79</v>
      </c>
      <c r="B276" t="s">
        <v>16</v>
      </c>
      <c r="C276" s="12">
        <f>IF(A276=""," ",IF(_xlfn.MINIFS('E-Mail BD'!D:D,'E-Mail BD'!B:B,A276)=0,"NÃO APARECEU AINDA",_xlfn.MINIFS('E-Mail BD'!D:D,'E-Mail BD'!B:B,A276)))</f>
        <v>45741</v>
      </c>
      <c r="D276" t="str">
        <f>IFERROR(_xlfn.XLOOKUP(A276,'E-Mail BD'!B:B,'E-Mail BD'!A:A),"-")</f>
        <v>035.679.705/0001-61</v>
      </c>
      <c r="E276" s="2" t="str">
        <f t="shared" si="4"/>
        <v>35679705000161</v>
      </c>
    </row>
    <row r="277" spans="1:5" x14ac:dyDescent="0.25">
      <c r="A277" t="s">
        <v>250</v>
      </c>
      <c r="B277" t="s">
        <v>16</v>
      </c>
      <c r="C277" s="12">
        <f>IF(A277=""," ",IF(_xlfn.MINIFS('E-Mail BD'!D:D,'E-Mail BD'!B:B,A277)=0,"NÃO APARECEU AINDA",_xlfn.MINIFS('E-Mail BD'!D:D,'E-Mail BD'!B:B,A277)))</f>
        <v>45741</v>
      </c>
      <c r="D277" t="str">
        <f>IFERROR(_xlfn.XLOOKUP(A277,'E-Mail BD'!B:B,'E-Mail BD'!A:A),"-")</f>
        <v>045.452.509/0001-03</v>
      </c>
      <c r="E277" s="2" t="str">
        <f t="shared" si="4"/>
        <v>45452509000103</v>
      </c>
    </row>
    <row r="278" spans="1:5" x14ac:dyDescent="0.25">
      <c r="A278" t="s">
        <v>579</v>
      </c>
      <c r="B278" t="s">
        <v>9</v>
      </c>
      <c r="C278" s="12" t="str">
        <f>IF(A278=""," ",IF(_xlfn.MINIFS('E-Mail BD'!D:D,'E-Mail BD'!B:B,A278)=0,"NÃO APARECEU AINDA",_xlfn.MINIFS('E-Mail BD'!D:D,'E-Mail BD'!B:B,A278)))</f>
        <v>NÃO APARECEU AINDA</v>
      </c>
      <c r="D278" t="str">
        <f>IFERROR(_xlfn.XLOOKUP(A278,'E-Mail BD'!B:B,'E-Mail BD'!A:A),"-")</f>
        <v>-</v>
      </c>
      <c r="E278" s="2" t="str">
        <f t="shared" si="4"/>
        <v>-</v>
      </c>
    </row>
    <row r="279" spans="1:5" x14ac:dyDescent="0.25">
      <c r="A279" t="s">
        <v>71</v>
      </c>
      <c r="B279" t="s">
        <v>21</v>
      </c>
      <c r="C279" s="12">
        <f>IF(A279=""," ",IF(_xlfn.MINIFS('E-Mail BD'!D:D,'E-Mail BD'!B:B,A279)=0,"NÃO APARECEU AINDA",_xlfn.MINIFS('E-Mail BD'!D:D,'E-Mail BD'!B:B,A279)))</f>
        <v>45763</v>
      </c>
      <c r="D279" t="str">
        <f>IFERROR(_xlfn.XLOOKUP(A279,'E-Mail BD'!B:B,'E-Mail BD'!A:A),"-")</f>
        <v>028.511.223/0001-32</v>
      </c>
      <c r="E279" s="2" t="str">
        <f t="shared" si="4"/>
        <v>28511223000132</v>
      </c>
    </row>
    <row r="280" spans="1:5" x14ac:dyDescent="0.25">
      <c r="A280" t="s">
        <v>172</v>
      </c>
      <c r="B280" t="s">
        <v>10</v>
      </c>
      <c r="C280" s="12">
        <f>IF(A280=""," ",IF(_xlfn.MINIFS('E-Mail BD'!D:D,'E-Mail BD'!B:B,A280)=0,"NÃO APARECEU AINDA",_xlfn.MINIFS('E-Mail BD'!D:D,'E-Mail BD'!B:B,A280)))</f>
        <v>45580</v>
      </c>
      <c r="D280" t="str">
        <f>IFERROR(_xlfn.XLOOKUP(A280,'E-Mail BD'!B:B,'E-Mail BD'!A:A),"-")</f>
        <v>005.363.690/0001-67</v>
      </c>
      <c r="E280" s="2" t="str">
        <f t="shared" si="4"/>
        <v>05363690000167</v>
      </c>
    </row>
    <row r="281" spans="1:5" x14ac:dyDescent="0.25">
      <c r="A281" t="s">
        <v>287</v>
      </c>
      <c r="B281" t="s">
        <v>26</v>
      </c>
      <c r="C281" s="12">
        <f>IF(A281=""," ",IF(_xlfn.MINIFS('E-Mail BD'!D:D,'E-Mail BD'!B:B,A281)=0,"NÃO APARECEU AINDA",_xlfn.MINIFS('E-Mail BD'!D:D,'E-Mail BD'!B:B,A281)))</f>
        <v>45791</v>
      </c>
      <c r="D281" t="str">
        <f>IFERROR(_xlfn.XLOOKUP(A281,'E-Mail BD'!B:B,'E-Mail BD'!A:A),"-")</f>
        <v>025.094.292/0001-08</v>
      </c>
      <c r="E281" s="2" t="str">
        <f t="shared" si="4"/>
        <v>25094292000108</v>
      </c>
    </row>
    <row r="282" spans="1:5" x14ac:dyDescent="0.25">
      <c r="A282" t="s">
        <v>131</v>
      </c>
      <c r="B282" t="s">
        <v>39</v>
      </c>
      <c r="C282" s="12">
        <f>IF(A282=""," ",IF(_xlfn.MINIFS('E-Mail BD'!D:D,'E-Mail BD'!B:B,A282)=0,"NÃO APARECEU AINDA",_xlfn.MINIFS('E-Mail BD'!D:D,'E-Mail BD'!B:B,A282)))</f>
        <v>45547</v>
      </c>
      <c r="D282" t="str">
        <f>IFERROR(_xlfn.XLOOKUP(A282,'E-Mail BD'!B:B,'E-Mail BD'!A:A),"-")</f>
        <v>028.842.753/0001-63</v>
      </c>
      <c r="E282" s="2" t="str">
        <f t="shared" si="4"/>
        <v>28842753000163</v>
      </c>
    </row>
    <row r="283" spans="1:5" x14ac:dyDescent="0.25">
      <c r="A283" t="s">
        <v>604</v>
      </c>
      <c r="B283" t="s">
        <v>5</v>
      </c>
      <c r="C283" s="12" t="str">
        <f>IF(A283=""," ",IF(_xlfn.MINIFS('E-Mail BD'!D:D,'E-Mail BD'!B:B,A283)=0,"NÃO APARECEU AINDA",_xlfn.MINIFS('E-Mail BD'!D:D,'E-Mail BD'!B:B,A283)))</f>
        <v>NÃO APARECEU AINDA</v>
      </c>
      <c r="D283" t="str">
        <f>IFERROR(_xlfn.XLOOKUP(A283,'E-Mail BD'!B:B,'E-Mail BD'!A:A),"-")</f>
        <v>-</v>
      </c>
      <c r="E283" s="2" t="str">
        <f t="shared" si="4"/>
        <v>-</v>
      </c>
    </row>
    <row r="284" spans="1:5" x14ac:dyDescent="0.25">
      <c r="A284" t="s">
        <v>102</v>
      </c>
      <c r="B284" t="s">
        <v>18</v>
      </c>
      <c r="C284" s="12">
        <f>IF(A284=""," ",IF(_xlfn.MINIFS('E-Mail BD'!D:D,'E-Mail BD'!B:B,A284)=0,"NÃO APARECEU AINDA",_xlfn.MINIFS('E-Mail BD'!D:D,'E-Mail BD'!B:B,A284)))</f>
        <v>45538</v>
      </c>
      <c r="D284" t="str">
        <f>IFERROR(_xlfn.XLOOKUP(A284,'E-Mail BD'!B:B,'E-Mail BD'!A:A),"-")</f>
        <v>023.637.987/0001-55</v>
      </c>
      <c r="E284" s="2" t="str">
        <f t="shared" si="4"/>
        <v>23637987000155</v>
      </c>
    </row>
    <row r="285" spans="1:5" x14ac:dyDescent="0.25">
      <c r="A285" t="s">
        <v>261</v>
      </c>
      <c r="B285" t="s">
        <v>21</v>
      </c>
      <c r="C285" s="12">
        <f>IF(A285=""," ",IF(_xlfn.MINIFS('E-Mail BD'!D:D,'E-Mail BD'!B:B,A285)=0,"NÃO APARECEU AINDA",_xlfn.MINIFS('E-Mail BD'!D:D,'E-Mail BD'!B:B,A285)))</f>
        <v>45755</v>
      </c>
      <c r="D285" t="str">
        <f>IFERROR(_xlfn.XLOOKUP(A285,'E-Mail BD'!B:B,'E-Mail BD'!A:A),"-")</f>
        <v>046.865.282/0001-90</v>
      </c>
      <c r="E285" s="2" t="str">
        <f t="shared" si="4"/>
        <v>46865282000190</v>
      </c>
    </row>
    <row r="286" spans="1:5" x14ac:dyDescent="0.25">
      <c r="A286" t="s">
        <v>58</v>
      </c>
      <c r="B286" t="s">
        <v>20</v>
      </c>
      <c r="C286" s="12">
        <f>IF(A286=""," ",IF(_xlfn.MINIFS('E-Mail BD'!D:D,'E-Mail BD'!B:B,A286)=0,"NÃO APARECEU AINDA",_xlfn.MINIFS('E-Mail BD'!D:D,'E-Mail BD'!B:B,A286)))</f>
        <v>45650</v>
      </c>
      <c r="D286" t="str">
        <f>IFERROR(_xlfn.XLOOKUP(A286,'E-Mail BD'!B:B,'E-Mail BD'!A:A),"-")</f>
        <v>008.250.872/0001-10</v>
      </c>
      <c r="E286" s="2" t="str">
        <f t="shared" si="4"/>
        <v>08250872000110</v>
      </c>
    </row>
    <row r="287" spans="1:5" x14ac:dyDescent="0.25">
      <c r="A287" t="s">
        <v>543</v>
      </c>
      <c r="B287" t="s">
        <v>29</v>
      </c>
      <c r="C287" s="12" t="str">
        <f>IF(A287=""," ",IF(_xlfn.MINIFS('E-Mail BD'!D:D,'E-Mail BD'!B:B,A287)=0,"NÃO APARECEU AINDA",_xlfn.MINIFS('E-Mail BD'!D:D,'E-Mail BD'!B:B,A287)))</f>
        <v>NÃO APARECEU AINDA</v>
      </c>
      <c r="D287" t="str">
        <f>IFERROR(_xlfn.XLOOKUP(A287,'E-Mail BD'!B:B,'E-Mail BD'!A:A),"-")</f>
        <v>-</v>
      </c>
      <c r="E287" s="2" t="str">
        <f t="shared" si="4"/>
        <v>-</v>
      </c>
    </row>
    <row r="288" spans="1:5" x14ac:dyDescent="0.25">
      <c r="A288" t="s">
        <v>303</v>
      </c>
      <c r="B288" t="s">
        <v>28</v>
      </c>
      <c r="C288" s="12">
        <f>IF(A288=""," ",IF(_xlfn.MINIFS('E-Mail BD'!D:D,'E-Mail BD'!B:B,A288)=0,"NÃO APARECEU AINDA",_xlfn.MINIFS('E-Mail BD'!D:D,'E-Mail BD'!B:B,A288)))</f>
        <v>45800</v>
      </c>
      <c r="D288" t="str">
        <f>IFERROR(_xlfn.XLOOKUP(A288,'E-Mail BD'!B:B,'E-Mail BD'!A:A),"-")</f>
        <v>010.672.840/0001-54</v>
      </c>
      <c r="E288" s="2" t="str">
        <f t="shared" si="4"/>
        <v>10672840000154</v>
      </c>
    </row>
    <row r="289" spans="1:5" x14ac:dyDescent="0.25">
      <c r="A289" t="s">
        <v>240</v>
      </c>
      <c r="B289" t="s">
        <v>19</v>
      </c>
      <c r="C289" s="12">
        <f>IF(A289=""," ",IF(_xlfn.MINIFS('E-Mail BD'!D:D,'E-Mail BD'!B:B,A289)=0,"NÃO APARECEU AINDA",_xlfn.MINIFS('E-Mail BD'!D:D,'E-Mail BD'!B:B,A289)))</f>
        <v>45697</v>
      </c>
      <c r="D289" t="str">
        <f>IFERROR(_xlfn.XLOOKUP(A289,'E-Mail BD'!B:B,'E-Mail BD'!A:A),"-")</f>
        <v>004.067.472/0001-12</v>
      </c>
      <c r="E289" s="2" t="str">
        <f t="shared" si="4"/>
        <v>04067472000112</v>
      </c>
    </row>
    <row r="290" spans="1:5" x14ac:dyDescent="0.25">
      <c r="A290" t="s">
        <v>232</v>
      </c>
      <c r="B290" t="s">
        <v>25</v>
      </c>
      <c r="C290" s="12">
        <f>IF(A290=""," ",IF(_xlfn.MINIFS('E-Mail BD'!D:D,'E-Mail BD'!B:B,A290)=0,"NÃO APARECEU AINDA",_xlfn.MINIFS('E-Mail BD'!D:D,'E-Mail BD'!B:B,A290)))</f>
        <v>45688</v>
      </c>
      <c r="D290" t="str">
        <f>IFERROR(_xlfn.XLOOKUP(A290,'E-Mail BD'!B:B,'E-Mail BD'!A:A),"-")</f>
        <v>038.407.341/0001-59</v>
      </c>
      <c r="E290" s="2" t="str">
        <f t="shared" si="4"/>
        <v>38407341000159</v>
      </c>
    </row>
    <row r="291" spans="1:5" x14ac:dyDescent="0.25">
      <c r="A291" t="s">
        <v>601</v>
      </c>
      <c r="B291" t="s">
        <v>25</v>
      </c>
      <c r="C291" s="12" t="str">
        <f>IF(A291=""," ",IF(_xlfn.MINIFS('E-Mail BD'!D:D,'E-Mail BD'!B:B,A291)=0,"NÃO APARECEU AINDA",_xlfn.MINIFS('E-Mail BD'!D:D,'E-Mail BD'!B:B,A291)))</f>
        <v>NÃO APARECEU AINDA</v>
      </c>
      <c r="D291" t="str">
        <f>IFERROR(_xlfn.XLOOKUP(A291,'E-Mail BD'!B:B,'E-Mail BD'!A:A),"-")</f>
        <v>-</v>
      </c>
      <c r="E291" s="2" t="str">
        <f t="shared" si="4"/>
        <v>-</v>
      </c>
    </row>
    <row r="292" spans="1:5" x14ac:dyDescent="0.25">
      <c r="A292" t="s">
        <v>170</v>
      </c>
      <c r="B292" t="s">
        <v>8</v>
      </c>
      <c r="C292" s="12">
        <f>IF(A292=""," ",IF(_xlfn.MINIFS('E-Mail BD'!D:D,'E-Mail BD'!B:B,A292)=0,"NÃO APARECEU AINDA",_xlfn.MINIFS('E-Mail BD'!D:D,'E-Mail BD'!B:B,A292)))</f>
        <v>45576</v>
      </c>
      <c r="D292" t="str">
        <f>IFERROR(_xlfn.XLOOKUP(A292,'E-Mail BD'!B:B,'E-Mail BD'!A:A),"-")</f>
        <v>001.113.219/0001-60</v>
      </c>
      <c r="E292" s="2" t="str">
        <f t="shared" si="4"/>
        <v>01113219000160</v>
      </c>
    </row>
    <row r="293" spans="1:5" x14ac:dyDescent="0.25">
      <c r="A293" t="s">
        <v>81</v>
      </c>
      <c r="B293" t="s">
        <v>28</v>
      </c>
      <c r="C293" s="12">
        <f>IF(A293=""," ",IF(_xlfn.MINIFS('E-Mail BD'!D:D,'E-Mail BD'!B:B,A293)=0,"NÃO APARECEU AINDA",_xlfn.MINIFS('E-Mail BD'!D:D,'E-Mail BD'!B:B,A293)))</f>
        <v>45780</v>
      </c>
      <c r="D293" t="str">
        <f>IFERROR(_xlfn.XLOOKUP(A293,'E-Mail BD'!B:B,'E-Mail BD'!A:A),"-")</f>
        <v>037.599.774/0001-90</v>
      </c>
      <c r="E293" s="2" t="str">
        <f t="shared" si="4"/>
        <v>37599774000190</v>
      </c>
    </row>
    <row r="294" spans="1:5" x14ac:dyDescent="0.25">
      <c r="A294" t="s">
        <v>126</v>
      </c>
      <c r="B294" t="s">
        <v>10</v>
      </c>
      <c r="C294" s="12">
        <f>IF(A294=""," ",IF(_xlfn.MINIFS('E-Mail BD'!D:D,'E-Mail BD'!B:B,A294)=0,"NÃO APARECEU AINDA",_xlfn.MINIFS('E-Mail BD'!D:D,'E-Mail BD'!B:B,A294)))</f>
        <v>45545</v>
      </c>
      <c r="D294" t="str">
        <f>IFERROR(_xlfn.XLOOKUP(A294,'E-Mail BD'!B:B,'E-Mail BD'!A:A),"-")</f>
        <v>007.102.721/0001-51</v>
      </c>
      <c r="E294" s="2" t="str">
        <f t="shared" si="4"/>
        <v>07102721000151</v>
      </c>
    </row>
    <row r="295" spans="1:5" x14ac:dyDescent="0.25">
      <c r="A295" t="s">
        <v>94</v>
      </c>
      <c r="B295" t="s">
        <v>16</v>
      </c>
      <c r="C295" s="12">
        <f>IF(A295=""," ",IF(_xlfn.MINIFS('E-Mail BD'!D:D,'E-Mail BD'!B:B,A295)=0,"NÃO APARECEU AINDA",_xlfn.MINIFS('E-Mail BD'!D:D,'E-Mail BD'!B:B,A295)))</f>
        <v>45537</v>
      </c>
      <c r="D295" t="str">
        <f>IFERROR(_xlfn.XLOOKUP(A295,'E-Mail BD'!B:B,'E-Mail BD'!A:A),"-")</f>
        <v>007.556.817/0001-90</v>
      </c>
      <c r="E295" s="2" t="str">
        <f t="shared" si="4"/>
        <v>07556817000190</v>
      </c>
    </row>
    <row r="296" spans="1:5" x14ac:dyDescent="0.25">
      <c r="A296" t="s">
        <v>570</v>
      </c>
      <c r="B296" t="s">
        <v>633</v>
      </c>
      <c r="C296" s="12" t="str">
        <f>IF(A296=""," ",IF(_xlfn.MINIFS('E-Mail BD'!D:D,'E-Mail BD'!B:B,A296)=0,"NÃO APARECEU AINDA",_xlfn.MINIFS('E-Mail BD'!D:D,'E-Mail BD'!B:B,A296)))</f>
        <v>NÃO APARECEU AINDA</v>
      </c>
      <c r="D296" t="str">
        <f>IFERROR(_xlfn.XLOOKUP(A296,'E-Mail BD'!B:B,'E-Mail BD'!A:A),"-")</f>
        <v>-</v>
      </c>
      <c r="E296" s="2" t="str">
        <f t="shared" si="4"/>
        <v>-</v>
      </c>
    </row>
    <row r="297" spans="1:5" x14ac:dyDescent="0.25">
      <c r="A297" t="s">
        <v>272</v>
      </c>
      <c r="B297" t="s">
        <v>16</v>
      </c>
      <c r="C297" s="12">
        <f>IF(A297=""," ",IF(_xlfn.MINIFS('E-Mail BD'!D:D,'E-Mail BD'!B:B,A297)=0,"NÃO APARECEU AINDA",_xlfn.MINIFS('E-Mail BD'!D:D,'E-Mail BD'!B:B,A297)))</f>
        <v>45776</v>
      </c>
      <c r="D297" t="str">
        <f>IFERROR(_xlfn.XLOOKUP(A297,'E-Mail BD'!B:B,'E-Mail BD'!A:A),"-")</f>
        <v>092.279.363/0001-26</v>
      </c>
      <c r="E297" s="2" t="str">
        <f t="shared" si="4"/>
        <v>92279363000126</v>
      </c>
    </row>
    <row r="298" spans="1:5" x14ac:dyDescent="0.25">
      <c r="A298" t="s">
        <v>626</v>
      </c>
      <c r="B298" t="s">
        <v>627</v>
      </c>
      <c r="C298" s="12">
        <f>IF(A298=""," ",IF(_xlfn.MINIFS('E-Mail BD'!D:D,'E-Mail BD'!B:B,A298)=0,"NÃO APARECEU AINDA",_xlfn.MINIFS('E-Mail BD'!D:D,'E-Mail BD'!B:B,A298)))</f>
        <v>45829</v>
      </c>
      <c r="D298" t="str">
        <f>IFERROR(_xlfn.XLOOKUP(A298,'E-Mail BD'!B:B,'E-Mail BD'!A:A),"-")</f>
        <v>042.119.428/0001-06</v>
      </c>
      <c r="E298" s="2" t="str">
        <f t="shared" si="4"/>
        <v>42119428000106</v>
      </c>
    </row>
    <row r="299" spans="1:5" x14ac:dyDescent="0.25">
      <c r="A299" t="s">
        <v>218</v>
      </c>
      <c r="B299" t="s">
        <v>20</v>
      </c>
      <c r="C299" s="12">
        <f>IF(A299=""," ",IF(_xlfn.MINIFS('E-Mail BD'!D:D,'E-Mail BD'!B:B,A299)=0,"NÃO APARECEU AINDA",_xlfn.MINIFS('E-Mail BD'!D:D,'E-Mail BD'!B:B,A299)))</f>
        <v>45679</v>
      </c>
      <c r="D299" t="str">
        <f>IFERROR(_xlfn.XLOOKUP(A299,'E-Mail BD'!B:B,'E-Mail BD'!A:A),"-")</f>
        <v>041.421.379/0001-90</v>
      </c>
      <c r="E299" s="2" t="str">
        <f t="shared" si="4"/>
        <v>41421379000190</v>
      </c>
    </row>
    <row r="300" spans="1:5" x14ac:dyDescent="0.25">
      <c r="A300" t="s">
        <v>278</v>
      </c>
      <c r="B300" t="s">
        <v>21</v>
      </c>
      <c r="C300" s="12">
        <f>IF(A300=""," ",IF(_xlfn.MINIFS('E-Mail BD'!D:D,'E-Mail BD'!B:B,A300)=0,"NÃO APARECEU AINDA",_xlfn.MINIFS('E-Mail BD'!D:D,'E-Mail BD'!B:B,A300)))</f>
        <v>45782</v>
      </c>
      <c r="D300" t="str">
        <f>IFERROR(_xlfn.XLOOKUP(A300,'E-Mail BD'!B:B,'E-Mail BD'!A:A),"-")</f>
        <v>044.470.678/0001-03</v>
      </c>
      <c r="E300" s="2" t="str">
        <f t="shared" si="4"/>
        <v>44470678000103</v>
      </c>
    </row>
    <row r="301" spans="1:5" x14ac:dyDescent="0.25">
      <c r="A301" t="s">
        <v>97</v>
      </c>
      <c r="B301" t="s">
        <v>18</v>
      </c>
      <c r="C301" s="12">
        <f>IF(A301=""," ",IF(_xlfn.MINIFS('E-Mail BD'!D:D,'E-Mail BD'!B:B,A301)=0,"NÃO APARECEU AINDA",_xlfn.MINIFS('E-Mail BD'!D:D,'E-Mail BD'!B:B,A301)))</f>
        <v>45537</v>
      </c>
      <c r="D301" t="str">
        <f>IFERROR(_xlfn.XLOOKUP(A301,'E-Mail BD'!B:B,'E-Mail BD'!A:A),"-")</f>
        <v>013.746.252/0001-06</v>
      </c>
      <c r="E301" s="2" t="str">
        <f t="shared" si="4"/>
        <v>13746252000106</v>
      </c>
    </row>
    <row r="302" spans="1:5" x14ac:dyDescent="0.25">
      <c r="A302" t="s">
        <v>83</v>
      </c>
      <c r="B302" t="s">
        <v>20</v>
      </c>
      <c r="C302" s="12">
        <f>IF(A302=""," ",IF(_xlfn.MINIFS('E-Mail BD'!D:D,'E-Mail BD'!B:B,A302)=0,"NÃO APARECEU AINDA",_xlfn.MINIFS('E-Mail BD'!D:D,'E-Mail BD'!B:B,A302)))</f>
        <v>45545</v>
      </c>
      <c r="D302" t="str">
        <f>IFERROR(_xlfn.XLOOKUP(A302,'E-Mail BD'!B:B,'E-Mail BD'!A:A),"-")</f>
        <v>038.110.780/0001-03</v>
      </c>
      <c r="E302" s="2" t="str">
        <f t="shared" si="4"/>
        <v>38110780000103</v>
      </c>
    </row>
    <row r="303" spans="1:5" x14ac:dyDescent="0.25">
      <c r="A303" t="s">
        <v>154</v>
      </c>
      <c r="B303" t="s">
        <v>14</v>
      </c>
      <c r="C303" s="12">
        <f>IF(A303=""," ",IF(_xlfn.MINIFS('E-Mail BD'!D:D,'E-Mail BD'!B:B,A303)=0,"NÃO APARECEU AINDA",_xlfn.MINIFS('E-Mail BD'!D:D,'E-Mail BD'!B:B,A303)))</f>
        <v>45562</v>
      </c>
      <c r="D303" t="str">
        <f>IFERROR(_xlfn.XLOOKUP(A303,'E-Mail BD'!B:B,'E-Mail BD'!A:A),"-")</f>
        <v>005.350.235/0001-27</v>
      </c>
      <c r="E303" s="2" t="str">
        <f t="shared" si="4"/>
        <v>05350235000127</v>
      </c>
    </row>
    <row r="304" spans="1:5" x14ac:dyDescent="0.25">
      <c r="A304" t="s">
        <v>215</v>
      </c>
      <c r="B304" t="s">
        <v>16</v>
      </c>
      <c r="C304" s="12">
        <f>IF(A304=""," ",IF(_xlfn.MINIFS('E-Mail BD'!D:D,'E-Mail BD'!B:B,A304)=0,"NÃO APARECEU AINDA",_xlfn.MINIFS('E-Mail BD'!D:D,'E-Mail BD'!B:B,A304)))</f>
        <v>45679</v>
      </c>
      <c r="D304" t="str">
        <f>IFERROR(_xlfn.XLOOKUP(A304,'E-Mail BD'!B:B,'E-Mail BD'!A:A),"-")</f>
        <v>037.143.334/0001-24</v>
      </c>
      <c r="E304" s="2" t="str">
        <f t="shared" si="4"/>
        <v>37143334000124</v>
      </c>
    </row>
    <row r="305" spans="1:5" x14ac:dyDescent="0.25">
      <c r="A305" t="s">
        <v>179</v>
      </c>
      <c r="B305" t="s">
        <v>5</v>
      </c>
      <c r="C305" s="12">
        <f>IF(A305=""," ",IF(_xlfn.MINIFS('E-Mail BD'!D:D,'E-Mail BD'!B:B,A305)=0,"NÃO APARECEU AINDA",_xlfn.MINIFS('E-Mail BD'!D:D,'E-Mail BD'!B:B,A305)))</f>
        <v>45586</v>
      </c>
      <c r="D305" t="str">
        <f>IFERROR(_xlfn.XLOOKUP(A305,'E-Mail BD'!B:B,'E-Mail BD'!A:A),"-")</f>
        <v>020.628.376/0001-52</v>
      </c>
      <c r="E305" s="2" t="str">
        <f t="shared" si="4"/>
        <v>20628376000152</v>
      </c>
    </row>
    <row r="306" spans="1:5" x14ac:dyDescent="0.25">
      <c r="A306" t="s">
        <v>147</v>
      </c>
      <c r="B306" t="s">
        <v>5</v>
      </c>
      <c r="C306" s="12">
        <f>IF(A306=""," ",IF(_xlfn.MINIFS('E-Mail BD'!D:D,'E-Mail BD'!B:B,A306)=0,"NÃO APARECEU AINDA",_xlfn.MINIFS('E-Mail BD'!D:D,'E-Mail BD'!B:B,A306)))</f>
        <v>45555</v>
      </c>
      <c r="D306" t="str">
        <f>IFERROR(_xlfn.XLOOKUP(A306,'E-Mail BD'!B:B,'E-Mail BD'!A:A),"-")</f>
        <v>020.628.376/0001-52</v>
      </c>
      <c r="E306" s="2" t="str">
        <f t="shared" si="4"/>
        <v>20628376000152</v>
      </c>
    </row>
    <row r="307" spans="1:5" x14ac:dyDescent="0.25">
      <c r="A307" t="s">
        <v>117</v>
      </c>
      <c r="B307" t="s">
        <v>44</v>
      </c>
      <c r="C307" s="12">
        <f>IF(A307=""," ",IF(_xlfn.MINIFS('E-Mail BD'!D:D,'E-Mail BD'!B:B,A307)=0,"NÃO APARECEU AINDA",_xlfn.MINIFS('E-Mail BD'!D:D,'E-Mail BD'!B:B,A307)))</f>
        <v>45541</v>
      </c>
      <c r="D307" t="str">
        <f>IFERROR(_xlfn.XLOOKUP(A307,'E-Mail BD'!B:B,'E-Mail BD'!A:A),"-")</f>
        <v>041.768.583/0001-82</v>
      </c>
      <c r="E307" s="2" t="str">
        <f t="shared" si="4"/>
        <v>41768583000182</v>
      </c>
    </row>
    <row r="308" spans="1:5" x14ac:dyDescent="0.25">
      <c r="A308" t="s">
        <v>231</v>
      </c>
      <c r="B308" t="s">
        <v>9</v>
      </c>
      <c r="C308" s="12">
        <f>IF(A308=""," ",IF(_xlfn.MINIFS('E-Mail BD'!D:D,'E-Mail BD'!B:B,A308)=0,"NÃO APARECEU AINDA",_xlfn.MINIFS('E-Mail BD'!D:D,'E-Mail BD'!B:B,A308)))</f>
        <v>45686</v>
      </c>
      <c r="D308" t="str">
        <f>IFERROR(_xlfn.XLOOKUP(A308,'E-Mail BD'!B:B,'E-Mail BD'!A:A),"-")</f>
        <v>049.218.819/0001-19</v>
      </c>
      <c r="E308" s="2" t="str">
        <f t="shared" si="4"/>
        <v>49218819000119</v>
      </c>
    </row>
    <row r="309" spans="1:5" x14ac:dyDescent="0.25">
      <c r="A309" t="s">
        <v>110</v>
      </c>
      <c r="B309" t="s">
        <v>7</v>
      </c>
      <c r="C309" s="12">
        <f>IF(A309=""," ",IF(_xlfn.MINIFS('E-Mail BD'!D:D,'E-Mail BD'!B:B,A309)=0,"NÃO APARECEU AINDA",_xlfn.MINIFS('E-Mail BD'!D:D,'E-Mail BD'!B:B,A309)))</f>
        <v>45540</v>
      </c>
      <c r="D309" t="str">
        <f>IFERROR(_xlfn.XLOOKUP(A309,'E-Mail BD'!B:B,'E-Mail BD'!A:A),"-")</f>
        <v>004.126.524/0001-84</v>
      </c>
      <c r="E309" s="2" t="str">
        <f t="shared" si="4"/>
        <v>04126524000184</v>
      </c>
    </row>
    <row r="310" spans="1:5" x14ac:dyDescent="0.25">
      <c r="A310" t="s">
        <v>130</v>
      </c>
      <c r="B310" t="s">
        <v>7</v>
      </c>
      <c r="C310" s="12">
        <f>IF(A310=""," ",IF(_xlfn.MINIFS('E-Mail BD'!D:D,'E-Mail BD'!B:B,A310)=0,"NÃO APARECEU AINDA",_xlfn.MINIFS('E-Mail BD'!D:D,'E-Mail BD'!B:B,A310)))</f>
        <v>45547</v>
      </c>
      <c r="D310" t="str">
        <f>IFERROR(_xlfn.XLOOKUP(A310,'E-Mail BD'!B:B,'E-Mail BD'!A:A),"-")</f>
        <v>004.126.524/0001-84</v>
      </c>
      <c r="E310" s="2" t="str">
        <f t="shared" si="4"/>
        <v>04126524000184</v>
      </c>
    </row>
    <row r="311" spans="1:5" x14ac:dyDescent="0.25">
      <c r="A311" t="s">
        <v>124</v>
      </c>
      <c r="B311" t="s">
        <v>7</v>
      </c>
      <c r="C311" s="12">
        <f>IF(A311=""," ",IF(_xlfn.MINIFS('E-Mail BD'!D:D,'E-Mail BD'!B:B,A311)=0,"NÃO APARECEU AINDA",_xlfn.MINIFS('E-Mail BD'!D:D,'E-Mail BD'!B:B,A311)))</f>
        <v>45545</v>
      </c>
      <c r="D311" t="str">
        <f>IFERROR(_xlfn.XLOOKUP(A311,'E-Mail BD'!B:B,'E-Mail BD'!A:A),"-")</f>
        <v>006.107.454/0001-42</v>
      </c>
      <c r="E311" s="2" t="str">
        <f t="shared" si="4"/>
        <v>06107454000142</v>
      </c>
    </row>
    <row r="312" spans="1:5" x14ac:dyDescent="0.25">
      <c r="A312" t="s">
        <v>144</v>
      </c>
      <c r="B312" t="s">
        <v>19</v>
      </c>
      <c r="C312" s="12">
        <f>IF(A312=""," ",IF(_xlfn.MINIFS('E-Mail BD'!D:D,'E-Mail BD'!B:B,A312)=0,"NÃO APARECEU AINDA",_xlfn.MINIFS('E-Mail BD'!D:D,'E-Mail BD'!B:B,A312)))</f>
        <v>45553</v>
      </c>
      <c r="D312" t="str">
        <f>IFERROR(_xlfn.XLOOKUP(A312,'E-Mail BD'!B:B,'E-Mail BD'!A:A),"-")</f>
        <v>021.473.575/0001-00</v>
      </c>
      <c r="E312" s="2" t="str">
        <f t="shared" si="4"/>
        <v>21473575000100</v>
      </c>
    </row>
    <row r="313" spans="1:5" x14ac:dyDescent="0.25">
      <c r="A313" t="s">
        <v>559</v>
      </c>
      <c r="B313" t="s">
        <v>636</v>
      </c>
      <c r="C313" s="12">
        <f>IF(A313=""," ",IF(_xlfn.MINIFS('E-Mail BD'!D:D,'E-Mail BD'!B:B,A313)=0,"NÃO APARECEU AINDA",_xlfn.MINIFS('E-Mail BD'!D:D,'E-Mail BD'!B:B,A313)))</f>
        <v>45839</v>
      </c>
      <c r="D313" t="str">
        <f>IFERROR(_xlfn.XLOOKUP(A313,'E-Mail BD'!B:B,'E-Mail BD'!A:A),"-")</f>
        <v>008.196.295/0001-25</v>
      </c>
      <c r="E313" s="2" t="str">
        <f t="shared" si="4"/>
        <v>08196295000125</v>
      </c>
    </row>
    <row r="314" spans="1:5" x14ac:dyDescent="0.25">
      <c r="A314" t="s">
        <v>61</v>
      </c>
      <c r="B314" t="s">
        <v>8</v>
      </c>
      <c r="C314" s="12">
        <f>IF(A314=""," ",IF(_xlfn.MINIFS('E-Mail BD'!D:D,'E-Mail BD'!B:B,A314)=0,"NÃO APARECEU AINDA",_xlfn.MINIFS('E-Mail BD'!D:D,'E-Mail BD'!B:B,A314)))</f>
        <v>45537</v>
      </c>
      <c r="D314" t="str">
        <f>IFERROR(_xlfn.XLOOKUP(A314,'E-Mail BD'!B:B,'E-Mail BD'!A:A),"-")</f>
        <v>012.520.791/0001-60</v>
      </c>
      <c r="E314" s="2" t="str">
        <f t="shared" si="4"/>
        <v>12520791000160</v>
      </c>
    </row>
    <row r="315" spans="1:5" x14ac:dyDescent="0.25">
      <c r="A315" t="s">
        <v>136</v>
      </c>
      <c r="B315" t="s">
        <v>5</v>
      </c>
      <c r="C315" s="12">
        <f>IF(A315=""," ",IF(_xlfn.MINIFS('E-Mail BD'!D:D,'E-Mail BD'!B:B,A315)=0,"NÃO APARECEU AINDA",_xlfn.MINIFS('E-Mail BD'!D:D,'E-Mail BD'!B:B,A315)))</f>
        <v>45551</v>
      </c>
      <c r="D315" t="str">
        <f>IFERROR(_xlfn.XLOOKUP(A315,'E-Mail BD'!B:B,'E-Mail BD'!A:A),"-")</f>
        <v>023.911.356/0001-82</v>
      </c>
      <c r="E315" s="2" t="str">
        <f t="shared" si="4"/>
        <v>23911356000182</v>
      </c>
    </row>
    <row r="316" spans="1:5" x14ac:dyDescent="0.25">
      <c r="A316" t="s">
        <v>567</v>
      </c>
      <c r="B316" t="s">
        <v>29</v>
      </c>
      <c r="C316" s="12" t="str">
        <f>IF(A316=""," ",IF(_xlfn.MINIFS('E-Mail BD'!D:D,'E-Mail BD'!B:B,A316)=0,"NÃO APARECEU AINDA",_xlfn.MINIFS('E-Mail BD'!D:D,'E-Mail BD'!B:B,A316)))</f>
        <v>NÃO APARECEU AINDA</v>
      </c>
      <c r="D316" t="str">
        <f>IFERROR(_xlfn.XLOOKUP(A316,'E-Mail BD'!B:B,'E-Mail BD'!A:A),"-")</f>
        <v>-</v>
      </c>
      <c r="E316" s="2" t="str">
        <f t="shared" si="4"/>
        <v>-</v>
      </c>
    </row>
    <row r="317" spans="1:5" x14ac:dyDescent="0.25">
      <c r="A317" t="s">
        <v>639</v>
      </c>
      <c r="B317" t="s">
        <v>29</v>
      </c>
      <c r="C317" s="12">
        <f>IF(A317=""," ",IF(_xlfn.MINIFS('E-Mail BD'!D:D,'E-Mail BD'!B:B,A317)=0,"NÃO APARECEU AINDA",_xlfn.MINIFS('E-Mail BD'!D:D,'E-Mail BD'!B:B,A317)))</f>
        <v>45834</v>
      </c>
      <c r="D317" t="str">
        <f>IFERROR(_xlfn.XLOOKUP(A317,'E-Mail BD'!B:B,'E-Mail BD'!A:A),"-")</f>
        <v>051.323.061/0001-20</v>
      </c>
      <c r="E317" s="2" t="str">
        <f t="shared" si="4"/>
        <v>51323061000120</v>
      </c>
    </row>
    <row r="318" spans="1:5" x14ac:dyDescent="0.25">
      <c r="A318" t="s">
        <v>641</v>
      </c>
      <c r="B318" t="s">
        <v>642</v>
      </c>
      <c r="C318" s="12">
        <f>IF(A318=""," ",IF(_xlfn.MINIFS('E-Mail BD'!D:D,'E-Mail BD'!B:B,A318)=0,"NÃO APARECEU AINDA",_xlfn.MINIFS('E-Mail BD'!D:D,'E-Mail BD'!B:B,A318)))</f>
        <v>45839</v>
      </c>
      <c r="D318" t="str">
        <f>IFERROR(_xlfn.XLOOKUP(A318,'E-Mail BD'!B:B,'E-Mail BD'!A:A),"-")</f>
        <v>027.647.097/0001-85</v>
      </c>
      <c r="E318" s="2" t="str">
        <f t="shared" ref="E318" si="5">IF(RIGHT(SUBSTITUTE(SUBSTITUTE(SUBSTITUTE(D318,".",""),"/",""),"-",""),14)="","-",RIGHT(SUBSTITUTE(SUBSTITUTE(SUBSTITUTE(D318,".",""),"/",""),"-",""),14))</f>
        <v>27647097000185</v>
      </c>
    </row>
    <row r="319" spans="1:5" x14ac:dyDescent="0.25">
      <c r="C319" s="1"/>
    </row>
    <row r="320" spans="1:5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</sheetData>
  <autoFilter ref="A1:G316" xr:uid="{00000000-0001-0000-0300-000000000000}">
    <sortState xmlns:xlrd2="http://schemas.microsoft.com/office/spreadsheetml/2017/richdata2" ref="A2:G316">
      <sortCondition ref="A1:A316"/>
    </sortState>
  </autoFilter>
  <phoneticPr fontId="3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Tabela Dinâmica</vt:lpstr>
      <vt:lpstr>E-Mail BD</vt:lpstr>
      <vt:lpstr>PROCV GERENTES BD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Vitória Sgarbi | Capital Finanças</dc:creator>
  <cp:lastModifiedBy>Usuário Comercial 05</cp:lastModifiedBy>
  <dcterms:created xsi:type="dcterms:W3CDTF">2025-03-24T18:17:52Z</dcterms:created>
  <dcterms:modified xsi:type="dcterms:W3CDTF">2025-07-01T16:47:11Z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0x01010056397B8C43EA634398C86BE909DEC01F</vt:lpwstr>
  </property>
  <property fmtid="{D5CDD505-2E9C-101B-9397-08002B2CF9AE}" pid="3" name="MediaServiceImageTags">
    <vt:lpwstr/>
  </property>
</Properties>
</file>